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excel-project/excel-project-for-sharing/"/>
    </mc:Choice>
  </mc:AlternateContent>
  <xr:revisionPtr revIDLastSave="0" documentId="8_{E47183C5-3B67-4765-B82F-15EED383861A}" xr6:coauthVersionLast="47" xr6:coauthVersionMax="47" xr10:uidLastSave="{00000000-0000-0000-0000-000000000000}"/>
  <bookViews>
    <workbookView xWindow="-120" yWindow="-120" windowWidth="29040" windowHeight="16440" firstSheet="4" xr2:uid="{00000000-000D-0000-FFFF-FFFF00000000}"/>
  </bookViews>
  <sheets>
    <sheet name="Dashboard" sheetId="20" r:id="rId1"/>
    <sheet name="KPIs" sheetId="22" r:id="rId2"/>
    <sheet name="QuantityofSizes" sheetId="25" r:id="rId3"/>
    <sheet name="SalesbyRoastType " sheetId="24" r:id="rId4"/>
    <sheet name="SalesbyCoffeeType" sheetId="23" r:id="rId5"/>
    <sheet name="SalesByCountry" sheetId="21" r:id="rId6"/>
    <sheet name="TotalSales" sheetId="19" r:id="rId7"/>
    <sheet name="Orders" sheetId="17" r:id="rId8"/>
    <sheet name="OrdersBackup" sheetId="18" r:id="rId9"/>
    <sheet name="Customers" sheetId="13" r:id="rId10"/>
    <sheet name="Products" sheetId="2" r:id="rId11"/>
  </sheets>
  <definedNames>
    <definedName name="_xlnm._FilterDatabase" localSheetId="7" hidden="1">Orders!$A$1:$P$1001</definedName>
    <definedName name="_xlnm._FilterDatabase" localSheetId="10" hidden="1">Products!$A$1:$G$49</definedName>
  </definedNames>
  <calcPr calcId="191028"/>
  <pivotCaches>
    <pivotCache cacheId="1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1" i="17" l="1" a="1"/>
  <c r="R1001" i="17"/>
  <c r="R1000" i="17" a="1"/>
  <c r="R1000" i="17"/>
  <c r="R999" i="17" a="1"/>
  <c r="R999" i="17"/>
  <c r="R998" i="17" a="1"/>
  <c r="R998" i="17"/>
  <c r="R997" i="17" a="1"/>
  <c r="R997" i="17"/>
  <c r="R996" i="17" a="1"/>
  <c r="R996" i="17"/>
  <c r="R995" i="17" a="1"/>
  <c r="R995" i="17"/>
  <c r="R994" i="17" a="1"/>
  <c r="R994" i="17"/>
  <c r="R993" i="17" a="1"/>
  <c r="R993" i="17"/>
  <c r="R992" i="17" a="1"/>
  <c r="R992" i="17"/>
  <c r="R991" i="17" a="1"/>
  <c r="R991" i="17"/>
  <c r="R990" i="17" a="1"/>
  <c r="R990" i="17"/>
  <c r="R989" i="17" a="1"/>
  <c r="R989" i="17"/>
  <c r="R988" i="17" a="1"/>
  <c r="R988" i="17"/>
  <c r="R987" i="17" a="1"/>
  <c r="R987" i="17"/>
  <c r="R986" i="17" a="1"/>
  <c r="R986" i="17"/>
  <c r="R985" i="17" a="1"/>
  <c r="R985" i="17"/>
  <c r="R984" i="17" a="1"/>
  <c r="R984" i="17"/>
  <c r="R983" i="17" a="1"/>
  <c r="R983" i="17"/>
  <c r="R982" i="17" a="1"/>
  <c r="R982" i="17"/>
  <c r="R981" i="17" a="1"/>
  <c r="R981" i="17"/>
  <c r="R980" i="17" a="1"/>
  <c r="R980" i="17"/>
  <c r="R979" i="17" a="1"/>
  <c r="R979" i="17"/>
  <c r="R978" i="17" a="1"/>
  <c r="R978" i="17"/>
  <c r="R977" i="17" a="1"/>
  <c r="R977" i="17"/>
  <c r="R976" i="17" a="1"/>
  <c r="R976" i="17"/>
  <c r="R975" i="17" a="1"/>
  <c r="R975" i="17"/>
  <c r="R974" i="17" a="1"/>
  <c r="R974" i="17"/>
  <c r="R973" i="17" a="1"/>
  <c r="R973" i="17"/>
  <c r="R972" i="17" a="1"/>
  <c r="R972" i="17"/>
  <c r="R971" i="17" a="1"/>
  <c r="R971" i="17"/>
  <c r="R970" i="17" a="1"/>
  <c r="R970" i="17"/>
  <c r="R969" i="17" a="1"/>
  <c r="R969" i="17"/>
  <c r="R968" i="17" a="1"/>
  <c r="R968" i="17"/>
  <c r="R967" i="17" a="1"/>
  <c r="R967" i="17"/>
  <c r="R966" i="17" a="1"/>
  <c r="R966" i="17"/>
  <c r="R965" i="17" a="1"/>
  <c r="R965" i="17"/>
  <c r="R964" i="17" a="1"/>
  <c r="R964" i="17"/>
  <c r="R963" i="17" a="1"/>
  <c r="R963" i="17"/>
  <c r="R962" i="17" a="1"/>
  <c r="R962" i="17"/>
  <c r="R961" i="17" a="1"/>
  <c r="R961" i="17"/>
  <c r="R960" i="17" a="1"/>
  <c r="R960" i="17"/>
  <c r="R959" i="17" a="1"/>
  <c r="R959" i="17"/>
  <c r="R958" i="17" a="1"/>
  <c r="R958" i="17"/>
  <c r="R957" i="17" a="1"/>
  <c r="R957" i="17"/>
  <c r="R956" i="17" a="1"/>
  <c r="R956" i="17"/>
  <c r="R955" i="17" a="1"/>
  <c r="R955" i="17"/>
  <c r="R954" i="17" a="1"/>
  <c r="R954" i="17"/>
  <c r="R953" i="17" a="1"/>
  <c r="R953" i="17"/>
  <c r="R952" i="17" a="1"/>
  <c r="R952" i="17"/>
  <c r="R951" i="17" a="1"/>
  <c r="R951" i="17"/>
  <c r="R950" i="17" a="1"/>
  <c r="R950" i="17"/>
  <c r="R949" i="17" a="1"/>
  <c r="R949" i="17"/>
  <c r="R948" i="17" a="1"/>
  <c r="R948" i="17"/>
  <c r="R947" i="17" a="1"/>
  <c r="R947" i="17"/>
  <c r="R946" i="17" a="1"/>
  <c r="R946" i="17"/>
  <c r="R945" i="17" a="1"/>
  <c r="R945" i="17"/>
  <c r="R944" i="17" a="1"/>
  <c r="R944" i="17"/>
  <c r="R943" i="17" a="1"/>
  <c r="R943" i="17"/>
  <c r="R942" i="17" a="1"/>
  <c r="R942" i="17"/>
  <c r="R941" i="17" a="1"/>
  <c r="R941" i="17"/>
  <c r="R940" i="17" a="1"/>
  <c r="R940" i="17"/>
  <c r="R939" i="17" a="1"/>
  <c r="R939" i="17"/>
  <c r="R938" i="17" a="1"/>
  <c r="R938" i="17"/>
  <c r="R937" i="17" a="1"/>
  <c r="R937" i="17"/>
  <c r="R936" i="17" a="1"/>
  <c r="R936" i="17"/>
  <c r="R935" i="17" a="1"/>
  <c r="R935" i="17"/>
  <c r="R934" i="17" a="1"/>
  <c r="R934" i="17"/>
  <c r="R933" i="17" a="1"/>
  <c r="R933" i="17"/>
  <c r="R932" i="17" a="1"/>
  <c r="R932" i="17"/>
  <c r="R931" i="17" a="1"/>
  <c r="R931" i="17"/>
  <c r="R930" i="17" a="1"/>
  <c r="R930" i="17"/>
  <c r="R929" i="17" a="1"/>
  <c r="R929" i="17"/>
  <c r="R928" i="17" a="1"/>
  <c r="R928" i="17"/>
  <c r="R927" i="17" a="1"/>
  <c r="R927" i="17"/>
  <c r="R926" i="17" a="1"/>
  <c r="R926" i="17"/>
  <c r="R925" i="17" a="1"/>
  <c r="R925" i="17"/>
  <c r="R924" i="17" a="1"/>
  <c r="R924" i="17"/>
  <c r="R923" i="17" a="1"/>
  <c r="R923" i="17"/>
  <c r="R922" i="17" a="1"/>
  <c r="R922" i="17"/>
  <c r="R921" i="17" a="1"/>
  <c r="R921" i="17"/>
  <c r="R920" i="17" a="1"/>
  <c r="R920" i="17"/>
  <c r="R919" i="17" a="1"/>
  <c r="R919" i="17"/>
  <c r="R918" i="17" a="1"/>
  <c r="R918" i="17"/>
  <c r="R917" i="17" a="1"/>
  <c r="R917" i="17"/>
  <c r="R916" i="17" a="1"/>
  <c r="R916" i="17"/>
  <c r="R915" i="17" a="1"/>
  <c r="R915" i="17"/>
  <c r="R914" i="17" a="1"/>
  <c r="R914" i="17"/>
  <c r="R913" i="17" a="1"/>
  <c r="R913" i="17"/>
  <c r="R912" i="17" a="1"/>
  <c r="R912" i="17"/>
  <c r="R911" i="17" a="1"/>
  <c r="R911" i="17"/>
  <c r="R910" i="17" a="1"/>
  <c r="R910" i="17"/>
  <c r="R909" i="17" a="1"/>
  <c r="R909" i="17"/>
  <c r="R908" i="17" a="1"/>
  <c r="R908" i="17"/>
  <c r="R907" i="17" a="1"/>
  <c r="R907" i="17"/>
  <c r="R906" i="17" a="1"/>
  <c r="R906" i="17"/>
  <c r="R905" i="17" a="1"/>
  <c r="R905" i="17"/>
  <c r="R904" i="17" a="1"/>
  <c r="R904" i="17"/>
  <c r="R903" i="17" a="1"/>
  <c r="R903" i="17"/>
  <c r="R902" i="17" a="1"/>
  <c r="R902" i="17"/>
  <c r="R901" i="17" a="1"/>
  <c r="R901" i="17"/>
  <c r="R900" i="17" a="1"/>
  <c r="R900" i="17"/>
  <c r="R899" i="17" a="1"/>
  <c r="R899" i="17"/>
  <c r="R898" i="17" a="1"/>
  <c r="R898" i="17"/>
  <c r="R897" i="17" a="1"/>
  <c r="R897" i="17"/>
  <c r="R896" i="17" a="1"/>
  <c r="R896" i="17"/>
  <c r="R895" i="17" a="1"/>
  <c r="R895" i="17"/>
  <c r="R894" i="17" a="1"/>
  <c r="R894" i="17"/>
  <c r="R893" i="17" a="1"/>
  <c r="R893" i="17"/>
  <c r="R892" i="17" a="1"/>
  <c r="R892" i="17"/>
  <c r="R891" i="17" a="1"/>
  <c r="R891" i="17"/>
  <c r="R890" i="17" a="1"/>
  <c r="R890" i="17"/>
  <c r="R889" i="17" a="1"/>
  <c r="R889" i="17"/>
  <c r="R888" i="17" a="1"/>
  <c r="R888" i="17"/>
  <c r="R887" i="17" a="1"/>
  <c r="R887" i="17"/>
  <c r="R886" i="17" a="1"/>
  <c r="R886" i="17"/>
  <c r="R885" i="17" a="1"/>
  <c r="R885" i="17"/>
  <c r="R884" i="17" a="1"/>
  <c r="R884" i="17"/>
  <c r="R883" i="17" a="1"/>
  <c r="R883" i="17"/>
  <c r="R882" i="17" a="1"/>
  <c r="R882" i="17"/>
  <c r="R881" i="17" a="1"/>
  <c r="R881" i="17"/>
  <c r="R880" i="17" a="1"/>
  <c r="R880" i="17"/>
  <c r="R879" i="17" a="1"/>
  <c r="R879" i="17"/>
  <c r="R878" i="17" a="1"/>
  <c r="R878" i="17"/>
  <c r="R877" i="17" a="1"/>
  <c r="R877" i="17"/>
  <c r="R876" i="17" a="1"/>
  <c r="R876" i="17"/>
  <c r="R875" i="17" a="1"/>
  <c r="R875" i="17"/>
  <c r="R874" i="17" a="1"/>
  <c r="R874" i="17"/>
  <c r="R873" i="17" a="1"/>
  <c r="R873" i="17"/>
  <c r="R872" i="17" a="1"/>
  <c r="R872" i="17"/>
  <c r="R871" i="17" a="1"/>
  <c r="R871" i="17"/>
  <c r="R870" i="17" a="1"/>
  <c r="R870" i="17"/>
  <c r="R869" i="17" a="1"/>
  <c r="R869" i="17"/>
  <c r="R868" i="17" a="1"/>
  <c r="R868" i="17"/>
  <c r="R867" i="17" a="1"/>
  <c r="R867" i="17"/>
  <c r="R866" i="17" a="1"/>
  <c r="R866" i="17"/>
  <c r="R865" i="17" a="1"/>
  <c r="R865" i="17"/>
  <c r="R864" i="17" a="1"/>
  <c r="R864" i="17"/>
  <c r="R863" i="17" a="1"/>
  <c r="R863" i="17"/>
  <c r="R862" i="17" a="1"/>
  <c r="R862" i="17"/>
  <c r="R861" i="17" a="1"/>
  <c r="R861" i="17"/>
  <c r="R860" i="17" a="1"/>
  <c r="R860" i="17"/>
  <c r="R859" i="17" a="1"/>
  <c r="R859" i="17"/>
  <c r="R858" i="17" a="1"/>
  <c r="R858" i="17"/>
  <c r="R857" i="17" a="1"/>
  <c r="R857" i="17"/>
  <c r="R856" i="17" a="1"/>
  <c r="R856" i="17"/>
  <c r="R855" i="17" a="1"/>
  <c r="R855" i="17"/>
  <c r="R854" i="17" a="1"/>
  <c r="R854" i="17"/>
  <c r="R853" i="17" a="1"/>
  <c r="R853" i="17"/>
  <c r="R852" i="17" a="1"/>
  <c r="R852" i="17"/>
  <c r="R851" i="17" a="1"/>
  <c r="R851" i="17"/>
  <c r="R850" i="17" a="1"/>
  <c r="R850" i="17"/>
  <c r="R849" i="17" a="1"/>
  <c r="R849" i="17"/>
  <c r="R848" i="17" a="1"/>
  <c r="R848" i="17"/>
  <c r="R847" i="17" a="1"/>
  <c r="R847" i="17"/>
  <c r="R846" i="17" a="1"/>
  <c r="R846" i="17"/>
  <c r="R845" i="17" a="1"/>
  <c r="R845" i="17"/>
  <c r="R844" i="17" a="1"/>
  <c r="R844" i="17"/>
  <c r="R843" i="17" a="1"/>
  <c r="R843" i="17"/>
  <c r="R842" i="17" a="1"/>
  <c r="R842" i="17"/>
  <c r="R841" i="17" a="1"/>
  <c r="R841" i="17"/>
  <c r="R840" i="17" a="1"/>
  <c r="R840" i="17"/>
  <c r="R839" i="17" a="1"/>
  <c r="R839" i="17"/>
  <c r="R838" i="17" a="1"/>
  <c r="R838" i="17"/>
  <c r="R837" i="17" a="1"/>
  <c r="R837" i="17"/>
  <c r="R836" i="17" a="1"/>
  <c r="R836" i="17"/>
  <c r="R835" i="17" a="1"/>
  <c r="R835" i="17"/>
  <c r="R834" i="17" a="1"/>
  <c r="R834" i="17"/>
  <c r="R833" i="17" a="1"/>
  <c r="R833" i="17"/>
  <c r="R832" i="17" a="1"/>
  <c r="R832" i="17"/>
  <c r="R831" i="17" a="1"/>
  <c r="R831" i="17"/>
  <c r="R830" i="17" a="1"/>
  <c r="R830" i="17"/>
  <c r="R829" i="17" a="1"/>
  <c r="R829" i="17"/>
  <c r="R828" i="17" a="1"/>
  <c r="R828" i="17"/>
  <c r="R827" i="17" a="1"/>
  <c r="R827" i="17"/>
  <c r="R826" i="17" a="1"/>
  <c r="R826" i="17"/>
  <c r="R825" i="17" a="1"/>
  <c r="R825" i="17"/>
  <c r="R824" i="17" a="1"/>
  <c r="R824" i="17"/>
  <c r="R823" i="17" a="1"/>
  <c r="R823" i="17"/>
  <c r="R822" i="17" a="1"/>
  <c r="R822" i="17"/>
  <c r="R821" i="17" a="1"/>
  <c r="R821" i="17"/>
  <c r="R820" i="17" a="1"/>
  <c r="R820" i="17"/>
  <c r="R819" i="17" a="1"/>
  <c r="R819" i="17"/>
  <c r="R818" i="17" a="1"/>
  <c r="R818" i="17"/>
  <c r="R817" i="17" a="1"/>
  <c r="R817" i="17"/>
  <c r="R816" i="17" a="1"/>
  <c r="R816" i="17"/>
  <c r="R815" i="17" a="1"/>
  <c r="R815" i="17"/>
  <c r="R814" i="17" a="1"/>
  <c r="R814" i="17"/>
  <c r="R813" i="17" a="1"/>
  <c r="R813" i="17"/>
  <c r="R812" i="17" a="1"/>
  <c r="R812" i="17"/>
  <c r="R811" i="17" a="1"/>
  <c r="R811" i="17"/>
  <c r="R810" i="17" a="1"/>
  <c r="R810" i="17"/>
  <c r="R809" i="17" a="1"/>
  <c r="R809" i="17"/>
  <c r="R808" i="17" a="1"/>
  <c r="R808" i="17"/>
  <c r="R807" i="17" a="1"/>
  <c r="R807" i="17"/>
  <c r="R806" i="17" a="1"/>
  <c r="R806" i="17"/>
  <c r="R805" i="17" a="1"/>
  <c r="R805" i="17"/>
  <c r="R804" i="17" a="1"/>
  <c r="R804" i="17"/>
  <c r="R803" i="17" a="1"/>
  <c r="R803" i="17"/>
  <c r="R802" i="17" a="1"/>
  <c r="R802" i="17"/>
  <c r="R801" i="17" a="1"/>
  <c r="R801" i="17"/>
  <c r="R800" i="17" a="1"/>
  <c r="R800" i="17"/>
  <c r="R799" i="17" a="1"/>
  <c r="R799" i="17"/>
  <c r="R798" i="17" a="1"/>
  <c r="R798" i="17"/>
  <c r="R797" i="17" a="1"/>
  <c r="R797" i="17"/>
  <c r="R796" i="17" a="1"/>
  <c r="R796" i="17"/>
  <c r="R795" i="17" a="1"/>
  <c r="R795" i="17"/>
  <c r="R794" i="17" a="1"/>
  <c r="R794" i="17"/>
  <c r="R793" i="17" a="1"/>
  <c r="R793" i="17"/>
  <c r="R792" i="17" a="1"/>
  <c r="R792" i="17"/>
  <c r="R791" i="17" a="1"/>
  <c r="R791" i="17"/>
  <c r="R790" i="17" a="1"/>
  <c r="R790" i="17"/>
  <c r="R789" i="17" a="1"/>
  <c r="R789" i="17"/>
  <c r="R788" i="17" a="1"/>
  <c r="R788" i="17"/>
  <c r="R787" i="17" a="1"/>
  <c r="R787" i="17"/>
  <c r="R786" i="17" a="1"/>
  <c r="R786" i="17"/>
  <c r="R785" i="17" a="1"/>
  <c r="R785" i="17"/>
  <c r="R784" i="17" a="1"/>
  <c r="R784" i="17"/>
  <c r="R783" i="17" a="1"/>
  <c r="R783" i="17"/>
  <c r="R782" i="17" a="1"/>
  <c r="R782" i="17"/>
  <c r="R781" i="17" a="1"/>
  <c r="R781" i="17"/>
  <c r="R780" i="17" a="1"/>
  <c r="R780" i="17"/>
  <c r="R779" i="17" a="1"/>
  <c r="R779" i="17"/>
  <c r="R778" i="17" a="1"/>
  <c r="R778" i="17"/>
  <c r="R777" i="17" a="1"/>
  <c r="R777" i="17"/>
  <c r="R776" i="17" a="1"/>
  <c r="R776" i="17"/>
  <c r="R775" i="17" a="1"/>
  <c r="R775" i="17"/>
  <c r="R774" i="17" a="1"/>
  <c r="R774" i="17"/>
  <c r="R773" i="17" a="1"/>
  <c r="R773" i="17"/>
  <c r="R772" i="17" a="1"/>
  <c r="R772" i="17"/>
  <c r="R771" i="17" a="1"/>
  <c r="R771" i="17"/>
  <c r="R770" i="17" a="1"/>
  <c r="R770" i="17"/>
  <c r="R769" i="17" a="1"/>
  <c r="R769" i="17"/>
  <c r="R768" i="17" a="1"/>
  <c r="R768" i="17"/>
  <c r="R767" i="17" a="1"/>
  <c r="R767" i="17"/>
  <c r="R766" i="17" a="1"/>
  <c r="R766" i="17"/>
  <c r="R765" i="17" a="1"/>
  <c r="R765" i="17"/>
  <c r="R764" i="17" a="1"/>
  <c r="R764" i="17"/>
  <c r="R763" i="17" a="1"/>
  <c r="R763" i="17"/>
  <c r="R762" i="17" a="1"/>
  <c r="R762" i="17"/>
  <c r="R761" i="17" a="1"/>
  <c r="R761" i="17"/>
  <c r="R760" i="17" a="1"/>
  <c r="R760" i="17"/>
  <c r="R759" i="17" a="1"/>
  <c r="R759" i="17"/>
  <c r="R758" i="17" a="1"/>
  <c r="R758" i="17"/>
  <c r="R757" i="17" a="1"/>
  <c r="R757" i="17"/>
  <c r="R756" i="17" a="1"/>
  <c r="R756" i="17"/>
  <c r="R755" i="17" a="1"/>
  <c r="R755" i="17"/>
  <c r="R754" i="17" a="1"/>
  <c r="R754" i="17"/>
  <c r="R753" i="17" a="1"/>
  <c r="R753" i="17"/>
  <c r="R752" i="17" a="1"/>
  <c r="R752" i="17"/>
  <c r="R751" i="17" a="1"/>
  <c r="R751" i="17"/>
  <c r="R750" i="17" a="1"/>
  <c r="R750" i="17"/>
  <c r="R749" i="17" a="1"/>
  <c r="R749" i="17"/>
  <c r="R748" i="17" a="1"/>
  <c r="R748" i="17"/>
  <c r="R747" i="17" a="1"/>
  <c r="R747" i="17"/>
  <c r="R746" i="17" a="1"/>
  <c r="R746" i="17"/>
  <c r="R745" i="17" a="1"/>
  <c r="R745" i="17"/>
  <c r="R744" i="17" a="1"/>
  <c r="R744" i="17"/>
  <c r="R743" i="17" a="1"/>
  <c r="R743" i="17"/>
  <c r="R742" i="17" a="1"/>
  <c r="R742" i="17"/>
  <c r="R741" i="17" a="1"/>
  <c r="R741" i="17"/>
  <c r="R740" i="17" a="1"/>
  <c r="R740" i="17"/>
  <c r="R739" i="17" a="1"/>
  <c r="R739" i="17"/>
  <c r="R738" i="17" a="1"/>
  <c r="R738" i="17"/>
  <c r="R737" i="17" a="1"/>
  <c r="R737" i="17"/>
  <c r="R736" i="17" a="1"/>
  <c r="R736" i="17"/>
  <c r="R735" i="17" a="1"/>
  <c r="R735" i="17"/>
  <c r="R734" i="17" a="1"/>
  <c r="R734" i="17"/>
  <c r="R733" i="17" a="1"/>
  <c r="R733" i="17"/>
  <c r="R732" i="17" a="1"/>
  <c r="R732" i="17"/>
  <c r="R731" i="17" a="1"/>
  <c r="R731" i="17"/>
  <c r="R730" i="17" a="1"/>
  <c r="R730" i="17"/>
  <c r="R729" i="17" a="1"/>
  <c r="R729" i="17"/>
  <c r="R728" i="17" a="1"/>
  <c r="R728" i="17"/>
  <c r="R727" i="17" a="1"/>
  <c r="R727" i="17"/>
  <c r="R726" i="17" a="1"/>
  <c r="R726" i="17"/>
  <c r="R725" i="17" a="1"/>
  <c r="R725" i="17"/>
  <c r="R724" i="17" a="1"/>
  <c r="R724" i="17"/>
  <c r="R723" i="17" a="1"/>
  <c r="R723" i="17"/>
  <c r="R722" i="17" a="1"/>
  <c r="R722" i="17"/>
  <c r="R721" i="17" a="1"/>
  <c r="R721" i="17"/>
  <c r="R720" i="17" a="1"/>
  <c r="R720" i="17"/>
  <c r="R719" i="17" a="1"/>
  <c r="R719" i="17"/>
  <c r="R718" i="17" a="1"/>
  <c r="R718" i="17"/>
  <c r="R717" i="17" a="1"/>
  <c r="R717" i="17"/>
  <c r="R716" i="17" a="1"/>
  <c r="R716" i="17"/>
  <c r="R715" i="17" a="1"/>
  <c r="R715" i="17"/>
  <c r="R714" i="17" a="1"/>
  <c r="R714" i="17"/>
  <c r="R713" i="17" a="1"/>
  <c r="R713" i="17"/>
  <c r="R712" i="17" a="1"/>
  <c r="R712" i="17"/>
  <c r="R711" i="17" a="1"/>
  <c r="R711" i="17"/>
  <c r="R710" i="17" a="1"/>
  <c r="R710" i="17"/>
  <c r="R709" i="17" a="1"/>
  <c r="R709" i="17"/>
  <c r="R708" i="17" a="1"/>
  <c r="R708" i="17"/>
  <c r="R707" i="17" a="1"/>
  <c r="R707" i="17"/>
  <c r="R706" i="17" a="1"/>
  <c r="R706" i="17"/>
  <c r="R705" i="17" a="1"/>
  <c r="R705" i="17"/>
  <c r="R704" i="17" a="1"/>
  <c r="R704" i="17"/>
  <c r="R703" i="17" a="1"/>
  <c r="R703" i="17"/>
  <c r="R702" i="17" a="1"/>
  <c r="R702" i="17"/>
  <c r="R701" i="17" a="1"/>
  <c r="R701" i="17"/>
  <c r="R700" i="17" a="1"/>
  <c r="R700" i="17"/>
  <c r="R699" i="17" a="1"/>
  <c r="R699" i="17"/>
  <c r="R698" i="17" a="1"/>
  <c r="R698" i="17"/>
  <c r="R697" i="17" a="1"/>
  <c r="R697" i="17"/>
  <c r="R696" i="17" a="1"/>
  <c r="R696" i="17"/>
  <c r="R695" i="17" a="1"/>
  <c r="R695" i="17"/>
  <c r="R694" i="17" a="1"/>
  <c r="R694" i="17"/>
  <c r="R693" i="17" a="1"/>
  <c r="R693" i="17"/>
  <c r="R692" i="17" a="1"/>
  <c r="R692" i="17"/>
  <c r="R691" i="17" a="1"/>
  <c r="R691" i="17"/>
  <c r="R690" i="17" a="1"/>
  <c r="R690" i="17"/>
  <c r="R689" i="17" a="1"/>
  <c r="R689" i="17"/>
  <c r="R688" i="17" a="1"/>
  <c r="R688" i="17"/>
  <c r="R687" i="17" a="1"/>
  <c r="R687" i="17"/>
  <c r="R686" i="17" a="1"/>
  <c r="R686" i="17"/>
  <c r="R685" i="17" a="1"/>
  <c r="R685" i="17"/>
  <c r="R684" i="17" a="1"/>
  <c r="R684" i="17"/>
  <c r="R683" i="17" a="1"/>
  <c r="R683" i="17"/>
  <c r="R682" i="17" a="1"/>
  <c r="R682" i="17"/>
  <c r="R681" i="17" a="1"/>
  <c r="R681" i="17"/>
  <c r="R680" i="17" a="1"/>
  <c r="R680" i="17"/>
  <c r="R679" i="17" a="1"/>
  <c r="R679" i="17"/>
  <c r="R678" i="17" a="1"/>
  <c r="R678" i="17"/>
  <c r="R677" i="17" a="1"/>
  <c r="R677" i="17"/>
  <c r="R676" i="17" a="1"/>
  <c r="R676" i="17"/>
  <c r="R675" i="17" a="1"/>
  <c r="R675" i="17"/>
  <c r="R674" i="17" a="1"/>
  <c r="R674" i="17"/>
  <c r="R673" i="17" a="1"/>
  <c r="R673" i="17"/>
  <c r="R672" i="17" a="1"/>
  <c r="R672" i="17"/>
  <c r="R671" i="17" a="1"/>
  <c r="R671" i="17"/>
  <c r="R670" i="17" a="1"/>
  <c r="R670" i="17"/>
  <c r="R669" i="17" a="1"/>
  <c r="R669" i="17"/>
  <c r="R668" i="17" a="1"/>
  <c r="R668" i="17"/>
  <c r="R667" i="17" a="1"/>
  <c r="R667" i="17"/>
  <c r="R666" i="17" a="1"/>
  <c r="R666" i="17"/>
  <c r="R665" i="17" a="1"/>
  <c r="R665" i="17"/>
  <c r="R664" i="17" a="1"/>
  <c r="R664" i="17"/>
  <c r="R663" i="17" a="1"/>
  <c r="R663" i="17"/>
  <c r="R662" i="17" a="1"/>
  <c r="R662" i="17"/>
  <c r="R661" i="17" a="1"/>
  <c r="R661" i="17"/>
  <c r="R660" i="17" a="1"/>
  <c r="R660" i="17"/>
  <c r="R659" i="17" a="1"/>
  <c r="R659" i="17"/>
  <c r="R658" i="17" a="1"/>
  <c r="R658" i="17"/>
  <c r="R657" i="17" a="1"/>
  <c r="R657" i="17"/>
  <c r="R656" i="17" a="1"/>
  <c r="R656" i="17"/>
  <c r="R655" i="17" a="1"/>
  <c r="R655" i="17"/>
  <c r="R654" i="17" a="1"/>
  <c r="R654" i="17"/>
  <c r="R653" i="17" a="1"/>
  <c r="R653" i="17"/>
  <c r="R652" i="17" a="1"/>
  <c r="R652" i="17"/>
  <c r="R651" i="17" a="1"/>
  <c r="R651" i="17"/>
  <c r="R650" i="17" a="1"/>
  <c r="R650" i="17"/>
  <c r="R649" i="17" a="1"/>
  <c r="R649" i="17"/>
  <c r="R648" i="17" a="1"/>
  <c r="R648" i="17"/>
  <c r="R647" i="17" a="1"/>
  <c r="R647" i="17"/>
  <c r="R646" i="17" a="1"/>
  <c r="R646" i="17"/>
  <c r="R645" i="17" a="1"/>
  <c r="R645" i="17"/>
  <c r="R644" i="17" a="1"/>
  <c r="R644" i="17"/>
  <c r="R643" i="17" a="1"/>
  <c r="R643" i="17"/>
  <c r="R642" i="17" a="1"/>
  <c r="R642" i="17"/>
  <c r="R641" i="17" a="1"/>
  <c r="R641" i="17"/>
  <c r="R640" i="17" a="1"/>
  <c r="R640" i="17"/>
  <c r="R639" i="17" a="1"/>
  <c r="R639" i="17"/>
  <c r="R638" i="17" a="1"/>
  <c r="R638" i="17"/>
  <c r="R637" i="17" a="1"/>
  <c r="R637" i="17"/>
  <c r="R636" i="17" a="1"/>
  <c r="R636" i="17"/>
  <c r="R635" i="17" a="1"/>
  <c r="R635" i="17"/>
  <c r="R634" i="17" a="1"/>
  <c r="R634" i="17"/>
  <c r="R633" i="17" a="1"/>
  <c r="R633" i="17"/>
  <c r="R632" i="17" a="1"/>
  <c r="R632" i="17"/>
  <c r="R631" i="17" a="1"/>
  <c r="R631" i="17"/>
  <c r="R630" i="17" a="1"/>
  <c r="R630" i="17"/>
  <c r="R629" i="17" a="1"/>
  <c r="R629" i="17"/>
  <c r="R628" i="17" a="1"/>
  <c r="R628" i="17"/>
  <c r="R627" i="17" a="1"/>
  <c r="R627" i="17"/>
  <c r="R626" i="17" a="1"/>
  <c r="R626" i="17"/>
  <c r="R625" i="17" a="1"/>
  <c r="R625" i="17"/>
  <c r="R624" i="17" a="1"/>
  <c r="R624" i="17"/>
  <c r="R623" i="17" a="1"/>
  <c r="R623" i="17"/>
  <c r="R622" i="17" a="1"/>
  <c r="R622" i="17"/>
  <c r="R621" i="17" a="1"/>
  <c r="R621" i="17"/>
  <c r="R620" i="17" a="1"/>
  <c r="R620" i="17"/>
  <c r="R619" i="17" a="1"/>
  <c r="R619" i="17"/>
  <c r="R618" i="17" a="1"/>
  <c r="R618" i="17"/>
  <c r="R617" i="17" a="1"/>
  <c r="R617" i="17"/>
  <c r="R616" i="17" a="1"/>
  <c r="R616" i="17"/>
  <c r="R615" i="17" a="1"/>
  <c r="R615" i="17"/>
  <c r="R614" i="17" a="1"/>
  <c r="R614" i="17"/>
  <c r="R613" i="17" a="1"/>
  <c r="R613" i="17"/>
  <c r="R612" i="17" a="1"/>
  <c r="R612" i="17"/>
  <c r="R611" i="17" a="1"/>
  <c r="R611" i="17"/>
  <c r="R610" i="17" a="1"/>
  <c r="R610" i="17"/>
  <c r="R609" i="17" a="1"/>
  <c r="R609" i="17"/>
  <c r="R608" i="17" a="1"/>
  <c r="R608" i="17"/>
  <c r="R607" i="17" a="1"/>
  <c r="R607" i="17"/>
  <c r="R606" i="17" a="1"/>
  <c r="R606" i="17"/>
  <c r="R605" i="17" a="1"/>
  <c r="R605" i="17"/>
  <c r="R604" i="17" a="1"/>
  <c r="R604" i="17"/>
  <c r="R603" i="17" a="1"/>
  <c r="R603" i="17"/>
  <c r="R602" i="17" a="1"/>
  <c r="R602" i="17"/>
  <c r="R601" i="17" a="1"/>
  <c r="R601" i="17"/>
  <c r="R600" i="17" a="1"/>
  <c r="R600" i="17"/>
  <c r="R599" i="17" a="1"/>
  <c r="R599" i="17"/>
  <c r="R598" i="17" a="1"/>
  <c r="R598" i="17"/>
  <c r="R597" i="17" a="1"/>
  <c r="R597" i="17"/>
  <c r="R596" i="17" a="1"/>
  <c r="R596" i="17"/>
  <c r="R595" i="17" a="1"/>
  <c r="R595" i="17"/>
  <c r="R594" i="17" a="1"/>
  <c r="R594" i="17"/>
  <c r="R593" i="17" a="1"/>
  <c r="R593" i="17"/>
  <c r="R592" i="17" a="1"/>
  <c r="R592" i="17"/>
  <c r="R591" i="17" a="1"/>
  <c r="R591" i="17"/>
  <c r="R590" i="17" a="1"/>
  <c r="R590" i="17"/>
  <c r="R589" i="17" a="1"/>
  <c r="R589" i="17"/>
  <c r="R588" i="17" a="1"/>
  <c r="R588" i="17"/>
  <c r="R587" i="17" a="1"/>
  <c r="R587" i="17"/>
  <c r="R586" i="17" a="1"/>
  <c r="R586" i="17"/>
  <c r="R585" i="17" a="1"/>
  <c r="R585" i="17"/>
  <c r="R584" i="17" a="1"/>
  <c r="R584" i="17"/>
  <c r="R583" i="17" a="1"/>
  <c r="R583" i="17"/>
  <c r="R582" i="17" a="1"/>
  <c r="R582" i="17"/>
  <c r="R581" i="17" a="1"/>
  <c r="R581" i="17"/>
  <c r="R580" i="17" a="1"/>
  <c r="R580" i="17"/>
  <c r="R579" i="17" a="1"/>
  <c r="R579" i="17"/>
  <c r="R578" i="17" a="1"/>
  <c r="R578" i="17"/>
  <c r="R577" i="17" a="1"/>
  <c r="R577" i="17"/>
  <c r="R576" i="17" a="1"/>
  <c r="R576" i="17"/>
  <c r="R575" i="17" a="1"/>
  <c r="R575" i="17"/>
  <c r="R574" i="17" a="1"/>
  <c r="R574" i="17"/>
  <c r="R573" i="17" a="1"/>
  <c r="R573" i="17"/>
  <c r="R572" i="17" a="1"/>
  <c r="R572" i="17"/>
  <c r="R571" i="17" a="1"/>
  <c r="R571" i="17"/>
  <c r="R570" i="17" a="1"/>
  <c r="R570" i="17"/>
  <c r="R569" i="17" a="1"/>
  <c r="R569" i="17"/>
  <c r="R568" i="17" a="1"/>
  <c r="R568" i="17"/>
  <c r="R567" i="17" a="1"/>
  <c r="R567" i="17"/>
  <c r="R566" i="17" a="1"/>
  <c r="R566" i="17"/>
  <c r="R565" i="17" a="1"/>
  <c r="R565" i="17"/>
  <c r="R564" i="17" a="1"/>
  <c r="R564" i="17"/>
  <c r="R563" i="17" a="1"/>
  <c r="R563" i="17"/>
  <c r="R562" i="17" a="1"/>
  <c r="R562" i="17"/>
  <c r="R561" i="17" a="1"/>
  <c r="R561" i="17"/>
  <c r="R560" i="17" a="1"/>
  <c r="R560" i="17"/>
  <c r="R559" i="17" a="1"/>
  <c r="R559" i="17"/>
  <c r="R558" i="17" a="1"/>
  <c r="R558" i="17"/>
  <c r="R557" i="17" a="1"/>
  <c r="R557" i="17"/>
  <c r="R556" i="17" a="1"/>
  <c r="R556" i="17"/>
  <c r="R555" i="17" a="1"/>
  <c r="R555" i="17"/>
  <c r="R554" i="17" a="1"/>
  <c r="R554" i="17"/>
  <c r="R553" i="17" a="1"/>
  <c r="R553" i="17"/>
  <c r="R552" i="17" a="1"/>
  <c r="R552" i="17"/>
  <c r="R551" i="17" a="1"/>
  <c r="R551" i="17"/>
  <c r="R550" i="17" a="1"/>
  <c r="R550" i="17"/>
  <c r="R549" i="17" a="1"/>
  <c r="R549" i="17"/>
  <c r="R548" i="17" a="1"/>
  <c r="R548" i="17"/>
  <c r="R547" i="17" a="1"/>
  <c r="R547" i="17"/>
  <c r="R546" i="17" a="1"/>
  <c r="R546" i="17"/>
  <c r="R545" i="17" a="1"/>
  <c r="R545" i="17"/>
  <c r="R544" i="17" a="1"/>
  <c r="R544" i="17"/>
  <c r="R543" i="17" a="1"/>
  <c r="R543" i="17"/>
  <c r="R542" i="17" a="1"/>
  <c r="R542" i="17"/>
  <c r="R541" i="17" a="1"/>
  <c r="R541" i="17"/>
  <c r="R540" i="17" a="1"/>
  <c r="R540" i="17"/>
  <c r="R539" i="17" a="1"/>
  <c r="R539" i="17"/>
  <c r="R538" i="17" a="1"/>
  <c r="R538" i="17"/>
  <c r="R537" i="17" a="1"/>
  <c r="R537" i="17"/>
  <c r="R536" i="17" a="1"/>
  <c r="R536" i="17"/>
  <c r="R535" i="17" a="1"/>
  <c r="R535" i="17"/>
  <c r="R534" i="17" a="1"/>
  <c r="R534" i="17"/>
  <c r="R533" i="17" a="1"/>
  <c r="R533" i="17"/>
  <c r="R532" i="17" a="1"/>
  <c r="R532" i="17"/>
  <c r="R531" i="17" a="1"/>
  <c r="R531" i="17"/>
  <c r="R530" i="17" a="1"/>
  <c r="R530" i="17"/>
  <c r="R529" i="17" a="1"/>
  <c r="R529" i="17"/>
  <c r="R528" i="17" a="1"/>
  <c r="R528" i="17"/>
  <c r="R527" i="17" a="1"/>
  <c r="R527" i="17"/>
  <c r="R526" i="17" a="1"/>
  <c r="R526" i="17"/>
  <c r="R525" i="17" a="1"/>
  <c r="R525" i="17"/>
  <c r="R524" i="17" a="1"/>
  <c r="R524" i="17"/>
  <c r="R523" i="17" a="1"/>
  <c r="R523" i="17"/>
  <c r="R522" i="17" a="1"/>
  <c r="R522" i="17"/>
  <c r="R521" i="17" a="1"/>
  <c r="R521" i="17"/>
  <c r="R520" i="17" a="1"/>
  <c r="R520" i="17"/>
  <c r="R519" i="17" a="1"/>
  <c r="R519" i="17"/>
  <c r="R518" i="17" a="1"/>
  <c r="R518" i="17"/>
  <c r="R517" i="17" a="1"/>
  <c r="R517" i="17"/>
  <c r="R516" i="17" a="1"/>
  <c r="R516" i="17"/>
  <c r="R515" i="17" a="1"/>
  <c r="R515" i="17"/>
  <c r="R514" i="17" a="1"/>
  <c r="R514" i="17"/>
  <c r="R513" i="17" a="1"/>
  <c r="R513" i="17"/>
  <c r="R512" i="17" a="1"/>
  <c r="R512" i="17"/>
  <c r="R511" i="17" a="1"/>
  <c r="R511" i="17"/>
  <c r="R510" i="17" a="1"/>
  <c r="R510" i="17"/>
  <c r="R509" i="17" a="1"/>
  <c r="R509" i="17"/>
  <c r="R508" i="17" a="1"/>
  <c r="R508" i="17"/>
  <c r="R507" i="17" a="1"/>
  <c r="R507" i="17"/>
  <c r="R506" i="17" a="1"/>
  <c r="R506" i="17"/>
  <c r="R505" i="17" a="1"/>
  <c r="R505" i="17"/>
  <c r="R504" i="17" a="1"/>
  <c r="R504" i="17"/>
  <c r="R503" i="17" a="1"/>
  <c r="R503" i="17"/>
  <c r="R502" i="17" a="1"/>
  <c r="R502" i="17"/>
  <c r="R501" i="17" a="1"/>
  <c r="R501" i="17"/>
  <c r="R500" i="17" a="1"/>
  <c r="R500" i="17"/>
  <c r="R499" i="17" a="1"/>
  <c r="R499" i="17"/>
  <c r="R498" i="17" a="1"/>
  <c r="R498" i="17"/>
  <c r="R497" i="17" a="1"/>
  <c r="R497" i="17"/>
  <c r="R496" i="17" a="1"/>
  <c r="R496" i="17"/>
  <c r="R495" i="17" a="1"/>
  <c r="R495" i="17"/>
  <c r="R494" i="17" a="1"/>
  <c r="R494" i="17"/>
  <c r="R493" i="17" a="1"/>
  <c r="R493" i="17"/>
  <c r="R492" i="17" a="1"/>
  <c r="R492" i="17"/>
  <c r="R491" i="17" a="1"/>
  <c r="R491" i="17"/>
  <c r="R490" i="17" a="1"/>
  <c r="R490" i="17"/>
  <c r="R489" i="17" a="1"/>
  <c r="R489" i="17"/>
  <c r="R488" i="17" a="1"/>
  <c r="R488" i="17"/>
  <c r="R487" i="17" a="1"/>
  <c r="R487" i="17"/>
  <c r="R486" i="17" a="1"/>
  <c r="R486" i="17"/>
  <c r="R485" i="17" a="1"/>
  <c r="R485" i="17"/>
  <c r="R484" i="17" a="1"/>
  <c r="R484" i="17"/>
  <c r="R483" i="17" a="1"/>
  <c r="R483" i="17"/>
  <c r="R482" i="17" a="1"/>
  <c r="R482" i="17"/>
  <c r="R481" i="17" a="1"/>
  <c r="R481" i="17"/>
  <c r="R480" i="17" a="1"/>
  <c r="R480" i="17"/>
  <c r="R479" i="17" a="1"/>
  <c r="R479" i="17"/>
  <c r="R478" i="17" a="1"/>
  <c r="R478" i="17"/>
  <c r="R477" i="17" a="1"/>
  <c r="R477" i="17"/>
  <c r="R476" i="17" a="1"/>
  <c r="R476" i="17"/>
  <c r="R475" i="17" a="1"/>
  <c r="R475" i="17"/>
  <c r="R474" i="17" a="1"/>
  <c r="R474" i="17"/>
  <c r="R473" i="17" a="1"/>
  <c r="R473" i="17"/>
  <c r="R472" i="17" a="1"/>
  <c r="R472" i="17"/>
  <c r="R471" i="17" a="1"/>
  <c r="R471" i="17"/>
  <c r="R470" i="17" a="1"/>
  <c r="R470" i="17"/>
  <c r="R469" i="17" a="1"/>
  <c r="R469" i="17"/>
  <c r="R468" i="17" a="1"/>
  <c r="R468" i="17"/>
  <c r="R467" i="17" a="1"/>
  <c r="R467" i="17"/>
  <c r="R466" i="17" a="1"/>
  <c r="R466" i="17"/>
  <c r="R465" i="17" a="1"/>
  <c r="R465" i="17"/>
  <c r="R464" i="17" a="1"/>
  <c r="R464" i="17"/>
  <c r="R463" i="17" a="1"/>
  <c r="R463" i="17"/>
  <c r="R462" i="17" a="1"/>
  <c r="R462" i="17"/>
  <c r="R461" i="17" a="1"/>
  <c r="R461" i="17"/>
  <c r="R460" i="17" a="1"/>
  <c r="R460" i="17"/>
  <c r="R459" i="17" a="1"/>
  <c r="R459" i="17"/>
  <c r="R458" i="17" a="1"/>
  <c r="R458" i="17"/>
  <c r="R457" i="17" a="1"/>
  <c r="R457" i="17"/>
  <c r="R456" i="17" a="1"/>
  <c r="R456" i="17"/>
  <c r="R455" i="17" a="1"/>
  <c r="R455" i="17"/>
  <c r="R454" i="17" a="1"/>
  <c r="R454" i="17"/>
  <c r="R453" i="17" a="1"/>
  <c r="R453" i="17"/>
  <c r="R452" i="17" a="1"/>
  <c r="R452" i="17"/>
  <c r="R451" i="17" a="1"/>
  <c r="R451" i="17"/>
  <c r="R450" i="17" a="1"/>
  <c r="R450" i="17"/>
  <c r="R449" i="17" a="1"/>
  <c r="R449" i="17"/>
  <c r="R448" i="17" a="1"/>
  <c r="R448" i="17"/>
  <c r="R447" i="17" a="1"/>
  <c r="R447" i="17"/>
  <c r="R446" i="17" a="1"/>
  <c r="R446" i="17"/>
  <c r="R445" i="17" a="1"/>
  <c r="R445" i="17"/>
  <c r="R444" i="17" a="1"/>
  <c r="R444" i="17"/>
  <c r="R443" i="17" a="1"/>
  <c r="R443" i="17"/>
  <c r="R442" i="17" a="1"/>
  <c r="R442" i="17"/>
  <c r="R441" i="17" a="1"/>
  <c r="R441" i="17"/>
  <c r="R440" i="17" a="1"/>
  <c r="R440" i="17"/>
  <c r="R439" i="17" a="1"/>
  <c r="R439" i="17"/>
  <c r="R438" i="17" a="1"/>
  <c r="R438" i="17"/>
  <c r="R437" i="17" a="1"/>
  <c r="R437" i="17"/>
  <c r="R436" i="17" a="1"/>
  <c r="R436" i="17"/>
  <c r="R435" i="17" a="1"/>
  <c r="R435" i="17"/>
  <c r="R434" i="17" a="1"/>
  <c r="R434" i="17"/>
  <c r="R433" i="17" a="1"/>
  <c r="R433" i="17"/>
  <c r="R432" i="17" a="1"/>
  <c r="R432" i="17"/>
  <c r="R431" i="17" a="1"/>
  <c r="R431" i="17"/>
  <c r="R430" i="17" a="1"/>
  <c r="R430" i="17"/>
  <c r="R429" i="17" a="1"/>
  <c r="R429" i="17"/>
  <c r="R428" i="17" a="1"/>
  <c r="R428" i="17"/>
  <c r="R427" i="17" a="1"/>
  <c r="R427" i="17"/>
  <c r="R426" i="17" a="1"/>
  <c r="R426" i="17"/>
  <c r="R425" i="17" a="1"/>
  <c r="R425" i="17"/>
  <c r="R424" i="17" a="1"/>
  <c r="R424" i="17"/>
  <c r="R423" i="17" a="1"/>
  <c r="R423" i="17"/>
  <c r="R422" i="17" a="1"/>
  <c r="R422" i="17"/>
  <c r="R421" i="17" a="1"/>
  <c r="R421" i="17"/>
  <c r="R420" i="17" a="1"/>
  <c r="R420" i="17"/>
  <c r="R419" i="17" a="1"/>
  <c r="R419" i="17"/>
  <c r="R418" i="17" a="1"/>
  <c r="R418" i="17"/>
  <c r="R417" i="17" a="1"/>
  <c r="R417" i="17"/>
  <c r="R416" i="17" a="1"/>
  <c r="R416" i="17"/>
  <c r="R415" i="17" a="1"/>
  <c r="R415" i="17"/>
  <c r="R414" i="17" a="1"/>
  <c r="R414" i="17"/>
  <c r="R413" i="17" a="1"/>
  <c r="R413" i="17"/>
  <c r="R412" i="17" a="1"/>
  <c r="R412" i="17"/>
  <c r="R411" i="17" a="1"/>
  <c r="R411" i="17"/>
  <c r="R410" i="17" a="1"/>
  <c r="R410" i="17"/>
  <c r="R409" i="17" a="1"/>
  <c r="R409" i="17"/>
  <c r="R408" i="17" a="1"/>
  <c r="R408" i="17"/>
  <c r="R407" i="17" a="1"/>
  <c r="R407" i="17"/>
  <c r="R406" i="17" a="1"/>
  <c r="R406" i="17"/>
  <c r="R405" i="17" a="1"/>
  <c r="R405" i="17"/>
  <c r="R404" i="17" a="1"/>
  <c r="R404" i="17"/>
  <c r="R403" i="17" a="1"/>
  <c r="R403" i="17"/>
  <c r="R402" i="17" a="1"/>
  <c r="R402" i="17"/>
  <c r="R401" i="17" a="1"/>
  <c r="R401" i="17"/>
  <c r="R400" i="17" a="1"/>
  <c r="R400" i="17"/>
  <c r="R399" i="17" a="1"/>
  <c r="R399" i="17"/>
  <c r="R398" i="17" a="1"/>
  <c r="R398" i="17"/>
  <c r="R397" i="17" a="1"/>
  <c r="R397" i="17"/>
  <c r="R396" i="17" a="1"/>
  <c r="R396" i="17"/>
  <c r="R395" i="17" a="1"/>
  <c r="R395" i="17"/>
  <c r="R394" i="17" a="1"/>
  <c r="R394" i="17"/>
  <c r="R393" i="17" a="1"/>
  <c r="R393" i="17"/>
  <c r="R392" i="17" a="1"/>
  <c r="R392" i="17"/>
  <c r="R391" i="17" a="1"/>
  <c r="R391" i="17"/>
  <c r="R390" i="17" a="1"/>
  <c r="R390" i="17"/>
  <c r="R389" i="17" a="1"/>
  <c r="R389" i="17"/>
  <c r="R388" i="17" a="1"/>
  <c r="R388" i="17"/>
  <c r="R387" i="17" a="1"/>
  <c r="R387" i="17"/>
  <c r="R386" i="17" a="1"/>
  <c r="R386" i="17"/>
  <c r="R385" i="17" a="1"/>
  <c r="R385" i="17"/>
  <c r="R384" i="17" a="1"/>
  <c r="R384" i="17"/>
  <c r="R383" i="17" a="1"/>
  <c r="R383" i="17"/>
  <c r="R382" i="17" a="1"/>
  <c r="R382" i="17"/>
  <c r="R381" i="17" a="1"/>
  <c r="R381" i="17"/>
  <c r="R380" i="17" a="1"/>
  <c r="R380" i="17"/>
  <c r="R379" i="17" a="1"/>
  <c r="R379" i="17"/>
  <c r="R378" i="17" a="1"/>
  <c r="R378" i="17"/>
  <c r="R377" i="17" a="1"/>
  <c r="R377" i="17"/>
  <c r="R376" i="17" a="1"/>
  <c r="R376" i="17"/>
  <c r="R375" i="17" a="1"/>
  <c r="R375" i="17"/>
  <c r="R374" i="17" a="1"/>
  <c r="R374" i="17"/>
  <c r="R373" i="17" a="1"/>
  <c r="R373" i="17"/>
  <c r="R372" i="17" a="1"/>
  <c r="R372" i="17"/>
  <c r="R371" i="17" a="1"/>
  <c r="R371" i="17"/>
  <c r="R370" i="17" a="1"/>
  <c r="R370" i="17"/>
  <c r="R369" i="17" a="1"/>
  <c r="R369" i="17"/>
  <c r="R368" i="17" a="1"/>
  <c r="R368" i="17"/>
  <c r="R367" i="17" a="1"/>
  <c r="R367" i="17"/>
  <c r="R366" i="17" a="1"/>
  <c r="R366" i="17"/>
  <c r="R365" i="17" a="1"/>
  <c r="R365" i="17"/>
  <c r="R364" i="17" a="1"/>
  <c r="R364" i="17"/>
  <c r="R363" i="17" a="1"/>
  <c r="R363" i="17"/>
  <c r="R362" i="17" a="1"/>
  <c r="R362" i="17"/>
  <c r="R361" i="17" a="1"/>
  <c r="R361" i="17"/>
  <c r="R360" i="17" a="1"/>
  <c r="R360" i="17"/>
  <c r="R359" i="17" a="1"/>
  <c r="R359" i="17"/>
  <c r="R358" i="17" a="1"/>
  <c r="R358" i="17"/>
  <c r="R357" i="17" a="1"/>
  <c r="R357" i="17"/>
  <c r="R356" i="17" a="1"/>
  <c r="R356" i="17"/>
  <c r="R355" i="17" a="1"/>
  <c r="R355" i="17"/>
  <c r="R354" i="17" a="1"/>
  <c r="R354" i="17"/>
  <c r="R353" i="17" a="1"/>
  <c r="R353" i="17"/>
  <c r="R352" i="17" a="1"/>
  <c r="R352" i="17"/>
  <c r="R351" i="17" a="1"/>
  <c r="R351" i="17"/>
  <c r="R350" i="17" a="1"/>
  <c r="R350" i="17"/>
  <c r="R349" i="17" a="1"/>
  <c r="R349" i="17"/>
  <c r="R348" i="17" a="1"/>
  <c r="R348" i="17"/>
  <c r="R347" i="17" a="1"/>
  <c r="R347" i="17"/>
  <c r="R346" i="17" a="1"/>
  <c r="R346" i="17"/>
  <c r="R345" i="17" a="1"/>
  <c r="R345" i="17"/>
  <c r="R344" i="17" a="1"/>
  <c r="R344" i="17"/>
  <c r="R343" i="17" a="1"/>
  <c r="R343" i="17"/>
  <c r="R342" i="17" a="1"/>
  <c r="R342" i="17"/>
  <c r="R341" i="17" a="1"/>
  <c r="R341" i="17"/>
  <c r="R340" i="17" a="1"/>
  <c r="R340" i="17"/>
  <c r="R339" i="17" a="1"/>
  <c r="R339" i="17"/>
  <c r="R338" i="17" a="1"/>
  <c r="R338" i="17"/>
  <c r="R337" i="17" a="1"/>
  <c r="R337" i="17"/>
  <c r="R336" i="17" a="1"/>
  <c r="R336" i="17"/>
  <c r="R335" i="17" a="1"/>
  <c r="R335" i="17"/>
  <c r="R334" i="17" a="1"/>
  <c r="R334" i="17"/>
  <c r="R333" i="17" a="1"/>
  <c r="R333" i="17"/>
  <c r="R332" i="17" a="1"/>
  <c r="R332" i="17"/>
  <c r="R331" i="17" a="1"/>
  <c r="R331" i="17"/>
  <c r="R330" i="17" a="1"/>
  <c r="R330" i="17"/>
  <c r="R329" i="17" a="1"/>
  <c r="R329" i="17"/>
  <c r="R328" i="17" a="1"/>
  <c r="R328" i="17"/>
  <c r="R327" i="17" a="1"/>
  <c r="R327" i="17"/>
  <c r="R326" i="17" a="1"/>
  <c r="R326" i="17"/>
  <c r="R325" i="17" a="1"/>
  <c r="R325" i="17"/>
  <c r="R324" i="17" a="1"/>
  <c r="R324" i="17"/>
  <c r="R323" i="17" a="1"/>
  <c r="R323" i="17"/>
  <c r="R322" i="17" a="1"/>
  <c r="R322" i="17"/>
  <c r="R321" i="17" a="1"/>
  <c r="R321" i="17"/>
  <c r="R320" i="17" a="1"/>
  <c r="R320" i="17"/>
  <c r="R319" i="17" a="1"/>
  <c r="R319" i="17"/>
  <c r="R318" i="17" a="1"/>
  <c r="R318" i="17"/>
  <c r="R317" i="17" a="1"/>
  <c r="R317" i="17"/>
  <c r="R316" i="17" a="1"/>
  <c r="R316" i="17"/>
  <c r="R315" i="17" a="1"/>
  <c r="R315" i="17"/>
  <c r="R314" i="17" a="1"/>
  <c r="R314" i="17"/>
  <c r="R313" i="17" a="1"/>
  <c r="R313" i="17"/>
  <c r="R312" i="17" a="1"/>
  <c r="R312" i="17"/>
  <c r="R311" i="17" a="1"/>
  <c r="R311" i="17"/>
  <c r="R310" i="17" a="1"/>
  <c r="R310" i="17"/>
  <c r="R309" i="17" a="1"/>
  <c r="R309" i="17"/>
  <c r="R308" i="17" a="1"/>
  <c r="R308" i="17"/>
  <c r="R307" i="17" a="1"/>
  <c r="R307" i="17"/>
  <c r="R306" i="17" a="1"/>
  <c r="R306" i="17"/>
  <c r="R305" i="17" a="1"/>
  <c r="R305" i="17"/>
  <c r="R304" i="17" a="1"/>
  <c r="R304" i="17"/>
  <c r="R303" i="17" a="1"/>
  <c r="R303" i="17"/>
  <c r="R302" i="17" a="1"/>
  <c r="R302" i="17"/>
  <c r="R301" i="17" a="1"/>
  <c r="R301" i="17"/>
  <c r="R300" i="17" a="1"/>
  <c r="R300" i="17"/>
  <c r="R299" i="17" a="1"/>
  <c r="R299" i="17"/>
  <c r="R298" i="17" a="1"/>
  <c r="R298" i="17"/>
  <c r="R297" i="17" a="1"/>
  <c r="R297" i="17"/>
  <c r="R296" i="17" a="1"/>
  <c r="R296" i="17"/>
  <c r="R295" i="17" a="1"/>
  <c r="R295" i="17"/>
  <c r="R294" i="17" a="1"/>
  <c r="R294" i="17"/>
  <c r="R293" i="17" a="1"/>
  <c r="R293" i="17"/>
  <c r="R292" i="17" a="1"/>
  <c r="R292" i="17"/>
  <c r="R291" i="17" a="1"/>
  <c r="R291" i="17"/>
  <c r="R290" i="17" a="1"/>
  <c r="R290" i="17"/>
  <c r="R289" i="17" a="1"/>
  <c r="R289" i="17"/>
  <c r="R288" i="17" a="1"/>
  <c r="R288" i="17"/>
  <c r="R287" i="17" a="1"/>
  <c r="R287" i="17"/>
  <c r="R286" i="17" a="1"/>
  <c r="R286" i="17"/>
  <c r="R285" i="17" a="1"/>
  <c r="R285" i="17"/>
  <c r="R284" i="17" a="1"/>
  <c r="R284" i="17"/>
  <c r="R283" i="17" a="1"/>
  <c r="R283" i="17"/>
  <c r="R282" i="17" a="1"/>
  <c r="R282" i="17"/>
  <c r="R281" i="17" a="1"/>
  <c r="R281" i="17"/>
  <c r="R280" i="17" a="1"/>
  <c r="R280" i="17"/>
  <c r="R279" i="17" a="1"/>
  <c r="R279" i="17"/>
  <c r="R278" i="17" a="1"/>
  <c r="R278" i="17"/>
  <c r="R277" i="17" a="1"/>
  <c r="R277" i="17"/>
  <c r="R276" i="17" a="1"/>
  <c r="R276" i="17"/>
  <c r="R275" i="17" a="1"/>
  <c r="R275" i="17"/>
  <c r="R274" i="17" a="1"/>
  <c r="R274" i="17"/>
  <c r="R273" i="17" a="1"/>
  <c r="R273" i="17"/>
  <c r="R272" i="17" a="1"/>
  <c r="R272" i="17"/>
  <c r="R271" i="17" a="1"/>
  <c r="R271" i="17"/>
  <c r="R270" i="17" a="1"/>
  <c r="R270" i="17"/>
  <c r="R269" i="17" a="1"/>
  <c r="R269" i="17"/>
  <c r="R268" i="17" a="1"/>
  <c r="R268" i="17"/>
  <c r="R267" i="17" a="1"/>
  <c r="R267" i="17"/>
  <c r="R266" i="17" a="1"/>
  <c r="R266" i="17"/>
  <c r="R265" i="17" a="1"/>
  <c r="R265" i="17"/>
  <c r="R264" i="17" a="1"/>
  <c r="R264" i="17"/>
  <c r="R263" i="17" a="1"/>
  <c r="R263" i="17"/>
  <c r="R262" i="17" a="1"/>
  <c r="R262" i="17"/>
  <c r="R261" i="17" a="1"/>
  <c r="R261" i="17"/>
  <c r="R260" i="17" a="1"/>
  <c r="R260" i="17"/>
  <c r="R259" i="17" a="1"/>
  <c r="R259" i="17"/>
  <c r="R258" i="17" a="1"/>
  <c r="R258" i="17"/>
  <c r="R257" i="17" a="1"/>
  <c r="R257" i="17"/>
  <c r="R256" i="17" a="1"/>
  <c r="R256" i="17"/>
  <c r="R255" i="17" a="1"/>
  <c r="R255" i="17"/>
  <c r="R254" i="17" a="1"/>
  <c r="R254" i="17"/>
  <c r="R253" i="17" a="1"/>
  <c r="R253" i="17"/>
  <c r="R252" i="17" a="1"/>
  <c r="R252" i="17"/>
  <c r="R251" i="17" a="1"/>
  <c r="R251" i="17"/>
  <c r="R250" i="17" a="1"/>
  <c r="R250" i="17"/>
  <c r="R249" i="17" a="1"/>
  <c r="R249" i="17"/>
  <c r="R248" i="17" a="1"/>
  <c r="R248" i="17"/>
  <c r="R247" i="17" a="1"/>
  <c r="R247" i="17"/>
  <c r="R246" i="17" a="1"/>
  <c r="R246" i="17"/>
  <c r="R245" i="17" a="1"/>
  <c r="R245" i="17"/>
  <c r="R244" i="17" a="1"/>
  <c r="R244" i="17"/>
  <c r="R243" i="17" a="1"/>
  <c r="R243" i="17"/>
  <c r="R242" i="17" a="1"/>
  <c r="R242" i="17"/>
  <c r="R241" i="17" a="1"/>
  <c r="R241" i="17"/>
  <c r="R240" i="17" a="1"/>
  <c r="R240" i="17"/>
  <c r="R239" i="17" a="1"/>
  <c r="R239" i="17"/>
  <c r="R238" i="17" a="1"/>
  <c r="R238" i="17"/>
  <c r="R237" i="17" a="1"/>
  <c r="R237" i="17"/>
  <c r="R236" i="17" a="1"/>
  <c r="R236" i="17"/>
  <c r="R235" i="17" a="1"/>
  <c r="R235" i="17"/>
  <c r="R234" i="17" a="1"/>
  <c r="R234" i="17"/>
  <c r="R233" i="17" a="1"/>
  <c r="R233" i="17"/>
  <c r="R232" i="17" a="1"/>
  <c r="R232" i="17"/>
  <c r="R231" i="17" a="1"/>
  <c r="R231" i="17"/>
  <c r="R230" i="17" a="1"/>
  <c r="R230" i="17"/>
  <c r="R229" i="17" a="1"/>
  <c r="R229" i="17"/>
  <c r="R228" i="17" a="1"/>
  <c r="R228" i="17"/>
  <c r="R227" i="17" a="1"/>
  <c r="R227" i="17"/>
  <c r="R226" i="17" a="1"/>
  <c r="R226" i="17"/>
  <c r="R225" i="17" a="1"/>
  <c r="R225" i="17"/>
  <c r="R224" i="17" a="1"/>
  <c r="R224" i="17"/>
  <c r="R223" i="17" a="1"/>
  <c r="R223" i="17"/>
  <c r="R222" i="17" a="1"/>
  <c r="R222" i="17"/>
  <c r="R221" i="17" a="1"/>
  <c r="R221" i="17"/>
  <c r="R220" i="17" a="1"/>
  <c r="R220" i="17"/>
  <c r="R219" i="17" a="1"/>
  <c r="R219" i="17"/>
  <c r="R218" i="17" a="1"/>
  <c r="R218" i="17"/>
  <c r="R217" i="17" a="1"/>
  <c r="R217" i="17"/>
  <c r="R216" i="17" a="1"/>
  <c r="R216" i="17"/>
  <c r="R215" i="17" a="1"/>
  <c r="R215" i="17"/>
  <c r="R214" i="17" a="1"/>
  <c r="R214" i="17"/>
  <c r="R213" i="17" a="1"/>
  <c r="R213" i="17"/>
  <c r="R212" i="17" a="1"/>
  <c r="R212" i="17"/>
  <c r="R211" i="17" a="1"/>
  <c r="R211" i="17"/>
  <c r="R210" i="17" a="1"/>
  <c r="R210" i="17"/>
  <c r="R209" i="17" a="1"/>
  <c r="R209" i="17"/>
  <c r="R208" i="17" a="1"/>
  <c r="R208" i="17"/>
  <c r="R207" i="17" a="1"/>
  <c r="R207" i="17"/>
  <c r="R206" i="17" a="1"/>
  <c r="R206" i="17"/>
  <c r="R205" i="17" a="1"/>
  <c r="R205" i="17"/>
  <c r="R204" i="17" a="1"/>
  <c r="R204" i="17"/>
  <c r="R203" i="17" a="1"/>
  <c r="R203" i="17"/>
  <c r="R202" i="17" a="1"/>
  <c r="R202" i="17"/>
  <c r="R201" i="17" a="1"/>
  <c r="R201" i="17"/>
  <c r="R200" i="17" a="1"/>
  <c r="R200" i="17"/>
  <c r="R199" i="17" a="1"/>
  <c r="R199" i="17"/>
  <c r="R198" i="17" a="1"/>
  <c r="R198" i="17"/>
  <c r="R197" i="17" a="1"/>
  <c r="R197" i="17"/>
  <c r="R196" i="17" a="1"/>
  <c r="R196" i="17"/>
  <c r="R195" i="17" a="1"/>
  <c r="R195" i="17"/>
  <c r="R194" i="17" a="1"/>
  <c r="R194" i="17"/>
  <c r="R193" i="17" a="1"/>
  <c r="R193" i="17"/>
  <c r="R192" i="17" a="1"/>
  <c r="R192" i="17"/>
  <c r="R191" i="17" a="1"/>
  <c r="R191" i="17"/>
  <c r="R190" i="17" a="1"/>
  <c r="R190" i="17"/>
  <c r="R189" i="17" a="1"/>
  <c r="R189" i="17"/>
  <c r="R188" i="17" a="1"/>
  <c r="R188" i="17"/>
  <c r="R187" i="17" a="1"/>
  <c r="R187" i="17"/>
  <c r="R186" i="17" a="1"/>
  <c r="R186" i="17"/>
  <c r="R185" i="17" a="1"/>
  <c r="R185" i="17"/>
  <c r="R184" i="17" a="1"/>
  <c r="R184" i="17"/>
  <c r="R183" i="17" a="1"/>
  <c r="R183" i="17"/>
  <c r="R182" i="17" a="1"/>
  <c r="R182" i="17"/>
  <c r="R181" i="17" a="1"/>
  <c r="R181" i="17"/>
  <c r="R180" i="17" a="1"/>
  <c r="R180" i="17"/>
  <c r="R179" i="17" a="1"/>
  <c r="R179" i="17"/>
  <c r="R178" i="17" a="1"/>
  <c r="R178" i="17"/>
  <c r="R177" i="17" a="1"/>
  <c r="R177" i="17"/>
  <c r="R176" i="17" a="1"/>
  <c r="R176" i="17"/>
  <c r="R175" i="17" a="1"/>
  <c r="R175" i="17"/>
  <c r="R174" i="17" a="1"/>
  <c r="R174" i="17"/>
  <c r="R173" i="17" a="1"/>
  <c r="R173" i="17"/>
  <c r="R172" i="17" a="1"/>
  <c r="R172" i="17"/>
  <c r="R171" i="17" a="1"/>
  <c r="R171" i="17"/>
  <c r="R170" i="17" a="1"/>
  <c r="R170" i="17"/>
  <c r="R169" i="17" a="1"/>
  <c r="R169" i="17"/>
  <c r="R168" i="17" a="1"/>
  <c r="R168" i="17"/>
  <c r="R167" i="17" a="1"/>
  <c r="R167" i="17"/>
  <c r="R166" i="17" a="1"/>
  <c r="R166" i="17"/>
  <c r="R165" i="17" a="1"/>
  <c r="R165" i="17"/>
  <c r="R164" i="17" a="1"/>
  <c r="R164" i="17"/>
  <c r="R163" i="17" a="1"/>
  <c r="R163" i="17"/>
  <c r="R162" i="17" a="1"/>
  <c r="R162" i="17"/>
  <c r="R161" i="17" a="1"/>
  <c r="R161" i="17"/>
  <c r="R160" i="17" a="1"/>
  <c r="R160" i="17"/>
  <c r="R159" i="17" a="1"/>
  <c r="R159" i="17"/>
  <c r="R158" i="17" a="1"/>
  <c r="R158" i="17"/>
  <c r="R157" i="17" a="1"/>
  <c r="R157" i="17"/>
  <c r="R156" i="17" a="1"/>
  <c r="R156" i="17"/>
  <c r="R155" i="17" a="1"/>
  <c r="R155" i="17"/>
  <c r="R154" i="17" a="1"/>
  <c r="R154" i="17"/>
  <c r="R153" i="17" a="1"/>
  <c r="R153" i="17"/>
  <c r="R152" i="17" a="1"/>
  <c r="R152" i="17"/>
  <c r="R151" i="17" a="1"/>
  <c r="R151" i="17"/>
  <c r="R150" i="17" a="1"/>
  <c r="R150" i="17"/>
  <c r="R149" i="17" a="1"/>
  <c r="R149" i="17"/>
  <c r="R148" i="17" a="1"/>
  <c r="R148" i="17"/>
  <c r="R147" i="17" a="1"/>
  <c r="R147" i="17"/>
  <c r="R146" i="17" a="1"/>
  <c r="R146" i="17"/>
  <c r="R145" i="17" a="1"/>
  <c r="R145" i="17"/>
  <c r="R144" i="17" a="1"/>
  <c r="R144" i="17"/>
  <c r="R143" i="17" a="1"/>
  <c r="R143" i="17"/>
  <c r="R142" i="17" a="1"/>
  <c r="R142" i="17"/>
  <c r="R141" i="17" a="1"/>
  <c r="R141" i="17"/>
  <c r="R140" i="17" a="1"/>
  <c r="R140" i="17"/>
  <c r="R139" i="17" a="1"/>
  <c r="R139" i="17"/>
  <c r="R138" i="17" a="1"/>
  <c r="R138" i="17"/>
  <c r="R137" i="17" a="1"/>
  <c r="R137" i="17"/>
  <c r="R136" i="17" a="1"/>
  <c r="R136" i="17"/>
  <c r="R135" i="17" a="1"/>
  <c r="R135" i="17"/>
  <c r="R134" i="17" a="1"/>
  <c r="R134" i="17"/>
  <c r="R133" i="17" a="1"/>
  <c r="R133" i="17"/>
  <c r="R132" i="17" a="1"/>
  <c r="R132" i="17"/>
  <c r="R131" i="17" a="1"/>
  <c r="R131" i="17"/>
  <c r="R130" i="17" a="1"/>
  <c r="R130" i="17"/>
  <c r="R129" i="17" a="1"/>
  <c r="R129" i="17"/>
  <c r="R128" i="17" a="1"/>
  <c r="R128" i="17"/>
  <c r="R127" i="17" a="1"/>
  <c r="R127" i="17"/>
  <c r="R126" i="17" a="1"/>
  <c r="R126" i="17"/>
  <c r="R125" i="17" a="1"/>
  <c r="R125" i="17"/>
  <c r="R124" i="17" a="1"/>
  <c r="R124" i="17"/>
  <c r="R123" i="17" a="1"/>
  <c r="R123" i="17"/>
  <c r="R122" i="17" a="1"/>
  <c r="R122" i="17"/>
  <c r="R121" i="17" a="1"/>
  <c r="R121" i="17"/>
  <c r="R120" i="17" a="1"/>
  <c r="R120" i="17"/>
  <c r="R119" i="17" a="1"/>
  <c r="R119" i="17"/>
  <c r="R118" i="17" a="1"/>
  <c r="R118" i="17"/>
  <c r="R117" i="17" a="1"/>
  <c r="R117" i="17"/>
  <c r="R116" i="17" a="1"/>
  <c r="R116" i="17"/>
  <c r="R115" i="17" a="1"/>
  <c r="R115" i="17"/>
  <c r="R114" i="17" a="1"/>
  <c r="R114" i="17"/>
  <c r="R113" i="17" a="1"/>
  <c r="R113" i="17"/>
  <c r="R112" i="17" a="1"/>
  <c r="R112" i="17"/>
  <c r="R111" i="17" a="1"/>
  <c r="R111" i="17"/>
  <c r="R110" i="17" a="1"/>
  <c r="R110" i="17"/>
  <c r="R109" i="17" a="1"/>
  <c r="R109" i="17"/>
  <c r="R108" i="17" a="1"/>
  <c r="R108" i="17"/>
  <c r="R107" i="17" a="1"/>
  <c r="R107" i="17"/>
  <c r="R106" i="17" a="1"/>
  <c r="R106" i="17"/>
  <c r="R105" i="17" a="1"/>
  <c r="R105" i="17"/>
  <c r="R104" i="17" a="1"/>
  <c r="R104" i="17"/>
  <c r="R103" i="17" a="1"/>
  <c r="R103" i="17"/>
  <c r="R102" i="17" a="1"/>
  <c r="R102" i="17"/>
  <c r="R101" i="17" a="1"/>
  <c r="R101" i="17"/>
  <c r="R100" i="17" a="1"/>
  <c r="R100" i="17"/>
  <c r="R99" i="17" a="1"/>
  <c r="R99" i="17"/>
  <c r="R98" i="17" a="1"/>
  <c r="R98" i="17"/>
  <c r="R97" i="17" a="1"/>
  <c r="R97" i="17"/>
  <c r="R96" i="17" a="1"/>
  <c r="R96" i="17"/>
  <c r="R95" i="17" a="1"/>
  <c r="R95" i="17"/>
  <c r="R94" i="17" a="1"/>
  <c r="R94" i="17"/>
  <c r="R93" i="17" a="1"/>
  <c r="R93" i="17"/>
  <c r="R92" i="17" a="1"/>
  <c r="R92" i="17"/>
  <c r="R91" i="17" a="1"/>
  <c r="R91" i="17"/>
  <c r="R90" i="17" a="1"/>
  <c r="R90" i="17"/>
  <c r="R89" i="17" a="1"/>
  <c r="R89" i="17"/>
  <c r="R88" i="17" a="1"/>
  <c r="R88" i="17"/>
  <c r="R87" i="17" a="1"/>
  <c r="R87" i="17"/>
  <c r="R86" i="17" a="1"/>
  <c r="R86" i="17"/>
  <c r="R85" i="17" a="1"/>
  <c r="R85" i="17"/>
  <c r="R84" i="17" a="1"/>
  <c r="R84" i="17"/>
  <c r="R83" i="17" a="1"/>
  <c r="R83" i="17"/>
  <c r="R82" i="17" a="1"/>
  <c r="R82" i="17"/>
  <c r="R81" i="17" a="1"/>
  <c r="R81" i="17"/>
  <c r="R80" i="17" a="1"/>
  <c r="R80" i="17"/>
  <c r="R79" i="17" a="1"/>
  <c r="R79" i="17"/>
  <c r="R78" i="17" a="1"/>
  <c r="R78" i="17"/>
  <c r="R77" i="17" a="1"/>
  <c r="R77" i="17"/>
  <c r="R76" i="17" a="1"/>
  <c r="R76" i="17"/>
  <c r="R75" i="17" a="1"/>
  <c r="R75" i="17"/>
  <c r="R74" i="17" a="1"/>
  <c r="R74" i="17"/>
  <c r="R73" i="17" a="1"/>
  <c r="R73" i="17"/>
  <c r="R72" i="17" a="1"/>
  <c r="R72" i="17"/>
  <c r="R71" i="17" a="1"/>
  <c r="R71" i="17"/>
  <c r="R70" i="17" a="1"/>
  <c r="R70" i="17"/>
  <c r="R69" i="17" a="1"/>
  <c r="R69" i="17"/>
  <c r="R68" i="17" a="1"/>
  <c r="R68" i="17"/>
  <c r="R67" i="17" a="1"/>
  <c r="R67" i="17"/>
  <c r="R66" i="17" a="1"/>
  <c r="R66" i="17"/>
  <c r="R65" i="17" a="1"/>
  <c r="R65" i="17"/>
  <c r="R64" i="17" a="1"/>
  <c r="R64" i="17"/>
  <c r="R63" i="17" a="1"/>
  <c r="R63" i="17"/>
  <c r="R62" i="17" a="1"/>
  <c r="R62" i="17"/>
  <c r="R61" i="17" a="1"/>
  <c r="R61" i="17"/>
  <c r="R60" i="17" a="1"/>
  <c r="R60" i="17"/>
  <c r="R59" i="17" a="1"/>
  <c r="R59" i="17"/>
  <c r="R58" i="17" a="1"/>
  <c r="R58" i="17"/>
  <c r="R57" i="17" a="1"/>
  <c r="R57" i="17"/>
  <c r="R56" i="17" a="1"/>
  <c r="R56" i="17"/>
  <c r="R55" i="17" a="1"/>
  <c r="R55" i="17"/>
  <c r="R54" i="17" a="1"/>
  <c r="R54" i="17"/>
  <c r="R53" i="17" a="1"/>
  <c r="R53" i="17"/>
  <c r="R52" i="17" a="1"/>
  <c r="R52" i="17"/>
  <c r="R51" i="17" a="1"/>
  <c r="R51" i="17"/>
  <c r="R50" i="17" a="1"/>
  <c r="R50" i="17"/>
  <c r="R49" i="17" a="1"/>
  <c r="R49" i="17"/>
  <c r="R48" i="17" a="1"/>
  <c r="R48" i="17"/>
  <c r="R47" i="17" a="1"/>
  <c r="R47" i="17"/>
  <c r="R46" i="17" a="1"/>
  <c r="R46" i="17"/>
  <c r="R45" i="17" a="1"/>
  <c r="R45" i="17"/>
  <c r="R44" i="17" a="1"/>
  <c r="R44" i="17"/>
  <c r="R43" i="17" a="1"/>
  <c r="R43" i="17"/>
  <c r="R42" i="17" a="1"/>
  <c r="R42" i="17"/>
  <c r="R41" i="17" a="1"/>
  <c r="R41" i="17"/>
  <c r="R40" i="17" a="1"/>
  <c r="R40" i="17"/>
  <c r="R39" i="17" a="1"/>
  <c r="R39" i="17"/>
  <c r="R38" i="17" a="1"/>
  <c r="R38" i="17"/>
  <c r="R37" i="17" a="1"/>
  <c r="R37" i="17"/>
  <c r="R36" i="17" a="1"/>
  <c r="R36" i="17"/>
  <c r="R35" i="17" a="1"/>
  <c r="R35" i="17"/>
  <c r="R34" i="17" a="1"/>
  <c r="R34" i="17"/>
  <c r="R33" i="17" a="1"/>
  <c r="R33" i="17"/>
  <c r="R32" i="17" a="1"/>
  <c r="R32" i="17"/>
  <c r="R31" i="17" a="1"/>
  <c r="R31" i="17"/>
  <c r="R30" i="17" a="1"/>
  <c r="R30" i="17"/>
  <c r="R29" i="17" a="1"/>
  <c r="R29" i="17"/>
  <c r="R28" i="17" a="1"/>
  <c r="R28" i="17"/>
  <c r="R27" i="17" a="1"/>
  <c r="R27" i="17"/>
  <c r="R26" i="17" a="1"/>
  <c r="R26" i="17"/>
  <c r="R25" i="17" a="1"/>
  <c r="R25" i="17"/>
  <c r="R24" i="17" a="1"/>
  <c r="R24" i="17"/>
  <c r="R23" i="17" a="1"/>
  <c r="R23" i="17"/>
  <c r="R22" i="17" a="1"/>
  <c r="R22" i="17"/>
  <c r="R21" i="17" a="1"/>
  <c r="R21" i="17"/>
  <c r="R20" i="17" a="1"/>
  <c r="R20" i="17"/>
  <c r="R19" i="17" a="1"/>
  <c r="R19" i="17"/>
  <c r="R18" i="17" a="1"/>
  <c r="R18" i="17"/>
  <c r="R17" i="17" a="1"/>
  <c r="R17" i="17"/>
  <c r="R16" i="17" a="1"/>
  <c r="R16" i="17"/>
  <c r="R15" i="17" a="1"/>
  <c r="R15" i="17"/>
  <c r="R14" i="17" a="1"/>
  <c r="R14" i="17"/>
  <c r="R13" i="17" a="1"/>
  <c r="R13" i="17"/>
  <c r="R12" i="17" a="1"/>
  <c r="R12" i="17"/>
  <c r="R11" i="17" a="1"/>
  <c r="R11" i="17"/>
  <c r="R10" i="17" a="1"/>
  <c r="R10" i="17"/>
  <c r="R9" i="17" a="1"/>
  <c r="R9" i="17"/>
  <c r="R8" i="17" a="1"/>
  <c r="R8" i="17"/>
  <c r="R7" i="17" a="1"/>
  <c r="R7" i="17"/>
  <c r="R6" i="17" a="1"/>
  <c r="R6" i="17"/>
  <c r="R5" i="17" a="1"/>
  <c r="R5" i="17"/>
  <c r="R4" i="17" a="1"/>
  <c r="R4" i="17"/>
  <c r="R3" i="17" a="1"/>
  <c r="R3" i="17"/>
  <c r="R2" i="17" a="1"/>
  <c r="R2" i="17"/>
  <c r="G2" i="22"/>
  <c r="E2" i="22"/>
  <c r="C2" i="22"/>
  <c r="A2" i="22"/>
  <c r="D2" i="17"/>
  <c r="E2" i="17" s="1" a="1"/>
  <c r="E2" i="17" s="1"/>
  <c r="D3" i="17"/>
  <c r="E3" i="17" s="1" a="1"/>
  <c r="E3" i="17" s="1"/>
  <c r="D4" i="17"/>
  <c r="E4" i="17" s="1" a="1"/>
  <c r="E4" i="17" s="1"/>
  <c r="D5" i="17"/>
  <c r="E5" i="17" s="1" a="1"/>
  <c r="E5" i="17" s="1"/>
  <c r="D6" i="17"/>
  <c r="E6" i="17" s="1" a="1"/>
  <c r="E6" i="17" s="1"/>
  <c r="D7" i="17"/>
  <c r="E7" i="17" s="1" a="1"/>
  <c r="E7" i="17" s="1"/>
  <c r="D8" i="17"/>
  <c r="E8" i="17" s="1" a="1"/>
  <c r="E8" i="17" s="1"/>
  <c r="D9" i="17"/>
  <c r="E9" i="17" s="1" a="1"/>
  <c r="E9" i="17" s="1"/>
  <c r="D10" i="17"/>
  <c r="E10" i="17" s="1" a="1"/>
  <c r="E10" i="17" s="1"/>
  <c r="D11" i="17"/>
  <c r="E11" i="17" s="1" a="1"/>
  <c r="E11" i="17" s="1"/>
  <c r="D12" i="17"/>
  <c r="E12" i="17" s="1" a="1"/>
  <c r="E12" i="17" s="1"/>
  <c r="D13" i="17"/>
  <c r="E13" i="17" s="1" a="1"/>
  <c r="E13" i="17" s="1"/>
  <c r="D14" i="17"/>
  <c r="E14" i="17" s="1" a="1"/>
  <c r="E14" i="17" s="1"/>
  <c r="D15" i="17"/>
  <c r="E15" i="17" s="1" a="1"/>
  <c r="E15" i="17" s="1"/>
  <c r="D16" i="17"/>
  <c r="E16" i="17" s="1" a="1"/>
  <c r="E16" i="17" s="1"/>
  <c r="D17" i="17"/>
  <c r="E17" i="17" s="1" a="1"/>
  <c r="E17" i="17" s="1"/>
  <c r="D18" i="17"/>
  <c r="E18" i="17" s="1" a="1"/>
  <c r="E18" i="17" s="1"/>
  <c r="D19" i="17"/>
  <c r="E19" i="17" s="1" a="1"/>
  <c r="E19" i="17" s="1"/>
  <c r="D20" i="17"/>
  <c r="E20" i="17" s="1" a="1"/>
  <c r="E20" i="17" s="1"/>
  <c r="D21" i="17"/>
  <c r="E21" i="17" s="1" a="1"/>
  <c r="E21" i="17" s="1"/>
  <c r="D22" i="17"/>
  <c r="E22" i="17" s="1" a="1"/>
  <c r="E22" i="17" s="1"/>
  <c r="D23" i="17"/>
  <c r="E23" i="17" s="1" a="1"/>
  <c r="E23" i="17" s="1"/>
  <c r="D24" i="17"/>
  <c r="E24" i="17" s="1" a="1"/>
  <c r="E24" i="17" s="1"/>
  <c r="D25" i="17"/>
  <c r="E25" i="17" s="1" a="1"/>
  <c r="E25" i="17" s="1"/>
  <c r="D26" i="17"/>
  <c r="E26" i="17" s="1" a="1"/>
  <c r="E26" i="17" s="1"/>
  <c r="D27" i="17"/>
  <c r="E27" i="17" s="1" a="1"/>
  <c r="E27" i="17" s="1"/>
  <c r="D28" i="17"/>
  <c r="E28" i="17" s="1" a="1"/>
  <c r="E28" i="17" s="1"/>
  <c r="D29" i="17"/>
  <c r="E29" i="17" s="1" a="1"/>
  <c r="E29" i="17" s="1"/>
  <c r="D30" i="17"/>
  <c r="E30" i="17" s="1" a="1"/>
  <c r="E30" i="17" s="1"/>
  <c r="D31" i="17"/>
  <c r="E31" i="17" s="1" a="1"/>
  <c r="E31" i="17" s="1"/>
  <c r="D32" i="17"/>
  <c r="E32" i="17" s="1" a="1"/>
  <c r="E32" i="17" s="1"/>
  <c r="D33" i="17"/>
  <c r="E33" i="17" s="1" a="1"/>
  <c r="E33" i="17" s="1"/>
  <c r="D34" i="17"/>
  <c r="E34" i="17" s="1" a="1"/>
  <c r="E34" i="17" s="1"/>
  <c r="D35" i="17"/>
  <c r="E35" i="17" s="1" a="1"/>
  <c r="E35" i="17" s="1"/>
  <c r="D36" i="17"/>
  <c r="E36" i="17" s="1" a="1"/>
  <c r="E36" i="17" s="1"/>
  <c r="D37" i="17"/>
  <c r="E37" i="17" s="1" a="1"/>
  <c r="E37" i="17" s="1"/>
  <c r="D38" i="17"/>
  <c r="E38" i="17" s="1" a="1"/>
  <c r="E38" i="17" s="1"/>
  <c r="D39" i="17"/>
  <c r="E39" i="17" s="1" a="1"/>
  <c r="E39" i="17" s="1"/>
  <c r="D40" i="17"/>
  <c r="E40" i="17" s="1" a="1"/>
  <c r="E40" i="17" s="1"/>
  <c r="D41" i="17"/>
  <c r="E41" i="17" s="1" a="1"/>
  <c r="E41" i="17" s="1"/>
  <c r="D42" i="17"/>
  <c r="E42" i="17" s="1" a="1"/>
  <c r="E42" i="17" s="1"/>
  <c r="D43" i="17"/>
  <c r="E43" i="17" s="1" a="1"/>
  <c r="E43" i="17" s="1"/>
  <c r="D44" i="17"/>
  <c r="E44" i="17" s="1" a="1"/>
  <c r="E44" i="17" s="1"/>
  <c r="D45" i="17"/>
  <c r="E45" i="17" s="1" a="1"/>
  <c r="E45" i="17" s="1"/>
  <c r="D46" i="17"/>
  <c r="E46" i="17" s="1" a="1"/>
  <c r="E46" i="17" s="1"/>
  <c r="D47" i="17"/>
  <c r="E47" i="17" s="1" a="1"/>
  <c r="E47" i="17" s="1"/>
  <c r="D48" i="17"/>
  <c r="E48" i="17" s="1" a="1"/>
  <c r="E48" i="17" s="1"/>
  <c r="D49" i="17"/>
  <c r="E49" i="17" s="1" a="1"/>
  <c r="E49" i="17" s="1"/>
  <c r="D50" i="17"/>
  <c r="E50" i="17" s="1" a="1"/>
  <c r="E50" i="17" s="1"/>
  <c r="D51" i="17"/>
  <c r="E51" i="17" s="1" a="1"/>
  <c r="E51" i="17" s="1"/>
  <c r="D52" i="17"/>
  <c r="E52" i="17" s="1" a="1"/>
  <c r="E52" i="17" s="1"/>
  <c r="D53" i="17"/>
  <c r="E53" i="17" s="1" a="1"/>
  <c r="E53" i="17" s="1"/>
  <c r="D54" i="17"/>
  <c r="E54" i="17" s="1" a="1"/>
  <c r="E54" i="17" s="1"/>
  <c r="D55" i="17"/>
  <c r="E55" i="17" s="1" a="1"/>
  <c r="E55" i="17" s="1"/>
  <c r="D56" i="17"/>
  <c r="E56" i="17" s="1" a="1"/>
  <c r="E56" i="17" s="1"/>
  <c r="D57" i="17"/>
  <c r="E57" i="17" s="1" a="1"/>
  <c r="E57" i="17" s="1"/>
  <c r="D58" i="17"/>
  <c r="E58" i="17" s="1" a="1"/>
  <c r="E58" i="17" s="1"/>
  <c r="D59" i="17"/>
  <c r="E59" i="17" s="1" a="1"/>
  <c r="E59" i="17" s="1"/>
  <c r="D60" i="17"/>
  <c r="E60" i="17" s="1" a="1"/>
  <c r="E60" i="17" s="1"/>
  <c r="D61" i="17"/>
  <c r="E61" i="17" s="1" a="1"/>
  <c r="E61" i="17" s="1"/>
  <c r="D62" i="17"/>
  <c r="E62" i="17" s="1" a="1"/>
  <c r="E62" i="17" s="1"/>
  <c r="D63" i="17"/>
  <c r="E63" i="17" s="1" a="1"/>
  <c r="E63" i="17" s="1"/>
  <c r="D64" i="17"/>
  <c r="E64" i="17" s="1" a="1"/>
  <c r="E64" i="17" s="1"/>
  <c r="D65" i="17"/>
  <c r="E65" i="17" s="1" a="1"/>
  <c r="E65" i="17" s="1"/>
  <c r="D66" i="17"/>
  <c r="E66" i="17" s="1" a="1"/>
  <c r="E66" i="17" s="1"/>
  <c r="D67" i="17"/>
  <c r="E67" i="17" s="1" a="1"/>
  <c r="E67" i="17" s="1"/>
  <c r="D68" i="17"/>
  <c r="E68" i="17" s="1" a="1"/>
  <c r="E68" i="17" s="1"/>
  <c r="D69" i="17"/>
  <c r="E69" i="17" s="1" a="1"/>
  <c r="E69" i="17" s="1"/>
  <c r="D70" i="17"/>
  <c r="E70" i="17" s="1" a="1"/>
  <c r="E70" i="17" s="1"/>
  <c r="D71" i="17"/>
  <c r="E71" i="17" s="1" a="1"/>
  <c r="E71" i="17" s="1"/>
  <c r="D72" i="17"/>
  <c r="E72" i="17" s="1" a="1"/>
  <c r="E72" i="17" s="1"/>
  <c r="D73" i="17"/>
  <c r="E73" i="17" s="1" a="1"/>
  <c r="E73" i="17" s="1"/>
  <c r="D74" i="17"/>
  <c r="E74" i="17" s="1" a="1"/>
  <c r="E74" i="17" s="1"/>
  <c r="D75" i="17"/>
  <c r="E75" i="17" s="1" a="1"/>
  <c r="E75" i="17" s="1"/>
  <c r="D76" i="17"/>
  <c r="E76" i="17" s="1" a="1"/>
  <c r="E76" i="17" s="1"/>
  <c r="D77" i="17"/>
  <c r="E77" i="17" s="1" a="1"/>
  <c r="E77" i="17" s="1"/>
  <c r="D78" i="17"/>
  <c r="E78" i="17" s="1" a="1"/>
  <c r="E78" i="17" s="1"/>
  <c r="D79" i="17"/>
  <c r="E79" i="17" s="1" a="1"/>
  <c r="E79" i="17" s="1"/>
  <c r="D80" i="17"/>
  <c r="E80" i="17" s="1" a="1"/>
  <c r="E80" i="17" s="1"/>
  <c r="D81" i="17"/>
  <c r="E81" i="17" s="1" a="1"/>
  <c r="E81" i="17" s="1"/>
  <c r="D82" i="17"/>
  <c r="E82" i="17" s="1" a="1"/>
  <c r="E82" i="17" s="1"/>
  <c r="D83" i="17"/>
  <c r="E83" i="17" s="1" a="1"/>
  <c r="E83" i="17" s="1"/>
  <c r="D84" i="17"/>
  <c r="E84" i="17" s="1" a="1"/>
  <c r="E84" i="17" s="1"/>
  <c r="D85" i="17"/>
  <c r="E85" i="17" s="1" a="1"/>
  <c r="E85" i="17" s="1"/>
  <c r="D86" i="17"/>
  <c r="E86" i="17" s="1" a="1"/>
  <c r="E86" i="17" s="1"/>
  <c r="D87" i="17"/>
  <c r="E87" i="17" s="1" a="1"/>
  <c r="E87" i="17" s="1"/>
  <c r="D88" i="17"/>
  <c r="E88" i="17" s="1" a="1"/>
  <c r="E88" i="17" s="1"/>
  <c r="D89" i="17"/>
  <c r="E89" i="17" s="1" a="1"/>
  <c r="E89" i="17" s="1"/>
  <c r="D90" i="17"/>
  <c r="E90" i="17" s="1" a="1"/>
  <c r="E90" i="17" s="1"/>
  <c r="D91" i="17"/>
  <c r="E91" i="17" s="1" a="1"/>
  <c r="E91" i="17" s="1"/>
  <c r="D92" i="17"/>
  <c r="E92" i="17" s="1" a="1"/>
  <c r="E92" i="17" s="1"/>
  <c r="D93" i="17"/>
  <c r="E93" i="17" s="1" a="1"/>
  <c r="E93" i="17" s="1"/>
  <c r="D94" i="17"/>
  <c r="E94" i="17" s="1" a="1"/>
  <c r="E94" i="17" s="1"/>
  <c r="D95" i="17"/>
  <c r="E95" i="17" s="1" a="1"/>
  <c r="E95" i="17" s="1"/>
  <c r="D96" i="17"/>
  <c r="E96" i="17" s="1" a="1"/>
  <c r="E96" i="17" s="1"/>
  <c r="D97" i="17"/>
  <c r="E97" i="17" s="1" a="1"/>
  <c r="E97" i="17" s="1"/>
  <c r="D98" i="17"/>
  <c r="E98" i="17" s="1" a="1"/>
  <c r="E98" i="17" s="1"/>
  <c r="D99" i="17"/>
  <c r="E99" i="17" s="1" a="1"/>
  <c r="E99" i="17" s="1"/>
  <c r="D100" i="17"/>
  <c r="E100" i="17" s="1" a="1"/>
  <c r="E100" i="17" s="1"/>
  <c r="D101" i="17"/>
  <c r="E101" i="17" s="1" a="1"/>
  <c r="E101" i="17" s="1"/>
  <c r="D102" i="17"/>
  <c r="E102" i="17" s="1" a="1"/>
  <c r="E102" i="17" s="1"/>
  <c r="D103" i="17"/>
  <c r="E103" i="17" s="1" a="1"/>
  <c r="E103" i="17" s="1"/>
  <c r="D104" i="17"/>
  <c r="E104" i="17" s="1" a="1"/>
  <c r="E104" i="17" s="1"/>
  <c r="D105" i="17"/>
  <c r="E105" i="17" s="1" a="1"/>
  <c r="E105" i="17" s="1"/>
  <c r="D106" i="17"/>
  <c r="E106" i="17" s="1" a="1"/>
  <c r="E106" i="17" s="1"/>
  <c r="D107" i="17"/>
  <c r="E107" i="17" s="1" a="1"/>
  <c r="E107" i="17" s="1"/>
  <c r="D108" i="17"/>
  <c r="E108" i="17" s="1" a="1"/>
  <c r="E108" i="17" s="1"/>
  <c r="D109" i="17"/>
  <c r="E109" i="17" s="1" a="1"/>
  <c r="E109" i="17" s="1"/>
  <c r="D110" i="17"/>
  <c r="E110" i="17" s="1" a="1"/>
  <c r="E110" i="17" s="1"/>
  <c r="D111" i="17"/>
  <c r="E111" i="17" s="1" a="1"/>
  <c r="E111" i="17" s="1"/>
  <c r="D112" i="17"/>
  <c r="E112" i="17" s="1" a="1"/>
  <c r="E112" i="17" s="1"/>
  <c r="D113" i="17"/>
  <c r="E113" i="17" s="1" a="1"/>
  <c r="E113" i="17" s="1"/>
  <c r="D114" i="17"/>
  <c r="E114" i="17" s="1" a="1"/>
  <c r="E114" i="17" s="1"/>
  <c r="D115" i="17"/>
  <c r="E115" i="17" s="1" a="1"/>
  <c r="E115" i="17" s="1"/>
  <c r="D116" i="17"/>
  <c r="E116" i="17" s="1" a="1"/>
  <c r="E116" i="17" s="1"/>
  <c r="D117" i="17"/>
  <c r="E117" i="17" s="1" a="1"/>
  <c r="E117" i="17" s="1"/>
  <c r="D118" i="17"/>
  <c r="E118" i="17" s="1" a="1"/>
  <c r="E118" i="17" s="1"/>
  <c r="D119" i="17"/>
  <c r="E119" i="17" s="1" a="1"/>
  <c r="E119" i="17" s="1"/>
  <c r="D120" i="17"/>
  <c r="E120" i="17" s="1" a="1"/>
  <c r="E120" i="17" s="1"/>
  <c r="D121" i="17"/>
  <c r="E121" i="17" s="1" a="1"/>
  <c r="E121" i="17" s="1"/>
  <c r="D122" i="17"/>
  <c r="E122" i="17" s="1" a="1"/>
  <c r="E122" i="17" s="1"/>
  <c r="D123" i="17"/>
  <c r="E123" i="17" s="1" a="1"/>
  <c r="E123" i="17" s="1"/>
  <c r="D124" i="17"/>
  <c r="E124" i="17" s="1" a="1"/>
  <c r="E124" i="17" s="1"/>
  <c r="D125" i="17"/>
  <c r="E125" i="17" s="1" a="1"/>
  <c r="E125" i="17" s="1"/>
  <c r="D126" i="17"/>
  <c r="E126" i="17" s="1" a="1"/>
  <c r="E126" i="17" s="1"/>
  <c r="D127" i="17"/>
  <c r="E127" i="17" s="1" a="1"/>
  <c r="E127" i="17" s="1"/>
  <c r="D128" i="17"/>
  <c r="E128" i="17" s="1" a="1"/>
  <c r="E128" i="17" s="1"/>
  <c r="D129" i="17"/>
  <c r="E129" i="17" s="1" a="1"/>
  <c r="E129" i="17" s="1"/>
  <c r="D130" i="17"/>
  <c r="E130" i="17" s="1" a="1"/>
  <c r="E130" i="17" s="1"/>
  <c r="D131" i="17"/>
  <c r="E131" i="17" s="1" a="1"/>
  <c r="E131" i="17" s="1"/>
  <c r="D132" i="17"/>
  <c r="E132" i="17" s="1" a="1"/>
  <c r="E132" i="17" s="1"/>
  <c r="D133" i="17"/>
  <c r="E133" i="17" s="1" a="1"/>
  <c r="E133" i="17" s="1"/>
  <c r="D134" i="17"/>
  <c r="E134" i="17" s="1" a="1"/>
  <c r="E134" i="17" s="1"/>
  <c r="D135" i="17"/>
  <c r="E135" i="17" s="1" a="1"/>
  <c r="E135" i="17" s="1"/>
  <c r="D136" i="17"/>
  <c r="E136" i="17" s="1" a="1"/>
  <c r="E136" i="17" s="1"/>
  <c r="D137" i="17"/>
  <c r="E137" i="17" s="1" a="1"/>
  <c r="E137" i="17" s="1"/>
  <c r="D138" i="17"/>
  <c r="E138" i="17" s="1" a="1"/>
  <c r="E138" i="17" s="1"/>
  <c r="D139" i="17"/>
  <c r="E139" i="17" s="1" a="1"/>
  <c r="E139" i="17" s="1"/>
  <c r="D140" i="17"/>
  <c r="E140" i="17" s="1" a="1"/>
  <c r="E140" i="17" s="1"/>
  <c r="D141" i="17"/>
  <c r="E141" i="17" s="1" a="1"/>
  <c r="E141" i="17" s="1"/>
  <c r="D142" i="17"/>
  <c r="E142" i="17" s="1" a="1"/>
  <c r="E142" i="17" s="1"/>
  <c r="D143" i="17"/>
  <c r="E143" i="17" s="1" a="1"/>
  <c r="E143" i="17" s="1"/>
  <c r="D144" i="17"/>
  <c r="E144" i="17" s="1" a="1"/>
  <c r="E144" i="17" s="1"/>
  <c r="D145" i="17"/>
  <c r="E145" i="17" s="1" a="1"/>
  <c r="E145" i="17" s="1"/>
  <c r="D146" i="17"/>
  <c r="E146" i="17" s="1" a="1"/>
  <c r="E146" i="17" s="1"/>
  <c r="D147" i="17"/>
  <c r="E147" i="17" s="1" a="1"/>
  <c r="E147" i="17" s="1"/>
  <c r="D148" i="17"/>
  <c r="E148" i="17" s="1" a="1"/>
  <c r="E148" i="17" s="1"/>
  <c r="D149" i="17"/>
  <c r="E149" i="17" s="1" a="1"/>
  <c r="E149" i="17" s="1"/>
  <c r="D150" i="17"/>
  <c r="E150" i="17" s="1" a="1"/>
  <c r="E150" i="17" s="1"/>
  <c r="D151" i="17"/>
  <c r="E151" i="17" s="1" a="1"/>
  <c r="E151" i="17" s="1"/>
  <c r="D152" i="17"/>
  <c r="E152" i="17" s="1" a="1"/>
  <c r="E152" i="17" s="1"/>
  <c r="D153" i="17"/>
  <c r="E153" i="17" s="1" a="1"/>
  <c r="E153" i="17" s="1"/>
  <c r="D154" i="17"/>
  <c r="E154" i="17" s="1" a="1"/>
  <c r="E154" i="17" s="1"/>
  <c r="D155" i="17"/>
  <c r="E155" i="17" s="1" a="1"/>
  <c r="E155" i="17" s="1"/>
  <c r="D156" i="17"/>
  <c r="E156" i="17" s="1" a="1"/>
  <c r="E156" i="17" s="1"/>
  <c r="D157" i="17"/>
  <c r="E157" i="17" s="1" a="1"/>
  <c r="E157" i="17" s="1"/>
  <c r="D158" i="17"/>
  <c r="E158" i="17" s="1" a="1"/>
  <c r="E158" i="17" s="1"/>
  <c r="D159" i="17"/>
  <c r="E159" i="17" s="1" a="1"/>
  <c r="E159" i="17" s="1"/>
  <c r="D160" i="17"/>
  <c r="E160" i="17" s="1" a="1"/>
  <c r="E160" i="17" s="1"/>
  <c r="D161" i="17"/>
  <c r="E161" i="17" s="1" a="1"/>
  <c r="E161" i="17" s="1"/>
  <c r="D162" i="17"/>
  <c r="E162" i="17" s="1" a="1"/>
  <c r="E162" i="17" s="1"/>
  <c r="D163" i="17"/>
  <c r="E163" i="17" s="1" a="1"/>
  <c r="E163" i="17" s="1"/>
  <c r="D164" i="17"/>
  <c r="E164" i="17" s="1" a="1"/>
  <c r="E164" i="17" s="1"/>
  <c r="D165" i="17"/>
  <c r="E165" i="17" s="1" a="1"/>
  <c r="E165" i="17" s="1"/>
  <c r="D166" i="17"/>
  <c r="E166" i="17" s="1" a="1"/>
  <c r="E166" i="17" s="1"/>
  <c r="D167" i="17"/>
  <c r="E167" i="17" s="1" a="1"/>
  <c r="E167" i="17" s="1"/>
  <c r="D168" i="17"/>
  <c r="E168" i="17" s="1" a="1"/>
  <c r="E168" i="17" s="1"/>
  <c r="D169" i="17"/>
  <c r="E169" i="17" s="1" a="1"/>
  <c r="E169" i="17" s="1"/>
  <c r="D170" i="17"/>
  <c r="E170" i="17" s="1" a="1"/>
  <c r="E170" i="17" s="1"/>
  <c r="D171" i="17"/>
  <c r="E171" i="17" s="1" a="1"/>
  <c r="E171" i="17" s="1"/>
  <c r="D172" i="17"/>
  <c r="E172" i="17" s="1" a="1"/>
  <c r="E172" i="17" s="1"/>
  <c r="D173" i="17"/>
  <c r="E173" i="17" s="1" a="1"/>
  <c r="E173" i="17" s="1"/>
  <c r="D174" i="17"/>
  <c r="E174" i="17" s="1" a="1"/>
  <c r="E174" i="17" s="1"/>
  <c r="D175" i="17"/>
  <c r="E175" i="17" s="1" a="1"/>
  <c r="E175" i="17" s="1"/>
  <c r="D176" i="17"/>
  <c r="E176" i="17" s="1" a="1"/>
  <c r="E176" i="17" s="1"/>
  <c r="D177" i="17"/>
  <c r="E177" i="17" s="1" a="1"/>
  <c r="E177" i="17" s="1"/>
  <c r="D178" i="17"/>
  <c r="E178" i="17" s="1" a="1"/>
  <c r="E178" i="17" s="1"/>
  <c r="D179" i="17"/>
  <c r="E179" i="17" s="1" a="1"/>
  <c r="E179" i="17" s="1"/>
  <c r="D180" i="17"/>
  <c r="E180" i="17" s="1" a="1"/>
  <c r="E180" i="17" s="1"/>
  <c r="D181" i="17"/>
  <c r="E181" i="17" s="1" a="1"/>
  <c r="E181" i="17" s="1"/>
  <c r="D182" i="17"/>
  <c r="E182" i="17" s="1" a="1"/>
  <c r="E182" i="17" s="1"/>
  <c r="D183" i="17"/>
  <c r="E183" i="17" s="1" a="1"/>
  <c r="E183" i="17" s="1"/>
  <c r="D184" i="17"/>
  <c r="E184" i="17" s="1" a="1"/>
  <c r="E184" i="17" s="1"/>
  <c r="D185" i="17"/>
  <c r="E185" i="17" s="1" a="1"/>
  <c r="E185" i="17" s="1"/>
  <c r="D186" i="17"/>
  <c r="E186" i="17" s="1" a="1"/>
  <c r="E186" i="17" s="1"/>
  <c r="D187" i="17"/>
  <c r="E187" i="17" s="1" a="1"/>
  <c r="E187" i="17" s="1"/>
  <c r="D188" i="17"/>
  <c r="E188" i="17" s="1" a="1"/>
  <c r="E188" i="17" s="1"/>
  <c r="D189" i="17"/>
  <c r="E189" i="17" s="1" a="1"/>
  <c r="E189" i="17" s="1"/>
  <c r="D190" i="17"/>
  <c r="E190" i="17" s="1" a="1"/>
  <c r="E190" i="17" s="1"/>
  <c r="D191" i="17"/>
  <c r="E191" i="17" s="1" a="1"/>
  <c r="E191" i="17" s="1"/>
  <c r="D192" i="17"/>
  <c r="E192" i="17" s="1" a="1"/>
  <c r="E192" i="17" s="1"/>
  <c r="D193" i="17"/>
  <c r="E193" i="17" s="1" a="1"/>
  <c r="E193" i="17" s="1"/>
  <c r="D194" i="17"/>
  <c r="E194" i="17" s="1" a="1"/>
  <c r="E194" i="17" s="1"/>
  <c r="D195" i="17"/>
  <c r="E195" i="17" s="1" a="1"/>
  <c r="E195" i="17" s="1"/>
  <c r="D196" i="17"/>
  <c r="E196" i="17" s="1" a="1"/>
  <c r="E196" i="17" s="1"/>
  <c r="D197" i="17"/>
  <c r="E197" i="17" s="1" a="1"/>
  <c r="E197" i="17" s="1"/>
  <c r="D198" i="17"/>
  <c r="E198" i="17" s="1" a="1"/>
  <c r="E198" i="17" s="1"/>
  <c r="D199" i="17"/>
  <c r="E199" i="17" s="1" a="1"/>
  <c r="E199" i="17" s="1"/>
  <c r="D200" i="17"/>
  <c r="E200" i="17" s="1" a="1"/>
  <c r="E200" i="17" s="1"/>
  <c r="D201" i="17"/>
  <c r="E201" i="17" s="1" a="1"/>
  <c r="E201" i="17" s="1"/>
  <c r="D202" i="17"/>
  <c r="E202" i="17" s="1" a="1"/>
  <c r="E202" i="17" s="1"/>
  <c r="D203" i="17"/>
  <c r="E203" i="17" s="1" a="1"/>
  <c r="E203" i="17" s="1"/>
  <c r="D204" i="17"/>
  <c r="E204" i="17" s="1" a="1"/>
  <c r="E204" i="17" s="1"/>
  <c r="D205" i="17"/>
  <c r="E205" i="17" s="1" a="1"/>
  <c r="E205" i="17" s="1"/>
  <c r="D206" i="17"/>
  <c r="E206" i="17" s="1" a="1"/>
  <c r="E206" i="17" s="1"/>
  <c r="D207" i="17"/>
  <c r="E207" i="17" s="1" a="1"/>
  <c r="E207" i="17" s="1"/>
  <c r="D208" i="17"/>
  <c r="E208" i="17" s="1" a="1"/>
  <c r="E208" i="17" s="1"/>
  <c r="D209" i="17"/>
  <c r="E209" i="17" s="1" a="1"/>
  <c r="E209" i="17" s="1"/>
  <c r="D210" i="17"/>
  <c r="E210" i="17" s="1" a="1"/>
  <c r="E210" i="17" s="1"/>
  <c r="D211" i="17"/>
  <c r="E211" i="17" s="1" a="1"/>
  <c r="E211" i="17" s="1"/>
  <c r="D212" i="17"/>
  <c r="E212" i="17" s="1" a="1"/>
  <c r="E212" i="17" s="1"/>
  <c r="D213" i="17"/>
  <c r="E213" i="17" s="1" a="1"/>
  <c r="E213" i="17" s="1"/>
  <c r="D214" i="17"/>
  <c r="E214" i="17" s="1" a="1"/>
  <c r="E214" i="17" s="1"/>
  <c r="D215" i="17"/>
  <c r="E215" i="17" s="1" a="1"/>
  <c r="E215" i="17" s="1"/>
  <c r="D216" i="17"/>
  <c r="E216" i="17" s="1" a="1"/>
  <c r="E216" i="17" s="1"/>
  <c r="D217" i="17"/>
  <c r="E217" i="17" s="1" a="1"/>
  <c r="E217" i="17" s="1"/>
  <c r="D218" i="17"/>
  <c r="E218" i="17" s="1" a="1"/>
  <c r="E218" i="17" s="1"/>
  <c r="D219" i="17"/>
  <c r="E219" i="17" s="1" a="1"/>
  <c r="E219" i="17" s="1"/>
  <c r="D220" i="17"/>
  <c r="E220" i="17" s="1" a="1"/>
  <c r="E220" i="17" s="1"/>
  <c r="D221" i="17"/>
  <c r="E221" i="17" s="1" a="1"/>
  <c r="E221" i="17" s="1"/>
  <c r="D222" i="17"/>
  <c r="E222" i="17" s="1" a="1"/>
  <c r="E222" i="17" s="1"/>
  <c r="D223" i="17"/>
  <c r="E223" i="17" s="1" a="1"/>
  <c r="E223" i="17" s="1"/>
  <c r="D224" i="17"/>
  <c r="E224" i="17" s="1" a="1"/>
  <c r="E224" i="17" s="1"/>
  <c r="D225" i="17"/>
  <c r="E225" i="17" s="1" a="1"/>
  <c r="E225" i="17" s="1"/>
  <c r="D226" i="17"/>
  <c r="E226" i="17" s="1" a="1"/>
  <c r="E226" i="17" s="1"/>
  <c r="D227" i="17"/>
  <c r="E227" i="17" s="1" a="1"/>
  <c r="E227" i="17" s="1"/>
  <c r="D228" i="17"/>
  <c r="E228" i="17" s="1" a="1"/>
  <c r="E228" i="17" s="1"/>
  <c r="D229" i="17"/>
  <c r="E229" i="17" s="1" a="1"/>
  <c r="E229" i="17" s="1"/>
  <c r="D230" i="17"/>
  <c r="E230" i="17" s="1" a="1"/>
  <c r="E230" i="17" s="1"/>
  <c r="D231" i="17"/>
  <c r="E231" i="17" s="1" a="1"/>
  <c r="E231" i="17" s="1"/>
  <c r="D232" i="17"/>
  <c r="E232" i="17" s="1" a="1"/>
  <c r="E232" i="17" s="1"/>
  <c r="D233" i="17"/>
  <c r="E233" i="17" s="1" a="1"/>
  <c r="E233" i="17" s="1"/>
  <c r="D234" i="17"/>
  <c r="E234" i="17" s="1" a="1"/>
  <c r="E234" i="17" s="1"/>
  <c r="D235" i="17"/>
  <c r="E235" i="17" s="1" a="1"/>
  <c r="E235" i="17" s="1"/>
  <c r="D236" i="17"/>
  <c r="E236" i="17" s="1" a="1"/>
  <c r="E236" i="17" s="1"/>
  <c r="D237" i="17"/>
  <c r="E237" i="17" s="1" a="1"/>
  <c r="E237" i="17" s="1"/>
  <c r="D238" i="17"/>
  <c r="E238" i="17" s="1" a="1"/>
  <c r="E238" i="17" s="1"/>
  <c r="D239" i="17"/>
  <c r="E239" i="17" s="1" a="1"/>
  <c r="E239" i="17" s="1"/>
  <c r="D240" i="17"/>
  <c r="E240" i="17" s="1" a="1"/>
  <c r="E240" i="17" s="1"/>
  <c r="D241" i="17"/>
  <c r="E241" i="17" s="1" a="1"/>
  <c r="E241" i="17" s="1"/>
  <c r="D242" i="17"/>
  <c r="E242" i="17" s="1" a="1"/>
  <c r="E242" i="17" s="1"/>
  <c r="D243" i="17"/>
  <c r="E243" i="17" s="1" a="1"/>
  <c r="E243" i="17" s="1"/>
  <c r="D244" i="17"/>
  <c r="E244" i="17" s="1" a="1"/>
  <c r="E244" i="17" s="1"/>
  <c r="D245" i="17"/>
  <c r="E245" i="17" s="1" a="1"/>
  <c r="E245" i="17" s="1"/>
  <c r="D246" i="17"/>
  <c r="E246" i="17" s="1" a="1"/>
  <c r="E246" i="17" s="1"/>
  <c r="D247" i="17"/>
  <c r="E247" i="17" s="1" a="1"/>
  <c r="E247" i="17" s="1"/>
  <c r="D248" i="17"/>
  <c r="E248" i="17" s="1" a="1"/>
  <c r="E248" i="17" s="1"/>
  <c r="D249" i="17"/>
  <c r="E249" i="17" s="1" a="1"/>
  <c r="E249" i="17" s="1"/>
  <c r="D250" i="17"/>
  <c r="E250" i="17" s="1" a="1"/>
  <c r="E250" i="17" s="1"/>
  <c r="D251" i="17"/>
  <c r="E251" i="17" s="1" a="1"/>
  <c r="E251" i="17" s="1"/>
  <c r="D252" i="17"/>
  <c r="E252" i="17" s="1" a="1"/>
  <c r="E252" i="17" s="1"/>
  <c r="D253" i="17"/>
  <c r="E253" i="17" s="1" a="1"/>
  <c r="E253" i="17" s="1"/>
  <c r="D254" i="17"/>
  <c r="E254" i="17" s="1" a="1"/>
  <c r="E254" i="17" s="1"/>
  <c r="D255" i="17"/>
  <c r="E255" i="17" s="1" a="1"/>
  <c r="E255" i="17" s="1"/>
  <c r="D256" i="17"/>
  <c r="E256" i="17" s="1" a="1"/>
  <c r="E256" i="17" s="1"/>
  <c r="D257" i="17"/>
  <c r="E257" i="17" s="1" a="1"/>
  <c r="E257" i="17" s="1"/>
  <c r="D258" i="17"/>
  <c r="E258" i="17" s="1" a="1"/>
  <c r="E258" i="17" s="1"/>
  <c r="D259" i="17"/>
  <c r="E259" i="17" s="1" a="1"/>
  <c r="E259" i="17" s="1"/>
  <c r="D260" i="17"/>
  <c r="E260" i="17" s="1" a="1"/>
  <c r="E260" i="17" s="1"/>
  <c r="D261" i="17"/>
  <c r="E261" i="17" s="1" a="1"/>
  <c r="E261" i="17" s="1"/>
  <c r="D262" i="17"/>
  <c r="E262" i="17" s="1" a="1"/>
  <c r="E262" i="17" s="1"/>
  <c r="D263" i="17"/>
  <c r="E263" i="17" s="1" a="1"/>
  <c r="E263" i="17" s="1"/>
  <c r="D264" i="17"/>
  <c r="E264" i="17" s="1" a="1"/>
  <c r="E264" i="17" s="1"/>
  <c r="D265" i="17"/>
  <c r="E265" i="17" s="1" a="1"/>
  <c r="E265" i="17" s="1"/>
  <c r="D266" i="17"/>
  <c r="E266" i="17" s="1" a="1"/>
  <c r="E266" i="17" s="1"/>
  <c r="D267" i="17"/>
  <c r="E267" i="17" s="1" a="1"/>
  <c r="E267" i="17" s="1"/>
  <c r="D268" i="17"/>
  <c r="E268" i="17" s="1" a="1"/>
  <c r="E268" i="17" s="1"/>
  <c r="D269" i="17"/>
  <c r="E269" i="17" s="1" a="1"/>
  <c r="E269" i="17" s="1"/>
  <c r="D270" i="17"/>
  <c r="E270" i="17" s="1" a="1"/>
  <c r="E270" i="17" s="1"/>
  <c r="D271" i="17"/>
  <c r="E271" i="17" s="1" a="1"/>
  <c r="E271" i="17" s="1"/>
  <c r="D272" i="17"/>
  <c r="E272" i="17" s="1" a="1"/>
  <c r="E272" i="17" s="1"/>
  <c r="D273" i="17"/>
  <c r="E273" i="17" s="1" a="1"/>
  <c r="E273" i="17" s="1"/>
  <c r="D274" i="17"/>
  <c r="E274" i="17" s="1" a="1"/>
  <c r="E274" i="17" s="1"/>
  <c r="D275" i="17"/>
  <c r="E275" i="17" s="1" a="1"/>
  <c r="E275" i="17" s="1"/>
  <c r="D276" i="17"/>
  <c r="E276" i="17" s="1" a="1"/>
  <c r="E276" i="17" s="1"/>
  <c r="D277" i="17"/>
  <c r="E277" i="17" s="1" a="1"/>
  <c r="E277" i="17" s="1"/>
  <c r="D278" i="17"/>
  <c r="E278" i="17" s="1" a="1"/>
  <c r="E278" i="17" s="1"/>
  <c r="D279" i="17"/>
  <c r="E279" i="17" s="1" a="1"/>
  <c r="E279" i="17" s="1"/>
  <c r="D280" i="17"/>
  <c r="E280" i="17" s="1" a="1"/>
  <c r="E280" i="17" s="1"/>
  <c r="D281" i="17"/>
  <c r="E281" i="17" s="1" a="1"/>
  <c r="E281" i="17" s="1"/>
  <c r="D282" i="17"/>
  <c r="E282" i="17" s="1" a="1"/>
  <c r="E282" i="17" s="1"/>
  <c r="D283" i="17"/>
  <c r="E283" i="17" s="1" a="1"/>
  <c r="E283" i="17" s="1"/>
  <c r="D284" i="17"/>
  <c r="E284" i="17" s="1" a="1"/>
  <c r="E284" i="17" s="1"/>
  <c r="D285" i="17"/>
  <c r="E285" i="17" s="1" a="1"/>
  <c r="E285" i="17" s="1"/>
  <c r="D286" i="17"/>
  <c r="E286" i="17" s="1" a="1"/>
  <c r="E286" i="17" s="1"/>
  <c r="D287" i="17"/>
  <c r="E287" i="17" s="1" a="1"/>
  <c r="E287" i="17" s="1"/>
  <c r="D288" i="17"/>
  <c r="E288" i="17" s="1" a="1"/>
  <c r="E288" i="17" s="1"/>
  <c r="D289" i="17"/>
  <c r="E289" i="17" s="1" a="1"/>
  <c r="E289" i="17" s="1"/>
  <c r="D290" i="17"/>
  <c r="E290" i="17" s="1" a="1"/>
  <c r="E290" i="17" s="1"/>
  <c r="D291" i="17"/>
  <c r="E291" i="17" s="1" a="1"/>
  <c r="E291" i="17" s="1"/>
  <c r="D292" i="17"/>
  <c r="E292" i="17" s="1" a="1"/>
  <c r="E292" i="17" s="1"/>
  <c r="D293" i="17"/>
  <c r="E293" i="17" s="1" a="1"/>
  <c r="E293" i="17" s="1"/>
  <c r="D294" i="17"/>
  <c r="E294" i="17" s="1" a="1"/>
  <c r="E294" i="17" s="1"/>
  <c r="D295" i="17"/>
  <c r="E295" i="17" s="1" a="1"/>
  <c r="E295" i="17" s="1"/>
  <c r="D296" i="17"/>
  <c r="E296" i="17" s="1" a="1"/>
  <c r="E296" i="17" s="1"/>
  <c r="D297" i="17"/>
  <c r="E297" i="17" s="1" a="1"/>
  <c r="E297" i="17" s="1"/>
  <c r="D298" i="17"/>
  <c r="E298" i="17" s="1" a="1"/>
  <c r="E298" i="17" s="1"/>
  <c r="D299" i="17"/>
  <c r="E299" i="17" s="1" a="1"/>
  <c r="E299" i="17" s="1"/>
  <c r="D300" i="17"/>
  <c r="E300" i="17" s="1" a="1"/>
  <c r="E300" i="17" s="1"/>
  <c r="D301" i="17"/>
  <c r="E301" i="17" s="1" a="1"/>
  <c r="E301" i="17" s="1"/>
  <c r="D302" i="17"/>
  <c r="E302" i="17" s="1" a="1"/>
  <c r="E302" i="17" s="1"/>
  <c r="D303" i="17"/>
  <c r="E303" i="17" s="1" a="1"/>
  <c r="E303" i="17" s="1"/>
  <c r="D304" i="17"/>
  <c r="E304" i="17" s="1" a="1"/>
  <c r="E304" i="17" s="1"/>
  <c r="D305" i="17"/>
  <c r="E305" i="17" s="1" a="1"/>
  <c r="E305" i="17" s="1"/>
  <c r="D306" i="17"/>
  <c r="E306" i="17" s="1" a="1"/>
  <c r="E306" i="17" s="1"/>
  <c r="D307" i="17"/>
  <c r="E307" i="17" s="1" a="1"/>
  <c r="E307" i="17" s="1"/>
  <c r="D308" i="17"/>
  <c r="E308" i="17" s="1" a="1"/>
  <c r="E308" i="17" s="1"/>
  <c r="D309" i="17"/>
  <c r="E309" i="17" s="1" a="1"/>
  <c r="E309" i="17" s="1"/>
  <c r="D310" i="17"/>
  <c r="E310" i="17" s="1" a="1"/>
  <c r="E310" i="17" s="1"/>
  <c r="D311" i="17"/>
  <c r="E311" i="17" s="1" a="1"/>
  <c r="E311" i="17" s="1"/>
  <c r="D312" i="17"/>
  <c r="E312" i="17" s="1" a="1"/>
  <c r="E312" i="17" s="1"/>
  <c r="D313" i="17"/>
  <c r="E313" i="17" s="1" a="1"/>
  <c r="E313" i="17" s="1"/>
  <c r="D314" i="17"/>
  <c r="E314" i="17" s="1" a="1"/>
  <c r="E314" i="17" s="1"/>
  <c r="D315" i="17"/>
  <c r="E315" i="17" s="1" a="1"/>
  <c r="E315" i="17" s="1"/>
  <c r="D316" i="17"/>
  <c r="E316" i="17" s="1" a="1"/>
  <c r="E316" i="17" s="1"/>
  <c r="D317" i="17"/>
  <c r="E317" i="17" s="1" a="1"/>
  <c r="E317" i="17" s="1"/>
  <c r="D318" i="17"/>
  <c r="E318" i="17" s="1" a="1"/>
  <c r="E318" i="17" s="1"/>
  <c r="D319" i="17"/>
  <c r="E319" i="17" s="1" a="1"/>
  <c r="E319" i="17" s="1"/>
  <c r="D320" i="17"/>
  <c r="E320" i="17" s="1" a="1"/>
  <c r="E320" i="17" s="1"/>
  <c r="D321" i="17"/>
  <c r="E321" i="17" s="1" a="1"/>
  <c r="E321" i="17" s="1"/>
  <c r="D322" i="17"/>
  <c r="E322" i="17" s="1" a="1"/>
  <c r="E322" i="17" s="1"/>
  <c r="D323" i="17"/>
  <c r="E323" i="17" s="1" a="1"/>
  <c r="E323" i="17" s="1"/>
  <c r="D324" i="17"/>
  <c r="E324" i="17" s="1" a="1"/>
  <c r="E324" i="17" s="1"/>
  <c r="D325" i="17"/>
  <c r="E325" i="17" s="1" a="1"/>
  <c r="E325" i="17" s="1"/>
  <c r="D326" i="17"/>
  <c r="E326" i="17" s="1" a="1"/>
  <c r="E326" i="17" s="1"/>
  <c r="D327" i="17"/>
  <c r="E327" i="17" s="1" a="1"/>
  <c r="E327" i="17" s="1"/>
  <c r="D328" i="17"/>
  <c r="E328" i="17" s="1" a="1"/>
  <c r="E328" i="17" s="1"/>
  <c r="D329" i="17"/>
  <c r="E329" i="17" s="1" a="1"/>
  <c r="E329" i="17" s="1"/>
  <c r="D330" i="17"/>
  <c r="E330" i="17" s="1" a="1"/>
  <c r="E330" i="17" s="1"/>
  <c r="D331" i="17"/>
  <c r="E331" i="17" s="1" a="1"/>
  <c r="E331" i="17" s="1"/>
  <c r="D332" i="17"/>
  <c r="E332" i="17" s="1" a="1"/>
  <c r="E332" i="17" s="1"/>
  <c r="D333" i="17"/>
  <c r="E333" i="17" s="1" a="1"/>
  <c r="E333" i="17" s="1"/>
  <c r="D334" i="17"/>
  <c r="E334" i="17" s="1" a="1"/>
  <c r="E334" i="17" s="1"/>
  <c r="D335" i="17"/>
  <c r="E335" i="17" s="1" a="1"/>
  <c r="E335" i="17" s="1"/>
  <c r="D336" i="17"/>
  <c r="E336" i="17" s="1" a="1"/>
  <c r="E336" i="17" s="1"/>
  <c r="D337" i="17"/>
  <c r="E337" i="17" s="1" a="1"/>
  <c r="E337" i="17" s="1"/>
  <c r="D338" i="17"/>
  <c r="E338" i="17" s="1" a="1"/>
  <c r="E338" i="17" s="1"/>
  <c r="D339" i="17"/>
  <c r="E339" i="17" s="1" a="1"/>
  <c r="E339" i="17" s="1"/>
  <c r="D340" i="17"/>
  <c r="E340" i="17" s="1" a="1"/>
  <c r="E340" i="17" s="1"/>
  <c r="D341" i="17"/>
  <c r="E341" i="17" s="1" a="1"/>
  <c r="E341" i="17" s="1"/>
  <c r="D342" i="17"/>
  <c r="E342" i="17" s="1" a="1"/>
  <c r="E342" i="17" s="1"/>
  <c r="D343" i="17"/>
  <c r="E343" i="17" s="1" a="1"/>
  <c r="E343" i="17" s="1"/>
  <c r="D344" i="17"/>
  <c r="E344" i="17" s="1" a="1"/>
  <c r="E344" i="17" s="1"/>
  <c r="D345" i="17"/>
  <c r="E345" i="17" s="1" a="1"/>
  <c r="E345" i="17" s="1"/>
  <c r="D346" i="17"/>
  <c r="E346" i="17" s="1" a="1"/>
  <c r="E346" i="17" s="1"/>
  <c r="D347" i="17"/>
  <c r="E347" i="17" s="1" a="1"/>
  <c r="E347" i="17" s="1"/>
  <c r="D348" i="17"/>
  <c r="E348" i="17" s="1" a="1"/>
  <c r="E348" i="17" s="1"/>
  <c r="D349" i="17"/>
  <c r="E349" i="17" s="1" a="1"/>
  <c r="E349" i="17" s="1"/>
  <c r="D350" i="17"/>
  <c r="E350" i="17" s="1" a="1"/>
  <c r="E350" i="17" s="1"/>
  <c r="D351" i="17"/>
  <c r="E351" i="17" s="1" a="1"/>
  <c r="E351" i="17" s="1"/>
  <c r="D352" i="17"/>
  <c r="E352" i="17" s="1" a="1"/>
  <c r="E352" i="17" s="1"/>
  <c r="D353" i="17"/>
  <c r="E353" i="17" s="1" a="1"/>
  <c r="E353" i="17" s="1"/>
  <c r="D354" i="17"/>
  <c r="E354" i="17" s="1" a="1"/>
  <c r="E354" i="17" s="1"/>
  <c r="D355" i="17"/>
  <c r="E355" i="17" s="1" a="1"/>
  <c r="E355" i="17" s="1"/>
  <c r="D356" i="17"/>
  <c r="E356" i="17" s="1" a="1"/>
  <c r="E356" i="17" s="1"/>
  <c r="D357" i="17"/>
  <c r="E357" i="17" s="1" a="1"/>
  <c r="E357" i="17" s="1"/>
  <c r="D358" i="17"/>
  <c r="E358" i="17" s="1" a="1"/>
  <c r="E358" i="17" s="1"/>
  <c r="D359" i="17"/>
  <c r="E359" i="17" s="1" a="1"/>
  <c r="E359" i="17" s="1"/>
  <c r="D360" i="17"/>
  <c r="E360" i="17" s="1" a="1"/>
  <c r="E360" i="17" s="1"/>
  <c r="D361" i="17"/>
  <c r="E361" i="17" s="1" a="1"/>
  <c r="E361" i="17" s="1"/>
  <c r="D362" i="17"/>
  <c r="E362" i="17" s="1" a="1"/>
  <c r="E362" i="17" s="1"/>
  <c r="D363" i="17"/>
  <c r="E363" i="17" s="1" a="1"/>
  <c r="E363" i="17" s="1"/>
  <c r="D364" i="17"/>
  <c r="E364" i="17" s="1" a="1"/>
  <c r="E364" i="17" s="1"/>
  <c r="D365" i="17"/>
  <c r="E365" i="17" s="1" a="1"/>
  <c r="E365" i="17" s="1"/>
  <c r="D366" i="17"/>
  <c r="E366" i="17" s="1" a="1"/>
  <c r="E366" i="17" s="1"/>
  <c r="D367" i="17"/>
  <c r="E367" i="17" s="1" a="1"/>
  <c r="E367" i="17" s="1"/>
  <c r="D368" i="17"/>
  <c r="E368" i="17" s="1" a="1"/>
  <c r="E368" i="17" s="1"/>
  <c r="D369" i="17"/>
  <c r="E369" i="17" s="1" a="1"/>
  <c r="E369" i="17" s="1"/>
  <c r="D370" i="17"/>
  <c r="E370" i="17" s="1" a="1"/>
  <c r="E370" i="17" s="1"/>
  <c r="D371" i="17"/>
  <c r="E371" i="17" s="1" a="1"/>
  <c r="E371" i="17" s="1"/>
  <c r="D372" i="17"/>
  <c r="E372" i="17" s="1" a="1"/>
  <c r="E372" i="17" s="1"/>
  <c r="D373" i="17"/>
  <c r="E373" i="17" s="1" a="1"/>
  <c r="E373" i="17" s="1"/>
  <c r="D374" i="17"/>
  <c r="E374" i="17" s="1" a="1"/>
  <c r="E374" i="17" s="1"/>
  <c r="D375" i="17"/>
  <c r="E375" i="17" s="1" a="1"/>
  <c r="E375" i="17" s="1"/>
  <c r="D376" i="17"/>
  <c r="E376" i="17" s="1" a="1"/>
  <c r="E376" i="17" s="1"/>
  <c r="D377" i="17"/>
  <c r="E377" i="17" s="1" a="1"/>
  <c r="E377" i="17" s="1"/>
  <c r="D378" i="17"/>
  <c r="E378" i="17" s="1" a="1"/>
  <c r="E378" i="17" s="1"/>
  <c r="D379" i="17"/>
  <c r="E379" i="17" s="1" a="1"/>
  <c r="E379" i="17" s="1"/>
  <c r="D380" i="17"/>
  <c r="E380" i="17" s="1" a="1"/>
  <c r="E380" i="17" s="1"/>
  <c r="D381" i="17"/>
  <c r="E381" i="17" s="1" a="1"/>
  <c r="E381" i="17" s="1"/>
  <c r="D382" i="17"/>
  <c r="E382" i="17" s="1" a="1"/>
  <c r="E382" i="17" s="1"/>
  <c r="D383" i="17"/>
  <c r="E383" i="17" s="1" a="1"/>
  <c r="E383" i="17" s="1"/>
  <c r="D384" i="17"/>
  <c r="E384" i="17" s="1" a="1"/>
  <c r="E384" i="17" s="1"/>
  <c r="D385" i="17"/>
  <c r="E385" i="17" s="1" a="1"/>
  <c r="E385" i="17" s="1"/>
  <c r="D386" i="17"/>
  <c r="E386" i="17" s="1" a="1"/>
  <c r="E386" i="17" s="1"/>
  <c r="D387" i="17"/>
  <c r="E387" i="17" s="1" a="1"/>
  <c r="E387" i="17" s="1"/>
  <c r="D388" i="17"/>
  <c r="E388" i="17" s="1" a="1"/>
  <c r="E388" i="17" s="1"/>
  <c r="D389" i="17"/>
  <c r="E389" i="17" s="1" a="1"/>
  <c r="E389" i="17" s="1"/>
  <c r="D390" i="17"/>
  <c r="E390" i="17" s="1" a="1"/>
  <c r="E390" i="17" s="1"/>
  <c r="D391" i="17"/>
  <c r="E391" i="17" s="1" a="1"/>
  <c r="E391" i="17" s="1"/>
  <c r="D392" i="17"/>
  <c r="E392" i="17" s="1" a="1"/>
  <c r="E392" i="17" s="1"/>
  <c r="D393" i="17"/>
  <c r="E393" i="17" s="1" a="1"/>
  <c r="E393" i="17" s="1"/>
  <c r="D394" i="17"/>
  <c r="E394" i="17" s="1" a="1"/>
  <c r="E394" i="17" s="1"/>
  <c r="D395" i="17"/>
  <c r="E395" i="17" s="1" a="1"/>
  <c r="E395" i="17" s="1"/>
  <c r="D396" i="17"/>
  <c r="E396" i="17" s="1" a="1"/>
  <c r="E396" i="17" s="1"/>
  <c r="D397" i="17"/>
  <c r="E397" i="17" s="1" a="1"/>
  <c r="E397" i="17" s="1"/>
  <c r="D398" i="17"/>
  <c r="E398" i="17" s="1" a="1"/>
  <c r="E398" i="17" s="1"/>
  <c r="D399" i="17"/>
  <c r="E399" i="17" s="1" a="1"/>
  <c r="E399" i="17" s="1"/>
  <c r="D400" i="17"/>
  <c r="E400" i="17" s="1" a="1"/>
  <c r="E400" i="17" s="1"/>
  <c r="D401" i="17"/>
  <c r="E401" i="17" s="1" a="1"/>
  <c r="E401" i="17" s="1"/>
  <c r="D402" i="17"/>
  <c r="E402" i="17" s="1" a="1"/>
  <c r="E402" i="17" s="1"/>
  <c r="D403" i="17"/>
  <c r="E403" i="17" s="1" a="1"/>
  <c r="E403" i="17" s="1"/>
  <c r="D404" i="17"/>
  <c r="E404" i="17" s="1" a="1"/>
  <c r="E404" i="17" s="1"/>
  <c r="D405" i="17"/>
  <c r="E405" i="17" s="1" a="1"/>
  <c r="E405" i="17" s="1"/>
  <c r="D406" i="17"/>
  <c r="E406" i="17" s="1" a="1"/>
  <c r="E406" i="17" s="1"/>
  <c r="D407" i="17"/>
  <c r="E407" i="17" s="1" a="1"/>
  <c r="E407" i="17" s="1"/>
  <c r="D408" i="17"/>
  <c r="E408" i="17" s="1" a="1"/>
  <c r="E408" i="17" s="1"/>
  <c r="D409" i="17"/>
  <c r="E409" i="17" s="1" a="1"/>
  <c r="E409" i="17" s="1"/>
  <c r="D410" i="17"/>
  <c r="E410" i="17" s="1" a="1"/>
  <c r="E410" i="17" s="1"/>
  <c r="D411" i="17"/>
  <c r="E411" i="17" s="1" a="1"/>
  <c r="E411" i="17" s="1"/>
  <c r="D412" i="17"/>
  <c r="E412" i="17" s="1" a="1"/>
  <c r="E412" i="17" s="1"/>
  <c r="D413" i="17"/>
  <c r="E413" i="17" s="1" a="1"/>
  <c r="E413" i="17" s="1"/>
  <c r="D414" i="17"/>
  <c r="E414" i="17" s="1" a="1"/>
  <c r="E414" i="17" s="1"/>
  <c r="D415" i="17"/>
  <c r="E415" i="17" s="1" a="1"/>
  <c r="E415" i="17" s="1"/>
  <c r="D416" i="17"/>
  <c r="E416" i="17" s="1" a="1"/>
  <c r="E416" i="17" s="1"/>
  <c r="D417" i="17"/>
  <c r="E417" i="17" s="1" a="1"/>
  <c r="E417" i="17" s="1"/>
  <c r="D418" i="17"/>
  <c r="E418" i="17" s="1" a="1"/>
  <c r="E418" i="17" s="1"/>
  <c r="D419" i="17"/>
  <c r="E419" i="17" s="1" a="1"/>
  <c r="E419" i="17" s="1"/>
  <c r="D420" i="17"/>
  <c r="E420" i="17" s="1" a="1"/>
  <c r="E420" i="17" s="1"/>
  <c r="D421" i="17"/>
  <c r="E421" i="17" s="1" a="1"/>
  <c r="E421" i="17" s="1"/>
  <c r="D422" i="17"/>
  <c r="E422" i="17" s="1" a="1"/>
  <c r="E422" i="17" s="1"/>
  <c r="D423" i="17"/>
  <c r="E423" i="17" s="1" a="1"/>
  <c r="E423" i="17" s="1"/>
  <c r="D424" i="17"/>
  <c r="E424" i="17" s="1" a="1"/>
  <c r="E424" i="17" s="1"/>
  <c r="D425" i="17"/>
  <c r="E425" i="17" s="1" a="1"/>
  <c r="E425" i="17" s="1"/>
  <c r="D426" i="17"/>
  <c r="E426" i="17" s="1" a="1"/>
  <c r="E426" i="17" s="1"/>
  <c r="D427" i="17"/>
  <c r="E427" i="17" s="1" a="1"/>
  <c r="E427" i="17" s="1"/>
  <c r="D428" i="17"/>
  <c r="E428" i="17" s="1" a="1"/>
  <c r="E428" i="17" s="1"/>
  <c r="D429" i="17"/>
  <c r="E429" i="17" s="1" a="1"/>
  <c r="E429" i="17" s="1"/>
  <c r="D430" i="17"/>
  <c r="E430" i="17" s="1" a="1"/>
  <c r="E430" i="17" s="1"/>
  <c r="D431" i="17"/>
  <c r="E431" i="17" s="1" a="1"/>
  <c r="E431" i="17" s="1"/>
  <c r="D432" i="17"/>
  <c r="E432" i="17" s="1" a="1"/>
  <c r="E432" i="17" s="1"/>
  <c r="D433" i="17"/>
  <c r="E433" i="17" s="1" a="1"/>
  <c r="E433" i="17" s="1"/>
  <c r="D434" i="17"/>
  <c r="E434" i="17" s="1" a="1"/>
  <c r="E434" i="17" s="1"/>
  <c r="D435" i="17"/>
  <c r="E435" i="17" s="1" a="1"/>
  <c r="E435" i="17" s="1"/>
  <c r="D436" i="17"/>
  <c r="E436" i="17" s="1" a="1"/>
  <c r="E436" i="17" s="1"/>
  <c r="D437" i="17"/>
  <c r="E437" i="17" s="1" a="1"/>
  <c r="E437" i="17" s="1"/>
  <c r="D438" i="17"/>
  <c r="E438" i="17" s="1" a="1"/>
  <c r="E438" i="17" s="1"/>
  <c r="D439" i="17"/>
  <c r="E439" i="17" s="1" a="1"/>
  <c r="E439" i="17" s="1"/>
  <c r="D440" i="17"/>
  <c r="E440" i="17" s="1" a="1"/>
  <c r="E440" i="17" s="1"/>
  <c r="D441" i="17"/>
  <c r="E441" i="17" s="1" a="1"/>
  <c r="E441" i="17" s="1"/>
  <c r="D442" i="17"/>
  <c r="E442" i="17" s="1" a="1"/>
  <c r="E442" i="17" s="1"/>
  <c r="D443" i="17"/>
  <c r="E443" i="17" s="1" a="1"/>
  <c r="E443" i="17" s="1"/>
  <c r="D444" i="17"/>
  <c r="E444" i="17" s="1" a="1"/>
  <c r="E444" i="17" s="1"/>
  <c r="D445" i="17"/>
  <c r="E445" i="17" s="1" a="1"/>
  <c r="E445" i="17" s="1"/>
  <c r="D446" i="17"/>
  <c r="E446" i="17" s="1" a="1"/>
  <c r="E446" i="17" s="1"/>
  <c r="D447" i="17"/>
  <c r="E447" i="17" s="1" a="1"/>
  <c r="E447" i="17" s="1"/>
  <c r="D448" i="17"/>
  <c r="E448" i="17" s="1" a="1"/>
  <c r="E448" i="17" s="1"/>
  <c r="D449" i="17"/>
  <c r="E449" i="17" s="1" a="1"/>
  <c r="E449" i="17" s="1"/>
  <c r="D450" i="17"/>
  <c r="E450" i="17" s="1" a="1"/>
  <c r="E450" i="17" s="1"/>
  <c r="D451" i="17"/>
  <c r="E451" i="17" s="1" a="1"/>
  <c r="E451" i="17" s="1"/>
  <c r="D452" i="17"/>
  <c r="E452" i="17" s="1" a="1"/>
  <c r="E452" i="17" s="1"/>
  <c r="D453" i="17"/>
  <c r="E453" i="17" s="1" a="1"/>
  <c r="E453" i="17" s="1"/>
  <c r="D454" i="17"/>
  <c r="E454" i="17" s="1" a="1"/>
  <c r="E454" i="17" s="1"/>
  <c r="D455" i="17"/>
  <c r="E455" i="17" s="1" a="1"/>
  <c r="E455" i="17" s="1"/>
  <c r="D456" i="17"/>
  <c r="E456" i="17" s="1" a="1"/>
  <c r="E456" i="17" s="1"/>
  <c r="D457" i="17"/>
  <c r="E457" i="17" s="1" a="1"/>
  <c r="E457" i="17" s="1"/>
  <c r="D458" i="17"/>
  <c r="E458" i="17" s="1" a="1"/>
  <c r="E458" i="17" s="1"/>
  <c r="D459" i="17"/>
  <c r="E459" i="17" s="1" a="1"/>
  <c r="E459" i="17" s="1"/>
  <c r="D460" i="17"/>
  <c r="E460" i="17" s="1" a="1"/>
  <c r="E460" i="17" s="1"/>
  <c r="D461" i="17"/>
  <c r="E461" i="17" s="1" a="1"/>
  <c r="E461" i="17" s="1"/>
  <c r="D462" i="17"/>
  <c r="E462" i="17" s="1" a="1"/>
  <c r="E462" i="17" s="1"/>
  <c r="D463" i="17"/>
  <c r="E463" i="17" s="1" a="1"/>
  <c r="E463" i="17" s="1"/>
  <c r="D464" i="17"/>
  <c r="E464" i="17" s="1" a="1"/>
  <c r="E464" i="17" s="1"/>
  <c r="D465" i="17"/>
  <c r="E465" i="17" s="1" a="1"/>
  <c r="E465" i="17" s="1"/>
  <c r="D466" i="17"/>
  <c r="E466" i="17" s="1" a="1"/>
  <c r="E466" i="17" s="1"/>
  <c r="D467" i="17"/>
  <c r="E467" i="17" s="1" a="1"/>
  <c r="E467" i="17" s="1"/>
  <c r="D468" i="17"/>
  <c r="E468" i="17" s="1" a="1"/>
  <c r="E468" i="17" s="1"/>
  <c r="D469" i="17"/>
  <c r="E469" i="17" s="1" a="1"/>
  <c r="E469" i="17" s="1"/>
  <c r="D470" i="17"/>
  <c r="E470" i="17" s="1" a="1"/>
  <c r="E470" i="17" s="1"/>
  <c r="D471" i="17"/>
  <c r="E471" i="17" s="1" a="1"/>
  <c r="E471" i="17" s="1"/>
  <c r="D472" i="17"/>
  <c r="E472" i="17" s="1" a="1"/>
  <c r="E472" i="17" s="1"/>
  <c r="D473" i="17"/>
  <c r="E473" i="17" s="1" a="1"/>
  <c r="E473" i="17" s="1"/>
  <c r="D474" i="17"/>
  <c r="E474" i="17" s="1" a="1"/>
  <c r="E474" i="17" s="1"/>
  <c r="D475" i="17"/>
  <c r="E475" i="17" s="1" a="1"/>
  <c r="E475" i="17" s="1"/>
  <c r="D476" i="17"/>
  <c r="E476" i="17" s="1" a="1"/>
  <c r="E476" i="17" s="1"/>
  <c r="D477" i="17"/>
  <c r="E477" i="17" s="1" a="1"/>
  <c r="E477" i="17" s="1"/>
  <c r="D478" i="17"/>
  <c r="E478" i="17" s="1" a="1"/>
  <c r="E478" i="17" s="1"/>
  <c r="D479" i="17"/>
  <c r="E479" i="17" s="1" a="1"/>
  <c r="E479" i="17" s="1"/>
  <c r="D480" i="17"/>
  <c r="E480" i="17" s="1" a="1"/>
  <c r="E480" i="17" s="1"/>
  <c r="D481" i="17"/>
  <c r="E481" i="17" s="1" a="1"/>
  <c r="E481" i="17" s="1"/>
  <c r="D482" i="17"/>
  <c r="E482" i="17" s="1" a="1"/>
  <c r="E482" i="17" s="1"/>
  <c r="D483" i="17"/>
  <c r="E483" i="17" s="1" a="1"/>
  <c r="E483" i="17" s="1"/>
  <c r="D484" i="17"/>
  <c r="E484" i="17" s="1" a="1"/>
  <c r="E484" i="17" s="1"/>
  <c r="D485" i="17"/>
  <c r="E485" i="17" s="1" a="1"/>
  <c r="E485" i="17" s="1"/>
  <c r="D486" i="17"/>
  <c r="E486" i="17" s="1" a="1"/>
  <c r="E486" i="17" s="1"/>
  <c r="D487" i="17"/>
  <c r="E487" i="17" s="1" a="1"/>
  <c r="E487" i="17" s="1"/>
  <c r="D488" i="17"/>
  <c r="E488" i="17" s="1" a="1"/>
  <c r="E488" i="17" s="1"/>
  <c r="D489" i="17"/>
  <c r="E489" i="17" s="1" a="1"/>
  <c r="E489" i="17" s="1"/>
  <c r="D490" i="17"/>
  <c r="E490" i="17" s="1" a="1"/>
  <c r="E490" i="17" s="1"/>
  <c r="D491" i="17"/>
  <c r="E491" i="17" s="1" a="1"/>
  <c r="E491" i="17" s="1"/>
  <c r="D492" i="17"/>
  <c r="E492" i="17" s="1" a="1"/>
  <c r="E492" i="17" s="1"/>
  <c r="D493" i="17"/>
  <c r="E493" i="17" s="1" a="1"/>
  <c r="E493" i="17" s="1"/>
  <c r="D494" i="17"/>
  <c r="E494" i="17" s="1" a="1"/>
  <c r="E494" i="17" s="1"/>
  <c r="D495" i="17"/>
  <c r="E495" i="17" s="1" a="1"/>
  <c r="E495" i="17" s="1"/>
  <c r="D496" i="17"/>
  <c r="E496" i="17" s="1" a="1"/>
  <c r="E496" i="17" s="1"/>
  <c r="D497" i="17"/>
  <c r="E497" i="17" s="1" a="1"/>
  <c r="E497" i="17" s="1"/>
  <c r="D498" i="17"/>
  <c r="E498" i="17" s="1" a="1"/>
  <c r="E498" i="17" s="1"/>
  <c r="D499" i="17"/>
  <c r="E499" i="17" s="1" a="1"/>
  <c r="E499" i="17" s="1"/>
  <c r="D500" i="17"/>
  <c r="E500" i="17" s="1" a="1"/>
  <c r="E500" i="17" s="1"/>
  <c r="D501" i="17"/>
  <c r="E501" i="17" s="1" a="1"/>
  <c r="E501" i="17" s="1"/>
  <c r="D502" i="17"/>
  <c r="E502" i="17" s="1" a="1"/>
  <c r="E502" i="17" s="1"/>
  <c r="D503" i="17"/>
  <c r="E503" i="17" s="1" a="1"/>
  <c r="E503" i="17" s="1"/>
  <c r="D504" i="17"/>
  <c r="E504" i="17" s="1" a="1"/>
  <c r="E504" i="17" s="1"/>
  <c r="D505" i="17"/>
  <c r="E505" i="17" s="1" a="1"/>
  <c r="E505" i="17" s="1"/>
  <c r="D506" i="17"/>
  <c r="E506" i="17" s="1" a="1"/>
  <c r="E506" i="17" s="1"/>
  <c r="D507" i="17"/>
  <c r="E507" i="17" s="1" a="1"/>
  <c r="E507" i="17" s="1"/>
  <c r="D508" i="17"/>
  <c r="E508" i="17" s="1" a="1"/>
  <c r="E508" i="17" s="1"/>
  <c r="D509" i="17"/>
  <c r="E509" i="17" s="1" a="1"/>
  <c r="E509" i="17" s="1"/>
  <c r="D510" i="17"/>
  <c r="E510" i="17" s="1" a="1"/>
  <c r="E510" i="17" s="1"/>
  <c r="D511" i="17"/>
  <c r="E511" i="17" s="1" a="1"/>
  <c r="E511" i="17" s="1"/>
  <c r="D512" i="17"/>
  <c r="E512" i="17" s="1" a="1"/>
  <c r="E512" i="17" s="1"/>
  <c r="D513" i="17"/>
  <c r="E513" i="17" s="1" a="1"/>
  <c r="E513" i="17" s="1"/>
  <c r="D514" i="17"/>
  <c r="E514" i="17" s="1" a="1"/>
  <c r="E514" i="17" s="1"/>
  <c r="D515" i="17"/>
  <c r="E515" i="17" s="1" a="1"/>
  <c r="E515" i="17" s="1"/>
  <c r="D516" i="17"/>
  <c r="E516" i="17" s="1" a="1"/>
  <c r="E516" i="17" s="1"/>
  <c r="D517" i="17"/>
  <c r="E517" i="17" s="1" a="1"/>
  <c r="E517" i="17" s="1"/>
  <c r="D518" i="17"/>
  <c r="E518" i="17" s="1" a="1"/>
  <c r="E518" i="17" s="1"/>
  <c r="D519" i="17"/>
  <c r="E519" i="17" s="1" a="1"/>
  <c r="E519" i="17" s="1"/>
  <c r="D520" i="17"/>
  <c r="E520" i="17" s="1" a="1"/>
  <c r="E520" i="17" s="1"/>
  <c r="D521" i="17"/>
  <c r="E521" i="17" s="1" a="1"/>
  <c r="E521" i="17" s="1"/>
  <c r="D522" i="17"/>
  <c r="E522" i="17" s="1" a="1"/>
  <c r="E522" i="17" s="1"/>
  <c r="D523" i="17"/>
  <c r="E523" i="17" s="1" a="1"/>
  <c r="E523" i="17" s="1"/>
  <c r="D524" i="17"/>
  <c r="E524" i="17" s="1" a="1"/>
  <c r="E524" i="17" s="1"/>
  <c r="D525" i="17"/>
  <c r="E525" i="17" s="1" a="1"/>
  <c r="E525" i="17" s="1"/>
  <c r="D526" i="17"/>
  <c r="E526" i="17" s="1" a="1"/>
  <c r="E526" i="17" s="1"/>
  <c r="D527" i="17"/>
  <c r="E527" i="17" s="1" a="1"/>
  <c r="E527" i="17" s="1"/>
  <c r="D528" i="17"/>
  <c r="E528" i="17" s="1" a="1"/>
  <c r="E528" i="17" s="1"/>
  <c r="D529" i="17"/>
  <c r="E529" i="17" s="1" a="1"/>
  <c r="E529" i="17" s="1"/>
  <c r="D530" i="17"/>
  <c r="E530" i="17" s="1" a="1"/>
  <c r="E530" i="17" s="1"/>
  <c r="D531" i="17"/>
  <c r="E531" i="17" s="1" a="1"/>
  <c r="E531" i="17" s="1"/>
  <c r="D532" i="17"/>
  <c r="E532" i="17" s="1" a="1"/>
  <c r="E532" i="17" s="1"/>
  <c r="D533" i="17"/>
  <c r="E533" i="17" s="1" a="1"/>
  <c r="E533" i="17" s="1"/>
  <c r="D534" i="17"/>
  <c r="E534" i="17" s="1" a="1"/>
  <c r="E534" i="17" s="1"/>
  <c r="D535" i="17"/>
  <c r="E535" i="17" s="1" a="1"/>
  <c r="E535" i="17" s="1"/>
  <c r="D536" i="17"/>
  <c r="E536" i="17" s="1" a="1"/>
  <c r="E536" i="17" s="1"/>
  <c r="D537" i="17"/>
  <c r="E537" i="17" s="1" a="1"/>
  <c r="E537" i="17" s="1"/>
  <c r="D538" i="17"/>
  <c r="E538" i="17" s="1" a="1"/>
  <c r="E538" i="17" s="1"/>
  <c r="D539" i="17"/>
  <c r="E539" i="17" s="1" a="1"/>
  <c r="E539" i="17" s="1"/>
  <c r="D540" i="17"/>
  <c r="E540" i="17" s="1" a="1"/>
  <c r="E540" i="17" s="1"/>
  <c r="D541" i="17"/>
  <c r="E541" i="17" s="1" a="1"/>
  <c r="E541" i="17" s="1"/>
  <c r="D542" i="17"/>
  <c r="E542" i="17" s="1" a="1"/>
  <c r="E542" i="17" s="1"/>
  <c r="D543" i="17"/>
  <c r="E543" i="17" s="1" a="1"/>
  <c r="E543" i="17" s="1"/>
  <c r="D544" i="17"/>
  <c r="E544" i="17" s="1" a="1"/>
  <c r="E544" i="17" s="1"/>
  <c r="D545" i="17"/>
  <c r="E545" i="17" s="1" a="1"/>
  <c r="E545" i="17" s="1"/>
  <c r="D546" i="17"/>
  <c r="E546" i="17" s="1" a="1"/>
  <c r="E546" i="17" s="1"/>
  <c r="D547" i="17"/>
  <c r="E547" i="17" s="1" a="1"/>
  <c r="E547" i="17" s="1"/>
  <c r="D548" i="17"/>
  <c r="E548" i="17" s="1" a="1"/>
  <c r="E548" i="17" s="1"/>
  <c r="D549" i="17"/>
  <c r="E549" i="17" s="1" a="1"/>
  <c r="E549" i="17" s="1"/>
  <c r="D550" i="17"/>
  <c r="E550" i="17" s="1" a="1"/>
  <c r="E550" i="17" s="1"/>
  <c r="D551" i="17"/>
  <c r="E551" i="17" s="1" a="1"/>
  <c r="E551" i="17" s="1"/>
  <c r="D552" i="17"/>
  <c r="E552" i="17" s="1" a="1"/>
  <c r="E552" i="17" s="1"/>
  <c r="D553" i="17"/>
  <c r="E553" i="17" s="1" a="1"/>
  <c r="E553" i="17" s="1"/>
  <c r="D554" i="17"/>
  <c r="E554" i="17" s="1" a="1"/>
  <c r="E554" i="17" s="1"/>
  <c r="D555" i="17"/>
  <c r="E555" i="17" s="1" a="1"/>
  <c r="E555" i="17" s="1"/>
  <c r="D556" i="17"/>
  <c r="E556" i="17" s="1" a="1"/>
  <c r="E556" i="17" s="1"/>
  <c r="D557" i="17"/>
  <c r="E557" i="17" s="1" a="1"/>
  <c r="E557" i="17" s="1"/>
  <c r="D558" i="17"/>
  <c r="E558" i="17" s="1" a="1"/>
  <c r="E558" i="17" s="1"/>
  <c r="D559" i="17"/>
  <c r="E559" i="17" s="1" a="1"/>
  <c r="E559" i="17" s="1"/>
  <c r="D560" i="17"/>
  <c r="E560" i="17" s="1" a="1"/>
  <c r="E560" i="17" s="1"/>
  <c r="D561" i="17"/>
  <c r="E561" i="17" s="1" a="1"/>
  <c r="E561" i="17" s="1"/>
  <c r="D562" i="17"/>
  <c r="E562" i="17" s="1" a="1"/>
  <c r="E562" i="17" s="1"/>
  <c r="D563" i="17"/>
  <c r="E563" i="17" s="1" a="1"/>
  <c r="E563" i="17" s="1"/>
  <c r="D564" i="17"/>
  <c r="E564" i="17" s="1" a="1"/>
  <c r="E564" i="17" s="1"/>
  <c r="D565" i="17"/>
  <c r="E565" i="17" s="1" a="1"/>
  <c r="E565" i="17" s="1"/>
  <c r="D566" i="17"/>
  <c r="E566" i="17" s="1" a="1"/>
  <c r="E566" i="17" s="1"/>
  <c r="D567" i="17"/>
  <c r="E567" i="17" s="1" a="1"/>
  <c r="E567" i="17" s="1"/>
  <c r="D568" i="17"/>
  <c r="E568" i="17" s="1" a="1"/>
  <c r="E568" i="17" s="1"/>
  <c r="D569" i="17"/>
  <c r="E569" i="17" s="1" a="1"/>
  <c r="E569" i="17" s="1"/>
  <c r="D570" i="17"/>
  <c r="E570" i="17" s="1" a="1"/>
  <c r="E570" i="17" s="1"/>
  <c r="D571" i="17"/>
  <c r="E571" i="17" s="1" a="1"/>
  <c r="E571" i="17" s="1"/>
  <c r="D572" i="17"/>
  <c r="E572" i="17" s="1" a="1"/>
  <c r="E572" i="17" s="1"/>
  <c r="D573" i="17"/>
  <c r="E573" i="17" s="1" a="1"/>
  <c r="E573" i="17" s="1"/>
  <c r="D574" i="17"/>
  <c r="E574" i="17" s="1" a="1"/>
  <c r="E574" i="17" s="1"/>
  <c r="D575" i="17"/>
  <c r="E575" i="17" s="1" a="1"/>
  <c r="E575" i="17" s="1"/>
  <c r="D576" i="17"/>
  <c r="E576" i="17" s="1" a="1"/>
  <c r="E576" i="17" s="1"/>
  <c r="D577" i="17"/>
  <c r="E577" i="17" s="1" a="1"/>
  <c r="E577" i="17" s="1"/>
  <c r="D578" i="17"/>
  <c r="E578" i="17" s="1" a="1"/>
  <c r="E578" i="17" s="1"/>
  <c r="D579" i="17"/>
  <c r="E579" i="17" s="1" a="1"/>
  <c r="E579" i="17" s="1"/>
  <c r="D580" i="17"/>
  <c r="E580" i="17" s="1" a="1"/>
  <c r="E580" i="17" s="1"/>
  <c r="D581" i="17"/>
  <c r="E581" i="17" s="1" a="1"/>
  <c r="E581" i="17" s="1"/>
  <c r="D582" i="17"/>
  <c r="E582" i="17" s="1" a="1"/>
  <c r="E582" i="17" s="1"/>
  <c r="D583" i="17"/>
  <c r="E583" i="17" s="1" a="1"/>
  <c r="E583" i="17" s="1"/>
  <c r="D584" i="17"/>
  <c r="E584" i="17" s="1" a="1"/>
  <c r="E584" i="17" s="1"/>
  <c r="D585" i="17"/>
  <c r="E585" i="17" s="1" a="1"/>
  <c r="E585" i="17" s="1"/>
  <c r="D586" i="17"/>
  <c r="E586" i="17" s="1" a="1"/>
  <c r="E586" i="17" s="1"/>
  <c r="D587" i="17"/>
  <c r="E587" i="17" s="1" a="1"/>
  <c r="E587" i="17" s="1"/>
  <c r="D588" i="17"/>
  <c r="E588" i="17" s="1" a="1"/>
  <c r="E588" i="17" s="1"/>
  <c r="D589" i="17"/>
  <c r="E589" i="17" s="1" a="1"/>
  <c r="E589" i="17" s="1"/>
  <c r="D590" i="17"/>
  <c r="E590" i="17" s="1" a="1"/>
  <c r="E590" i="17" s="1"/>
  <c r="D591" i="17"/>
  <c r="E591" i="17" s="1" a="1"/>
  <c r="E591" i="17" s="1"/>
  <c r="D592" i="17"/>
  <c r="E592" i="17" s="1" a="1"/>
  <c r="E592" i="17" s="1"/>
  <c r="D593" i="17"/>
  <c r="E593" i="17" s="1" a="1"/>
  <c r="E593" i="17" s="1"/>
  <c r="D594" i="17"/>
  <c r="E594" i="17" s="1" a="1"/>
  <c r="E594" i="17" s="1"/>
  <c r="D595" i="17"/>
  <c r="E595" i="17" s="1" a="1"/>
  <c r="E595" i="17" s="1"/>
  <c r="D596" i="17"/>
  <c r="E596" i="17" s="1" a="1"/>
  <c r="E596" i="17" s="1"/>
  <c r="D597" i="17"/>
  <c r="E597" i="17" s="1" a="1"/>
  <c r="E597" i="17" s="1"/>
  <c r="D598" i="17"/>
  <c r="E598" i="17" s="1" a="1"/>
  <c r="E598" i="17" s="1"/>
  <c r="D599" i="17"/>
  <c r="E599" i="17" s="1" a="1"/>
  <c r="E599" i="17" s="1"/>
  <c r="D600" i="17"/>
  <c r="E600" i="17" s="1" a="1"/>
  <c r="E600" i="17" s="1"/>
  <c r="D601" i="17"/>
  <c r="E601" i="17" s="1" a="1"/>
  <c r="E601" i="17" s="1"/>
  <c r="D602" i="17"/>
  <c r="E602" i="17" s="1" a="1"/>
  <c r="E602" i="17" s="1"/>
  <c r="D603" i="17"/>
  <c r="E603" i="17" s="1" a="1"/>
  <c r="E603" i="17" s="1"/>
  <c r="D604" i="17"/>
  <c r="E604" i="17" s="1" a="1"/>
  <c r="E604" i="17" s="1"/>
  <c r="D605" i="17"/>
  <c r="E605" i="17" s="1" a="1"/>
  <c r="E605" i="17" s="1"/>
  <c r="D606" i="17"/>
  <c r="E606" i="17" s="1" a="1"/>
  <c r="E606" i="17" s="1"/>
  <c r="D607" i="17"/>
  <c r="E607" i="17" s="1" a="1"/>
  <c r="E607" i="17" s="1"/>
  <c r="D608" i="17"/>
  <c r="E608" i="17" s="1" a="1"/>
  <c r="E608" i="17" s="1"/>
  <c r="D609" i="17"/>
  <c r="E609" i="17" s="1" a="1"/>
  <c r="E609" i="17" s="1"/>
  <c r="D610" i="17"/>
  <c r="E610" i="17" s="1" a="1"/>
  <c r="E610" i="17" s="1"/>
  <c r="D611" i="17"/>
  <c r="E611" i="17" s="1" a="1"/>
  <c r="E611" i="17" s="1"/>
  <c r="D612" i="17"/>
  <c r="E612" i="17" s="1" a="1"/>
  <c r="E612" i="17" s="1"/>
  <c r="D613" i="17"/>
  <c r="E613" i="17" s="1" a="1"/>
  <c r="E613" i="17" s="1"/>
  <c r="D614" i="17"/>
  <c r="E614" i="17" s="1" a="1"/>
  <c r="E614" i="17" s="1"/>
  <c r="D615" i="17"/>
  <c r="E615" i="17" s="1" a="1"/>
  <c r="E615" i="17" s="1"/>
  <c r="D616" i="17"/>
  <c r="E616" i="17" s="1" a="1"/>
  <c r="E616" i="17" s="1"/>
  <c r="D617" i="17"/>
  <c r="E617" i="17" s="1" a="1"/>
  <c r="E617" i="17" s="1"/>
  <c r="D618" i="17"/>
  <c r="E618" i="17" s="1" a="1"/>
  <c r="E618" i="17" s="1"/>
  <c r="D619" i="17"/>
  <c r="E619" i="17" s="1" a="1"/>
  <c r="E619" i="17" s="1"/>
  <c r="D620" i="17"/>
  <c r="E620" i="17" s="1" a="1"/>
  <c r="E620" i="17" s="1"/>
  <c r="D621" i="17"/>
  <c r="E621" i="17" s="1" a="1"/>
  <c r="E621" i="17" s="1"/>
  <c r="D622" i="17"/>
  <c r="E622" i="17" s="1" a="1"/>
  <c r="E622" i="17" s="1"/>
  <c r="D623" i="17"/>
  <c r="E623" i="17" s="1" a="1"/>
  <c r="E623" i="17" s="1"/>
  <c r="D624" i="17"/>
  <c r="E624" i="17" s="1" a="1"/>
  <c r="E624" i="17" s="1"/>
  <c r="D625" i="17"/>
  <c r="E625" i="17" s="1" a="1"/>
  <c r="E625" i="17" s="1"/>
  <c r="D626" i="17"/>
  <c r="E626" i="17" s="1" a="1"/>
  <c r="E626" i="17" s="1"/>
  <c r="D627" i="17"/>
  <c r="E627" i="17" s="1" a="1"/>
  <c r="E627" i="17" s="1"/>
  <c r="D628" i="17"/>
  <c r="E628" i="17" s="1" a="1"/>
  <c r="E628" i="17" s="1"/>
  <c r="D629" i="17"/>
  <c r="E629" i="17" s="1" a="1"/>
  <c r="E629" i="17" s="1"/>
  <c r="D630" i="17"/>
  <c r="E630" i="17" s="1" a="1"/>
  <c r="E630" i="17" s="1"/>
  <c r="D631" i="17"/>
  <c r="E631" i="17" s="1" a="1"/>
  <c r="E631" i="17" s="1"/>
  <c r="D632" i="17"/>
  <c r="E632" i="17" s="1" a="1"/>
  <c r="E632" i="17" s="1"/>
  <c r="D633" i="17"/>
  <c r="E633" i="17" s="1" a="1"/>
  <c r="E633" i="17" s="1"/>
  <c r="D634" i="17"/>
  <c r="E634" i="17" s="1" a="1"/>
  <c r="E634" i="17" s="1"/>
  <c r="D635" i="17"/>
  <c r="E635" i="17" s="1" a="1"/>
  <c r="E635" i="17" s="1"/>
  <c r="D636" i="17"/>
  <c r="E636" i="17" s="1" a="1"/>
  <c r="E636" i="17" s="1"/>
  <c r="D637" i="17"/>
  <c r="E637" i="17" s="1" a="1"/>
  <c r="E637" i="17" s="1"/>
  <c r="D638" i="17"/>
  <c r="E638" i="17" s="1" a="1"/>
  <c r="E638" i="17" s="1"/>
  <c r="D639" i="17"/>
  <c r="E639" i="17" s="1" a="1"/>
  <c r="E639" i="17" s="1"/>
  <c r="D640" i="17"/>
  <c r="E640" i="17" s="1" a="1"/>
  <c r="E640" i="17" s="1"/>
  <c r="D641" i="17"/>
  <c r="E641" i="17" s="1" a="1"/>
  <c r="E641" i="17" s="1"/>
  <c r="D642" i="17"/>
  <c r="E642" i="17" s="1" a="1"/>
  <c r="E642" i="17" s="1"/>
  <c r="D643" i="17"/>
  <c r="E643" i="17" s="1" a="1"/>
  <c r="E643" i="17" s="1"/>
  <c r="D644" i="17"/>
  <c r="E644" i="17" s="1" a="1"/>
  <c r="E644" i="17" s="1"/>
  <c r="D645" i="17"/>
  <c r="E645" i="17" s="1" a="1"/>
  <c r="E645" i="17" s="1"/>
  <c r="D646" i="17"/>
  <c r="E646" i="17" s="1" a="1"/>
  <c r="E646" i="17" s="1"/>
  <c r="D647" i="17"/>
  <c r="E647" i="17" s="1" a="1"/>
  <c r="E647" i="17" s="1"/>
  <c r="D648" i="17"/>
  <c r="E648" i="17" s="1" a="1"/>
  <c r="E648" i="17" s="1"/>
  <c r="D649" i="17"/>
  <c r="E649" i="17" s="1" a="1"/>
  <c r="E649" i="17" s="1"/>
  <c r="D650" i="17"/>
  <c r="E650" i="17" s="1" a="1"/>
  <c r="E650" i="17" s="1"/>
  <c r="D651" i="17"/>
  <c r="E651" i="17" s="1" a="1"/>
  <c r="E651" i="17" s="1"/>
  <c r="D652" i="17"/>
  <c r="E652" i="17" s="1" a="1"/>
  <c r="E652" i="17" s="1"/>
  <c r="D653" i="17"/>
  <c r="E653" i="17" s="1" a="1"/>
  <c r="E653" i="17" s="1"/>
  <c r="D654" i="17"/>
  <c r="E654" i="17" s="1" a="1"/>
  <c r="E654" i="17" s="1"/>
  <c r="D655" i="17"/>
  <c r="E655" i="17" s="1" a="1"/>
  <c r="E655" i="17" s="1"/>
  <c r="D656" i="17"/>
  <c r="E656" i="17" s="1" a="1"/>
  <c r="E656" i="17" s="1"/>
  <c r="D657" i="17"/>
  <c r="E657" i="17" s="1" a="1"/>
  <c r="E657" i="17" s="1"/>
  <c r="D658" i="17"/>
  <c r="E658" i="17" s="1" a="1"/>
  <c r="E658" i="17" s="1"/>
  <c r="D659" i="17"/>
  <c r="E659" i="17" s="1" a="1"/>
  <c r="E659" i="17" s="1"/>
  <c r="D660" i="17"/>
  <c r="E660" i="17" s="1" a="1"/>
  <c r="E660" i="17" s="1"/>
  <c r="D661" i="17"/>
  <c r="E661" i="17" s="1" a="1"/>
  <c r="E661" i="17" s="1"/>
  <c r="D662" i="17"/>
  <c r="E662" i="17" s="1" a="1"/>
  <c r="E662" i="17" s="1"/>
  <c r="D663" i="17"/>
  <c r="E663" i="17" s="1" a="1"/>
  <c r="E663" i="17" s="1"/>
  <c r="D664" i="17"/>
  <c r="E664" i="17" s="1" a="1"/>
  <c r="E664" i="17" s="1"/>
  <c r="D665" i="17"/>
  <c r="E665" i="17" s="1" a="1"/>
  <c r="E665" i="17" s="1"/>
  <c r="D666" i="17"/>
  <c r="E666" i="17" s="1" a="1"/>
  <c r="E666" i="17" s="1"/>
  <c r="D667" i="17"/>
  <c r="E667" i="17" s="1" a="1"/>
  <c r="E667" i="17" s="1"/>
  <c r="D668" i="17"/>
  <c r="E668" i="17" s="1" a="1"/>
  <c r="E668" i="17" s="1"/>
  <c r="D669" i="17"/>
  <c r="E669" i="17" s="1" a="1"/>
  <c r="E669" i="17" s="1"/>
  <c r="D670" i="17"/>
  <c r="E670" i="17" s="1" a="1"/>
  <c r="E670" i="17" s="1"/>
  <c r="D671" i="17"/>
  <c r="E671" i="17" s="1" a="1"/>
  <c r="E671" i="17" s="1"/>
  <c r="D672" i="17"/>
  <c r="E672" i="17" s="1" a="1"/>
  <c r="E672" i="17" s="1"/>
  <c r="D673" i="17"/>
  <c r="E673" i="17" s="1" a="1"/>
  <c r="E673" i="17" s="1"/>
  <c r="D674" i="17"/>
  <c r="E674" i="17" s="1" a="1"/>
  <c r="E674" i="17" s="1"/>
  <c r="D675" i="17"/>
  <c r="E675" i="17" s="1" a="1"/>
  <c r="E675" i="17" s="1"/>
  <c r="D676" i="17"/>
  <c r="E676" i="17" s="1" a="1"/>
  <c r="E676" i="17" s="1"/>
  <c r="D677" i="17"/>
  <c r="E677" i="17" s="1" a="1"/>
  <c r="E677" i="17" s="1"/>
  <c r="D678" i="17"/>
  <c r="E678" i="17" s="1" a="1"/>
  <c r="E678" i="17" s="1"/>
  <c r="D679" i="17"/>
  <c r="E679" i="17" s="1" a="1"/>
  <c r="E679" i="17" s="1"/>
  <c r="D680" i="17"/>
  <c r="E680" i="17" s="1" a="1"/>
  <c r="E680" i="17" s="1"/>
  <c r="D681" i="17"/>
  <c r="E681" i="17" s="1" a="1"/>
  <c r="E681" i="17" s="1"/>
  <c r="D682" i="17"/>
  <c r="E682" i="17" s="1" a="1"/>
  <c r="E682" i="17" s="1"/>
  <c r="D683" i="17"/>
  <c r="E683" i="17" s="1" a="1"/>
  <c r="E683" i="17" s="1"/>
  <c r="D684" i="17"/>
  <c r="E684" i="17" s="1" a="1"/>
  <c r="E684" i="17" s="1"/>
  <c r="D685" i="17"/>
  <c r="E685" i="17" s="1" a="1"/>
  <c r="E685" i="17" s="1"/>
  <c r="D686" i="17"/>
  <c r="E686" i="17" s="1" a="1"/>
  <c r="E686" i="17" s="1"/>
  <c r="D687" i="17"/>
  <c r="E687" i="17" s="1" a="1"/>
  <c r="E687" i="17" s="1"/>
  <c r="D688" i="17"/>
  <c r="E688" i="17" s="1" a="1"/>
  <c r="E688" i="17" s="1"/>
  <c r="D689" i="17"/>
  <c r="E689" i="17" s="1" a="1"/>
  <c r="E689" i="17" s="1"/>
  <c r="D690" i="17"/>
  <c r="E690" i="17" s="1" a="1"/>
  <c r="E690" i="17" s="1"/>
  <c r="D691" i="17"/>
  <c r="E691" i="17" s="1" a="1"/>
  <c r="E691" i="17" s="1"/>
  <c r="D692" i="17"/>
  <c r="E692" i="17" s="1" a="1"/>
  <c r="E692" i="17" s="1"/>
  <c r="D693" i="17"/>
  <c r="E693" i="17" s="1" a="1"/>
  <c r="E693" i="17" s="1"/>
  <c r="D694" i="17"/>
  <c r="E694" i="17" s="1" a="1"/>
  <c r="E694" i="17" s="1"/>
  <c r="D695" i="17"/>
  <c r="E695" i="17" s="1" a="1"/>
  <c r="E695" i="17" s="1"/>
  <c r="D696" i="17"/>
  <c r="E696" i="17" s="1" a="1"/>
  <c r="E696" i="17" s="1"/>
  <c r="D697" i="17"/>
  <c r="E697" i="17" s="1" a="1"/>
  <c r="E697" i="17" s="1"/>
  <c r="D698" i="17"/>
  <c r="E698" i="17" s="1" a="1"/>
  <c r="E698" i="17" s="1"/>
  <c r="D699" i="17"/>
  <c r="E699" i="17" s="1" a="1"/>
  <c r="E699" i="17" s="1"/>
  <c r="D700" i="17"/>
  <c r="E700" i="17" s="1" a="1"/>
  <c r="E700" i="17" s="1"/>
  <c r="D701" i="17"/>
  <c r="E701" i="17" s="1" a="1"/>
  <c r="E701" i="17" s="1"/>
  <c r="D702" i="17"/>
  <c r="E702" i="17" s="1" a="1"/>
  <c r="E702" i="17" s="1"/>
  <c r="D703" i="17"/>
  <c r="E703" i="17" s="1" a="1"/>
  <c r="E703" i="17" s="1"/>
  <c r="D704" i="17"/>
  <c r="E704" i="17" s="1" a="1"/>
  <c r="E704" i="17" s="1"/>
  <c r="D705" i="17"/>
  <c r="E705" i="17" s="1" a="1"/>
  <c r="E705" i="17" s="1"/>
  <c r="D706" i="17"/>
  <c r="E706" i="17" s="1" a="1"/>
  <c r="E706" i="17" s="1"/>
  <c r="D707" i="17"/>
  <c r="E707" i="17" s="1" a="1"/>
  <c r="E707" i="17" s="1"/>
  <c r="D708" i="17"/>
  <c r="E708" i="17" s="1" a="1"/>
  <c r="E708" i="17" s="1"/>
  <c r="D709" i="17"/>
  <c r="E709" i="17" s="1" a="1"/>
  <c r="E709" i="17" s="1"/>
  <c r="D710" i="17"/>
  <c r="E710" i="17" s="1" a="1"/>
  <c r="E710" i="17" s="1"/>
  <c r="D711" i="17"/>
  <c r="E711" i="17" s="1" a="1"/>
  <c r="E711" i="17" s="1"/>
  <c r="D712" i="17"/>
  <c r="E712" i="17" s="1" a="1"/>
  <c r="E712" i="17" s="1"/>
  <c r="D713" i="17"/>
  <c r="E713" i="17" s="1" a="1"/>
  <c r="E713" i="17" s="1"/>
  <c r="D714" i="17"/>
  <c r="E714" i="17" s="1" a="1"/>
  <c r="E714" i="17" s="1"/>
  <c r="D715" i="17"/>
  <c r="E715" i="17" s="1" a="1"/>
  <c r="E715" i="17" s="1"/>
  <c r="D716" i="17"/>
  <c r="E716" i="17" s="1" a="1"/>
  <c r="E716" i="17" s="1"/>
  <c r="D717" i="17"/>
  <c r="E717" i="17" s="1" a="1"/>
  <c r="E717" i="17" s="1"/>
  <c r="D718" i="17"/>
  <c r="E718" i="17" s="1" a="1"/>
  <c r="E718" i="17" s="1"/>
  <c r="D719" i="17"/>
  <c r="E719" i="17" s="1" a="1"/>
  <c r="E719" i="17" s="1"/>
  <c r="D720" i="17"/>
  <c r="E720" i="17" s="1" a="1"/>
  <c r="E720" i="17" s="1"/>
  <c r="D721" i="17"/>
  <c r="E721" i="17" s="1" a="1"/>
  <c r="E721" i="17" s="1"/>
  <c r="D722" i="17"/>
  <c r="E722" i="17" s="1" a="1"/>
  <c r="E722" i="17" s="1"/>
  <c r="D723" i="17"/>
  <c r="E723" i="17" s="1" a="1"/>
  <c r="E723" i="17" s="1"/>
  <c r="D724" i="17"/>
  <c r="E724" i="17" s="1" a="1"/>
  <c r="E724" i="17" s="1"/>
  <c r="D725" i="17"/>
  <c r="E725" i="17" s="1" a="1"/>
  <c r="E725" i="17" s="1"/>
  <c r="D726" i="17"/>
  <c r="E726" i="17" s="1" a="1"/>
  <c r="E726" i="17" s="1"/>
  <c r="D727" i="17"/>
  <c r="E727" i="17" s="1" a="1"/>
  <c r="E727" i="17" s="1"/>
  <c r="D728" i="17"/>
  <c r="E728" i="17" s="1" a="1"/>
  <c r="E728" i="17" s="1"/>
  <c r="D729" i="17"/>
  <c r="E729" i="17" s="1" a="1"/>
  <c r="E729" i="17" s="1"/>
  <c r="D730" i="17"/>
  <c r="E730" i="17" s="1" a="1"/>
  <c r="E730" i="17" s="1"/>
  <c r="D731" i="17"/>
  <c r="E731" i="17" s="1" a="1"/>
  <c r="E731" i="17" s="1"/>
  <c r="D732" i="17"/>
  <c r="E732" i="17" s="1" a="1"/>
  <c r="E732" i="17" s="1"/>
  <c r="D733" i="17"/>
  <c r="E733" i="17" s="1" a="1"/>
  <c r="E733" i="17" s="1"/>
  <c r="D734" i="17"/>
  <c r="E734" i="17" s="1" a="1"/>
  <c r="E734" i="17" s="1"/>
  <c r="D735" i="17"/>
  <c r="E735" i="17" s="1" a="1"/>
  <c r="E735" i="17" s="1"/>
  <c r="D736" i="17"/>
  <c r="E736" i="17" s="1" a="1"/>
  <c r="E736" i="17" s="1"/>
  <c r="D737" i="17"/>
  <c r="E737" i="17" s="1" a="1"/>
  <c r="E737" i="17" s="1"/>
  <c r="D738" i="17"/>
  <c r="E738" i="17" s="1" a="1"/>
  <c r="E738" i="17" s="1"/>
  <c r="D739" i="17"/>
  <c r="E739" i="17" s="1" a="1"/>
  <c r="E739" i="17" s="1"/>
  <c r="D740" i="17"/>
  <c r="E740" i="17" s="1" a="1"/>
  <c r="E740" i="17" s="1"/>
  <c r="D741" i="17"/>
  <c r="E741" i="17" s="1" a="1"/>
  <c r="E741" i="17" s="1"/>
  <c r="D742" i="17"/>
  <c r="E742" i="17" s="1" a="1"/>
  <c r="E742" i="17" s="1"/>
  <c r="D743" i="17"/>
  <c r="E743" i="17" s="1" a="1"/>
  <c r="E743" i="17" s="1"/>
  <c r="D744" i="17"/>
  <c r="E744" i="17" s="1" a="1"/>
  <c r="E744" i="17" s="1"/>
  <c r="D745" i="17"/>
  <c r="E745" i="17" s="1" a="1"/>
  <c r="E745" i="17" s="1"/>
  <c r="D746" i="17"/>
  <c r="E746" i="17" s="1" a="1"/>
  <c r="E746" i="17" s="1"/>
  <c r="D747" i="17"/>
  <c r="E747" i="17" s="1" a="1"/>
  <c r="E747" i="17" s="1"/>
  <c r="D748" i="17"/>
  <c r="E748" i="17" s="1" a="1"/>
  <c r="E748" i="17" s="1"/>
  <c r="D749" i="17"/>
  <c r="E749" i="17" s="1" a="1"/>
  <c r="E749" i="17" s="1"/>
  <c r="D750" i="17"/>
  <c r="E750" i="17" s="1" a="1"/>
  <c r="E750" i="17" s="1"/>
  <c r="D751" i="17"/>
  <c r="E751" i="17" s="1" a="1"/>
  <c r="E751" i="17" s="1"/>
  <c r="D752" i="17"/>
  <c r="E752" i="17" s="1" a="1"/>
  <c r="E752" i="17" s="1"/>
  <c r="D753" i="17"/>
  <c r="E753" i="17" s="1" a="1"/>
  <c r="E753" i="17" s="1"/>
  <c r="D754" i="17"/>
  <c r="E754" i="17" s="1" a="1"/>
  <c r="E754" i="17" s="1"/>
  <c r="D755" i="17"/>
  <c r="E755" i="17" s="1" a="1"/>
  <c r="E755" i="17" s="1"/>
  <c r="D756" i="17"/>
  <c r="E756" i="17" s="1" a="1"/>
  <c r="E756" i="17" s="1"/>
  <c r="D757" i="17"/>
  <c r="E757" i="17" s="1" a="1"/>
  <c r="E757" i="17" s="1"/>
  <c r="D758" i="17"/>
  <c r="E758" i="17" s="1" a="1"/>
  <c r="E758" i="17" s="1"/>
  <c r="D759" i="17"/>
  <c r="E759" i="17" s="1" a="1"/>
  <c r="E759" i="17" s="1"/>
  <c r="D760" i="17"/>
  <c r="E760" i="17" s="1" a="1"/>
  <c r="E760" i="17" s="1"/>
  <c r="D761" i="17"/>
  <c r="E761" i="17" s="1" a="1"/>
  <c r="E761" i="17" s="1"/>
  <c r="D762" i="17"/>
  <c r="E762" i="17" s="1" a="1"/>
  <c r="E762" i="17" s="1"/>
  <c r="D763" i="17"/>
  <c r="E763" i="17" s="1" a="1"/>
  <c r="E763" i="17" s="1"/>
  <c r="D764" i="17"/>
  <c r="E764" i="17" s="1" a="1"/>
  <c r="E764" i="17" s="1"/>
  <c r="D765" i="17"/>
  <c r="E765" i="17" s="1" a="1"/>
  <c r="E765" i="17" s="1"/>
  <c r="D766" i="17"/>
  <c r="E766" i="17" s="1" a="1"/>
  <c r="E766" i="17" s="1"/>
  <c r="D767" i="17"/>
  <c r="E767" i="17" s="1" a="1"/>
  <c r="E767" i="17" s="1"/>
  <c r="D768" i="17"/>
  <c r="E768" i="17" s="1" a="1"/>
  <c r="E768" i="17" s="1"/>
  <c r="D769" i="17"/>
  <c r="E769" i="17" s="1" a="1"/>
  <c r="E769" i="17" s="1"/>
  <c r="D770" i="17"/>
  <c r="E770" i="17" s="1" a="1"/>
  <c r="E770" i="17" s="1"/>
  <c r="D771" i="17"/>
  <c r="E771" i="17" s="1" a="1"/>
  <c r="E771" i="17" s="1"/>
  <c r="D772" i="17"/>
  <c r="E772" i="17" s="1" a="1"/>
  <c r="E772" i="17" s="1"/>
  <c r="D773" i="17"/>
  <c r="E773" i="17" s="1" a="1"/>
  <c r="E773" i="17" s="1"/>
  <c r="D774" i="17"/>
  <c r="E774" i="17" s="1" a="1"/>
  <c r="E774" i="17" s="1"/>
  <c r="D775" i="17"/>
  <c r="E775" i="17" s="1" a="1"/>
  <c r="E775" i="17" s="1"/>
  <c r="D776" i="17"/>
  <c r="E776" i="17" s="1" a="1"/>
  <c r="E776" i="17" s="1"/>
  <c r="D777" i="17"/>
  <c r="E777" i="17" s="1" a="1"/>
  <c r="E777" i="17" s="1"/>
  <c r="D778" i="17"/>
  <c r="E778" i="17" s="1" a="1"/>
  <c r="E778" i="17" s="1"/>
  <c r="D779" i="17"/>
  <c r="E779" i="17" s="1" a="1"/>
  <c r="E779" i="17" s="1"/>
  <c r="D780" i="17"/>
  <c r="E780" i="17" s="1" a="1"/>
  <c r="E780" i="17" s="1"/>
  <c r="D781" i="17"/>
  <c r="E781" i="17" s="1" a="1"/>
  <c r="E781" i="17" s="1"/>
  <c r="D782" i="17"/>
  <c r="E782" i="17" s="1" a="1"/>
  <c r="E782" i="17" s="1"/>
  <c r="D783" i="17"/>
  <c r="E783" i="17" s="1" a="1"/>
  <c r="E783" i="17" s="1"/>
  <c r="D784" i="17"/>
  <c r="E784" i="17" s="1" a="1"/>
  <c r="E784" i="17" s="1"/>
  <c r="D785" i="17"/>
  <c r="E785" i="17" s="1" a="1"/>
  <c r="E785" i="17" s="1"/>
  <c r="D786" i="17"/>
  <c r="E786" i="17" s="1" a="1"/>
  <c r="E786" i="17" s="1"/>
  <c r="D787" i="17"/>
  <c r="E787" i="17" s="1" a="1"/>
  <c r="E787" i="17" s="1"/>
  <c r="D788" i="17"/>
  <c r="E788" i="17" s="1" a="1"/>
  <c r="E788" i="17" s="1"/>
  <c r="D789" i="17"/>
  <c r="E789" i="17" s="1" a="1"/>
  <c r="E789" i="17" s="1"/>
  <c r="D790" i="17"/>
  <c r="E790" i="17" s="1" a="1"/>
  <c r="E790" i="17" s="1"/>
  <c r="D791" i="17"/>
  <c r="E791" i="17" s="1" a="1"/>
  <c r="E791" i="17" s="1"/>
  <c r="D792" i="17"/>
  <c r="E792" i="17" s="1" a="1"/>
  <c r="E792" i="17" s="1"/>
  <c r="D793" i="17"/>
  <c r="E793" i="17" s="1" a="1"/>
  <c r="E793" i="17" s="1"/>
  <c r="D794" i="17"/>
  <c r="E794" i="17" s="1" a="1"/>
  <c r="E794" i="17" s="1"/>
  <c r="D795" i="17"/>
  <c r="E795" i="17" s="1" a="1"/>
  <c r="E795" i="17" s="1"/>
  <c r="D796" i="17"/>
  <c r="E796" i="17" s="1" a="1"/>
  <c r="E796" i="17" s="1"/>
  <c r="D797" i="17"/>
  <c r="E797" i="17" s="1" a="1"/>
  <c r="E797" i="17" s="1"/>
  <c r="D798" i="17"/>
  <c r="E798" i="17" s="1" a="1"/>
  <c r="E798" i="17" s="1"/>
  <c r="D799" i="17"/>
  <c r="E799" i="17" s="1" a="1"/>
  <c r="E799" i="17" s="1"/>
  <c r="D800" i="17"/>
  <c r="E800" i="17" s="1" a="1"/>
  <c r="E800" i="17" s="1"/>
  <c r="D801" i="17"/>
  <c r="E801" i="17" s="1" a="1"/>
  <c r="E801" i="17" s="1"/>
  <c r="D802" i="17"/>
  <c r="E802" i="17" s="1" a="1"/>
  <c r="E802" i="17" s="1"/>
  <c r="D803" i="17"/>
  <c r="E803" i="17" s="1" a="1"/>
  <c r="E803" i="17" s="1"/>
  <c r="D804" i="17"/>
  <c r="E804" i="17" s="1" a="1"/>
  <c r="E804" i="17" s="1"/>
  <c r="D805" i="17"/>
  <c r="E805" i="17" s="1" a="1"/>
  <c r="E805" i="17" s="1"/>
  <c r="D806" i="17"/>
  <c r="E806" i="17" s="1" a="1"/>
  <c r="E806" i="17" s="1"/>
  <c r="D807" i="17"/>
  <c r="E807" i="17" s="1" a="1"/>
  <c r="E807" i="17" s="1"/>
  <c r="D808" i="17"/>
  <c r="E808" i="17" s="1" a="1"/>
  <c r="E808" i="17" s="1"/>
  <c r="D809" i="17"/>
  <c r="E809" i="17" s="1" a="1"/>
  <c r="E809" i="17" s="1"/>
  <c r="D810" i="17"/>
  <c r="E810" i="17" s="1" a="1"/>
  <c r="E810" i="17" s="1"/>
  <c r="D811" i="17"/>
  <c r="E811" i="17" s="1" a="1"/>
  <c r="E811" i="17" s="1"/>
  <c r="D812" i="17"/>
  <c r="E812" i="17" s="1" a="1"/>
  <c r="E812" i="17" s="1"/>
  <c r="D813" i="17"/>
  <c r="E813" i="17" s="1" a="1"/>
  <c r="E813" i="17" s="1"/>
  <c r="D814" i="17"/>
  <c r="E814" i="17" s="1" a="1"/>
  <c r="E814" i="17" s="1"/>
  <c r="D815" i="17"/>
  <c r="E815" i="17" s="1" a="1"/>
  <c r="E815" i="17" s="1"/>
  <c r="D816" i="17"/>
  <c r="E816" i="17" s="1" a="1"/>
  <c r="E816" i="17" s="1"/>
  <c r="D817" i="17"/>
  <c r="E817" i="17" s="1" a="1"/>
  <c r="E817" i="17" s="1"/>
  <c r="D818" i="17"/>
  <c r="E818" i="17" s="1" a="1"/>
  <c r="E818" i="17" s="1"/>
  <c r="D819" i="17"/>
  <c r="E819" i="17" s="1" a="1"/>
  <c r="E819" i="17" s="1"/>
  <c r="D820" i="17"/>
  <c r="E820" i="17" s="1" a="1"/>
  <c r="E820" i="17" s="1"/>
  <c r="D821" i="17"/>
  <c r="E821" i="17" s="1" a="1"/>
  <c r="E821" i="17" s="1"/>
  <c r="D822" i="17"/>
  <c r="E822" i="17" s="1" a="1"/>
  <c r="E822" i="17" s="1"/>
  <c r="D823" i="17"/>
  <c r="E823" i="17" s="1" a="1"/>
  <c r="E823" i="17" s="1"/>
  <c r="D824" i="17"/>
  <c r="E824" i="17" s="1" a="1"/>
  <c r="E824" i="17" s="1"/>
  <c r="D825" i="17"/>
  <c r="E825" i="17" s="1" a="1"/>
  <c r="E825" i="17" s="1"/>
  <c r="D826" i="17"/>
  <c r="E826" i="17" s="1" a="1"/>
  <c r="E826" i="17" s="1"/>
  <c r="D827" i="17"/>
  <c r="E827" i="17" s="1" a="1"/>
  <c r="E827" i="17" s="1"/>
  <c r="D828" i="17"/>
  <c r="E828" i="17" s="1" a="1"/>
  <c r="E828" i="17" s="1"/>
  <c r="D829" i="17"/>
  <c r="E829" i="17" s="1" a="1"/>
  <c r="E829" i="17" s="1"/>
  <c r="D830" i="17"/>
  <c r="E830" i="17" s="1" a="1"/>
  <c r="E830" i="17" s="1"/>
  <c r="D831" i="17"/>
  <c r="E831" i="17" s="1" a="1"/>
  <c r="E831" i="17" s="1"/>
  <c r="D832" i="17"/>
  <c r="E832" i="17" s="1" a="1"/>
  <c r="E832" i="17" s="1"/>
  <c r="D833" i="17"/>
  <c r="E833" i="17" s="1" a="1"/>
  <c r="E833" i="17" s="1"/>
  <c r="D834" i="17"/>
  <c r="E834" i="17" s="1" a="1"/>
  <c r="E834" i="17" s="1"/>
  <c r="D835" i="17"/>
  <c r="E835" i="17" s="1" a="1"/>
  <c r="E835" i="17" s="1"/>
  <c r="D836" i="17"/>
  <c r="E836" i="17" s="1" a="1"/>
  <c r="E836" i="17" s="1"/>
  <c r="D837" i="17"/>
  <c r="E837" i="17" s="1" a="1"/>
  <c r="E837" i="17" s="1"/>
  <c r="D838" i="17"/>
  <c r="E838" i="17" s="1" a="1"/>
  <c r="E838" i="17" s="1"/>
  <c r="D839" i="17"/>
  <c r="E839" i="17" s="1" a="1"/>
  <c r="E839" i="17" s="1"/>
  <c r="D840" i="17"/>
  <c r="E840" i="17" s="1" a="1"/>
  <c r="E840" i="17" s="1"/>
  <c r="D841" i="17"/>
  <c r="E841" i="17" s="1" a="1"/>
  <c r="E841" i="17" s="1"/>
  <c r="D842" i="17"/>
  <c r="E842" i="17" s="1" a="1"/>
  <c r="E842" i="17" s="1"/>
  <c r="D843" i="17"/>
  <c r="E843" i="17" s="1" a="1"/>
  <c r="E843" i="17" s="1"/>
  <c r="D844" i="17"/>
  <c r="E844" i="17" s="1" a="1"/>
  <c r="E844" i="17" s="1"/>
  <c r="D845" i="17"/>
  <c r="E845" i="17" s="1" a="1"/>
  <c r="E845" i="17" s="1"/>
  <c r="D846" i="17"/>
  <c r="E846" i="17" s="1" a="1"/>
  <c r="E846" i="17" s="1"/>
  <c r="D847" i="17"/>
  <c r="E847" i="17" s="1" a="1"/>
  <c r="E847" i="17" s="1"/>
  <c r="D848" i="17"/>
  <c r="E848" i="17" s="1" a="1"/>
  <c r="E848" i="17" s="1"/>
  <c r="D849" i="17"/>
  <c r="E849" i="17" s="1" a="1"/>
  <c r="E849" i="17" s="1"/>
  <c r="D850" i="17"/>
  <c r="E850" i="17" s="1" a="1"/>
  <c r="E850" i="17" s="1"/>
  <c r="D851" i="17"/>
  <c r="E851" i="17" s="1" a="1"/>
  <c r="E851" i="17" s="1"/>
  <c r="D852" i="17"/>
  <c r="E852" i="17" s="1" a="1"/>
  <c r="E852" i="17" s="1"/>
  <c r="D853" i="17"/>
  <c r="E853" i="17" s="1" a="1"/>
  <c r="E853" i="17" s="1"/>
  <c r="D854" i="17"/>
  <c r="E854" i="17" s="1" a="1"/>
  <c r="E854" i="17" s="1"/>
  <c r="D855" i="17"/>
  <c r="E855" i="17" s="1" a="1"/>
  <c r="E855" i="17" s="1"/>
  <c r="D856" i="17"/>
  <c r="E856" i="17" s="1" a="1"/>
  <c r="E856" i="17" s="1"/>
  <c r="D857" i="17"/>
  <c r="E857" i="17" s="1" a="1"/>
  <c r="E857" i="17" s="1"/>
  <c r="D858" i="17"/>
  <c r="E858" i="17" s="1" a="1"/>
  <c r="E858" i="17" s="1"/>
  <c r="D859" i="17"/>
  <c r="E859" i="17" s="1" a="1"/>
  <c r="E859" i="17" s="1"/>
  <c r="D860" i="17"/>
  <c r="E860" i="17" s="1" a="1"/>
  <c r="E860" i="17" s="1"/>
  <c r="D861" i="17"/>
  <c r="E861" i="17" s="1" a="1"/>
  <c r="E861" i="17" s="1"/>
  <c r="D862" i="17"/>
  <c r="E862" i="17" s="1" a="1"/>
  <c r="E862" i="17" s="1"/>
  <c r="D863" i="17"/>
  <c r="E863" i="17" s="1" a="1"/>
  <c r="E863" i="17" s="1"/>
  <c r="D864" i="17"/>
  <c r="E864" i="17" s="1" a="1"/>
  <c r="E864" i="17" s="1"/>
  <c r="D865" i="17"/>
  <c r="E865" i="17" s="1" a="1"/>
  <c r="E865" i="17" s="1"/>
  <c r="D866" i="17"/>
  <c r="E866" i="17" s="1" a="1"/>
  <c r="E866" i="17" s="1"/>
  <c r="D867" i="17"/>
  <c r="E867" i="17" s="1" a="1"/>
  <c r="E867" i="17" s="1"/>
  <c r="D868" i="17"/>
  <c r="E868" i="17" s="1" a="1"/>
  <c r="E868" i="17" s="1"/>
  <c r="D869" i="17"/>
  <c r="E869" i="17" s="1" a="1"/>
  <c r="E869" i="17" s="1"/>
  <c r="D870" i="17"/>
  <c r="E870" i="17" s="1" a="1"/>
  <c r="E870" i="17" s="1"/>
  <c r="D871" i="17"/>
  <c r="E871" i="17" s="1" a="1"/>
  <c r="E871" i="17" s="1"/>
  <c r="D872" i="17"/>
  <c r="E872" i="17" s="1" a="1"/>
  <c r="E872" i="17" s="1"/>
  <c r="D873" i="17"/>
  <c r="E873" i="17" s="1" a="1"/>
  <c r="E873" i="17" s="1"/>
  <c r="D874" i="17"/>
  <c r="E874" i="17" s="1" a="1"/>
  <c r="E874" i="17" s="1"/>
  <c r="D875" i="17"/>
  <c r="E875" i="17" s="1" a="1"/>
  <c r="E875" i="17" s="1"/>
  <c r="D876" i="17"/>
  <c r="E876" i="17" s="1" a="1"/>
  <c r="E876" i="17" s="1"/>
  <c r="D877" i="17"/>
  <c r="E877" i="17" s="1" a="1"/>
  <c r="E877" i="17" s="1"/>
  <c r="D878" i="17"/>
  <c r="E878" i="17" s="1" a="1"/>
  <c r="E878" i="17" s="1"/>
  <c r="D879" i="17"/>
  <c r="E879" i="17" s="1" a="1"/>
  <c r="E879" i="17" s="1"/>
  <c r="D880" i="17"/>
  <c r="E880" i="17" s="1" a="1"/>
  <c r="E880" i="17" s="1"/>
  <c r="D881" i="17"/>
  <c r="E881" i="17" s="1" a="1"/>
  <c r="E881" i="17" s="1"/>
  <c r="D882" i="17"/>
  <c r="E882" i="17" s="1" a="1"/>
  <c r="E882" i="17" s="1"/>
  <c r="D883" i="17"/>
  <c r="E883" i="17" s="1" a="1"/>
  <c r="E883" i="17" s="1"/>
  <c r="D884" i="17"/>
  <c r="E884" i="17" s="1" a="1"/>
  <c r="E884" i="17" s="1"/>
  <c r="D885" i="17"/>
  <c r="E885" i="17" s="1" a="1"/>
  <c r="E885" i="17" s="1"/>
  <c r="D886" i="17"/>
  <c r="E886" i="17" s="1" a="1"/>
  <c r="E886" i="17" s="1"/>
  <c r="D887" i="17"/>
  <c r="E887" i="17" s="1" a="1"/>
  <c r="E887" i="17" s="1"/>
  <c r="D888" i="17"/>
  <c r="E888" i="17" s="1" a="1"/>
  <c r="E888" i="17" s="1"/>
  <c r="D889" i="17"/>
  <c r="E889" i="17" s="1" a="1"/>
  <c r="E889" i="17" s="1"/>
  <c r="D890" i="17"/>
  <c r="E890" i="17" s="1" a="1"/>
  <c r="E890" i="17" s="1"/>
  <c r="D891" i="17"/>
  <c r="E891" i="17" s="1" a="1"/>
  <c r="E891" i="17" s="1"/>
  <c r="D892" i="17"/>
  <c r="E892" i="17" s="1" a="1"/>
  <c r="E892" i="17" s="1"/>
  <c r="D893" i="17"/>
  <c r="E893" i="17" s="1" a="1"/>
  <c r="E893" i="17" s="1"/>
  <c r="D894" i="17"/>
  <c r="E894" i="17" s="1" a="1"/>
  <c r="E894" i="17" s="1"/>
  <c r="D895" i="17"/>
  <c r="E895" i="17" s="1" a="1"/>
  <c r="E895" i="17" s="1"/>
  <c r="D896" i="17"/>
  <c r="E896" i="17" s="1" a="1"/>
  <c r="E896" i="17" s="1"/>
  <c r="D897" i="17"/>
  <c r="E897" i="17" s="1" a="1"/>
  <c r="E897" i="17" s="1"/>
  <c r="D898" i="17"/>
  <c r="E898" i="17" s="1" a="1"/>
  <c r="E898" i="17" s="1"/>
  <c r="D899" i="17"/>
  <c r="E899" i="17" s="1" a="1"/>
  <c r="E899" i="17" s="1"/>
  <c r="D900" i="17"/>
  <c r="E900" i="17" s="1" a="1"/>
  <c r="E900" i="17" s="1"/>
  <c r="D901" i="17"/>
  <c r="E901" i="17" s="1" a="1"/>
  <c r="E901" i="17" s="1"/>
  <c r="D902" i="17"/>
  <c r="E902" i="17" s="1" a="1"/>
  <c r="E902" i="17" s="1"/>
  <c r="D903" i="17"/>
  <c r="E903" i="17" s="1" a="1"/>
  <c r="E903" i="17" s="1"/>
  <c r="D904" i="17"/>
  <c r="E904" i="17" s="1" a="1"/>
  <c r="E904" i="17" s="1"/>
  <c r="D905" i="17"/>
  <c r="E905" i="17" s="1" a="1"/>
  <c r="E905" i="17" s="1"/>
  <c r="D906" i="17"/>
  <c r="E906" i="17" s="1" a="1"/>
  <c r="E906" i="17" s="1"/>
  <c r="D907" i="17"/>
  <c r="E907" i="17" s="1" a="1"/>
  <c r="E907" i="17" s="1"/>
  <c r="D908" i="17"/>
  <c r="E908" i="17" s="1" a="1"/>
  <c r="E908" i="17" s="1"/>
  <c r="D909" i="17"/>
  <c r="E909" i="17" s="1" a="1"/>
  <c r="E909" i="17" s="1"/>
  <c r="D910" i="17"/>
  <c r="E910" i="17" s="1" a="1"/>
  <c r="E910" i="17" s="1"/>
  <c r="D911" i="17"/>
  <c r="E911" i="17" s="1" a="1"/>
  <c r="E911" i="17" s="1"/>
  <c r="D912" i="17"/>
  <c r="E912" i="17" s="1" a="1"/>
  <c r="E912" i="17" s="1"/>
  <c r="D913" i="17"/>
  <c r="E913" i="17" s="1" a="1"/>
  <c r="E913" i="17" s="1"/>
  <c r="D914" i="17"/>
  <c r="E914" i="17" s="1" a="1"/>
  <c r="E914" i="17" s="1"/>
  <c r="D915" i="17"/>
  <c r="E915" i="17" s="1" a="1"/>
  <c r="E915" i="17" s="1"/>
  <c r="D916" i="17"/>
  <c r="E916" i="17" s="1" a="1"/>
  <c r="E916" i="17" s="1"/>
  <c r="D917" i="17"/>
  <c r="E917" i="17" s="1" a="1"/>
  <c r="E917" i="17" s="1"/>
  <c r="D918" i="17"/>
  <c r="E918" i="17" s="1" a="1"/>
  <c r="E918" i="17" s="1"/>
  <c r="D919" i="17"/>
  <c r="E919" i="17" s="1" a="1"/>
  <c r="E919" i="17" s="1"/>
  <c r="D920" i="17"/>
  <c r="E920" i="17" s="1" a="1"/>
  <c r="E920" i="17" s="1"/>
  <c r="D921" i="17"/>
  <c r="E921" i="17" s="1" a="1"/>
  <c r="E921" i="17" s="1"/>
  <c r="D922" i="17"/>
  <c r="E922" i="17" s="1" a="1"/>
  <c r="E922" i="17" s="1"/>
  <c r="D923" i="17"/>
  <c r="E923" i="17" s="1" a="1"/>
  <c r="E923" i="17" s="1"/>
  <c r="D924" i="17"/>
  <c r="E924" i="17" s="1" a="1"/>
  <c r="E924" i="17" s="1"/>
  <c r="D925" i="17"/>
  <c r="E925" i="17" s="1" a="1"/>
  <c r="E925" i="17" s="1"/>
  <c r="D926" i="17"/>
  <c r="E926" i="17" s="1" a="1"/>
  <c r="E926" i="17" s="1"/>
  <c r="D927" i="17"/>
  <c r="E927" i="17" s="1" a="1"/>
  <c r="E927" i="17" s="1"/>
  <c r="D928" i="17"/>
  <c r="E928" i="17" s="1" a="1"/>
  <c r="E928" i="17" s="1"/>
  <c r="D929" i="17"/>
  <c r="E929" i="17" s="1" a="1"/>
  <c r="E929" i="17" s="1"/>
  <c r="D930" i="17"/>
  <c r="E930" i="17" s="1" a="1"/>
  <c r="E930" i="17" s="1"/>
  <c r="D931" i="17"/>
  <c r="E931" i="17" s="1" a="1"/>
  <c r="E931" i="17" s="1"/>
  <c r="D932" i="17"/>
  <c r="E932" i="17" s="1" a="1"/>
  <c r="E932" i="17" s="1"/>
  <c r="D933" i="17"/>
  <c r="E933" i="17" s="1" a="1"/>
  <c r="E933" i="17" s="1"/>
  <c r="D934" i="17"/>
  <c r="E934" i="17" s="1" a="1"/>
  <c r="E934" i="17" s="1"/>
  <c r="D935" i="17"/>
  <c r="E935" i="17" s="1" a="1"/>
  <c r="E935" i="17" s="1"/>
  <c r="D936" i="17"/>
  <c r="E936" i="17" s="1" a="1"/>
  <c r="E936" i="17" s="1"/>
  <c r="D937" i="17"/>
  <c r="E937" i="17" s="1" a="1"/>
  <c r="E937" i="17" s="1"/>
  <c r="D938" i="17"/>
  <c r="E938" i="17" s="1" a="1"/>
  <c r="E938" i="17" s="1"/>
  <c r="D939" i="17"/>
  <c r="E939" i="17" s="1" a="1"/>
  <c r="E939" i="17" s="1"/>
  <c r="D940" i="17"/>
  <c r="E940" i="17" s="1" a="1"/>
  <c r="E940" i="17" s="1"/>
  <c r="D941" i="17"/>
  <c r="E941" i="17" s="1" a="1"/>
  <c r="E941" i="17" s="1"/>
  <c r="D942" i="17"/>
  <c r="E942" i="17" s="1" a="1"/>
  <c r="E942" i="17" s="1"/>
  <c r="D943" i="17"/>
  <c r="E943" i="17" s="1" a="1"/>
  <c r="E943" i="17" s="1"/>
  <c r="D944" i="17"/>
  <c r="E944" i="17" s="1" a="1"/>
  <c r="E944" i="17" s="1"/>
  <c r="D945" i="17"/>
  <c r="E945" i="17" s="1" a="1"/>
  <c r="E945" i="17" s="1"/>
  <c r="D946" i="17"/>
  <c r="E946" i="17" s="1" a="1"/>
  <c r="E946" i="17" s="1"/>
  <c r="D947" i="17"/>
  <c r="E947" i="17" s="1" a="1"/>
  <c r="E947" i="17" s="1"/>
  <c r="D948" i="17"/>
  <c r="E948" i="17" s="1" a="1"/>
  <c r="E948" i="17" s="1"/>
  <c r="D949" i="17"/>
  <c r="E949" i="17" s="1" a="1"/>
  <c r="E949" i="17" s="1"/>
  <c r="D950" i="17"/>
  <c r="E950" i="17" s="1" a="1"/>
  <c r="E950" i="17" s="1"/>
  <c r="D951" i="17"/>
  <c r="E951" i="17" s="1" a="1"/>
  <c r="E951" i="17" s="1"/>
  <c r="D952" i="17"/>
  <c r="E952" i="17" s="1" a="1"/>
  <c r="E952" i="17" s="1"/>
  <c r="D953" i="17"/>
  <c r="E953" i="17" s="1" a="1"/>
  <c r="E953" i="17" s="1"/>
  <c r="D954" i="17"/>
  <c r="E954" i="17" s="1" a="1"/>
  <c r="E954" i="17" s="1"/>
  <c r="D955" i="17"/>
  <c r="E955" i="17" s="1" a="1"/>
  <c r="E955" i="17" s="1"/>
  <c r="D956" i="17"/>
  <c r="E956" i="17" s="1" a="1"/>
  <c r="E956" i="17" s="1"/>
  <c r="D957" i="17"/>
  <c r="E957" i="17" s="1" a="1"/>
  <c r="E957" i="17" s="1"/>
  <c r="D958" i="17"/>
  <c r="E958" i="17" s="1" a="1"/>
  <c r="E958" i="17" s="1"/>
  <c r="D959" i="17"/>
  <c r="E959" i="17" s="1" a="1"/>
  <c r="E959" i="17" s="1"/>
  <c r="D960" i="17"/>
  <c r="E960" i="17" s="1" a="1"/>
  <c r="E960" i="17" s="1"/>
  <c r="D961" i="17"/>
  <c r="E961" i="17" s="1" a="1"/>
  <c r="E961" i="17" s="1"/>
  <c r="D962" i="17"/>
  <c r="E962" i="17" s="1" a="1"/>
  <c r="E962" i="17" s="1"/>
  <c r="D963" i="17"/>
  <c r="E963" i="17" s="1" a="1"/>
  <c r="E963" i="17" s="1"/>
  <c r="D964" i="17"/>
  <c r="E964" i="17" s="1" a="1"/>
  <c r="E964" i="17" s="1"/>
  <c r="D965" i="17"/>
  <c r="E965" i="17" s="1" a="1"/>
  <c r="E965" i="17" s="1"/>
  <c r="D966" i="17"/>
  <c r="E966" i="17" s="1" a="1"/>
  <c r="E966" i="17" s="1"/>
  <c r="D967" i="17"/>
  <c r="E967" i="17" s="1" a="1"/>
  <c r="E967" i="17" s="1"/>
  <c r="D968" i="17"/>
  <c r="E968" i="17" s="1" a="1"/>
  <c r="E968" i="17" s="1"/>
  <c r="D969" i="17"/>
  <c r="E969" i="17" s="1" a="1"/>
  <c r="E969" i="17" s="1"/>
  <c r="D970" i="17"/>
  <c r="E970" i="17" s="1" a="1"/>
  <c r="E970" i="17" s="1"/>
  <c r="D971" i="17"/>
  <c r="E971" i="17" s="1" a="1"/>
  <c r="E971" i="17" s="1"/>
  <c r="D972" i="17"/>
  <c r="E972" i="17" s="1" a="1"/>
  <c r="E972" i="17" s="1"/>
  <c r="D973" i="17"/>
  <c r="E973" i="17" s="1" a="1"/>
  <c r="E973" i="17" s="1"/>
  <c r="D974" i="17"/>
  <c r="E974" i="17" s="1" a="1"/>
  <c r="E974" i="17" s="1"/>
  <c r="D975" i="17"/>
  <c r="E975" i="17" s="1" a="1"/>
  <c r="E975" i="17" s="1"/>
  <c r="D976" i="17"/>
  <c r="E976" i="17" s="1" a="1"/>
  <c r="E976" i="17" s="1"/>
  <c r="D977" i="17"/>
  <c r="E977" i="17" s="1" a="1"/>
  <c r="E977" i="17" s="1"/>
  <c r="D978" i="17"/>
  <c r="E978" i="17" s="1" a="1"/>
  <c r="E978" i="17" s="1"/>
  <c r="D979" i="17"/>
  <c r="E979" i="17" s="1" a="1"/>
  <c r="E979" i="17" s="1"/>
  <c r="D980" i="17"/>
  <c r="E980" i="17" s="1" a="1"/>
  <c r="E980" i="17" s="1"/>
  <c r="D981" i="17"/>
  <c r="E981" i="17" s="1" a="1"/>
  <c r="E981" i="17" s="1"/>
  <c r="D982" i="17"/>
  <c r="E982" i="17" s="1" a="1"/>
  <c r="E982" i="17" s="1"/>
  <c r="D983" i="17"/>
  <c r="E983" i="17" s="1" a="1"/>
  <c r="E983" i="17" s="1"/>
  <c r="D984" i="17"/>
  <c r="E984" i="17" s="1" a="1"/>
  <c r="E984" i="17" s="1"/>
  <c r="D985" i="17"/>
  <c r="E985" i="17" s="1" a="1"/>
  <c r="E985" i="17" s="1"/>
  <c r="D986" i="17"/>
  <c r="E986" i="17" s="1" a="1"/>
  <c r="E986" i="17" s="1"/>
  <c r="D987" i="17"/>
  <c r="E987" i="17" s="1" a="1"/>
  <c r="E987" i="17" s="1"/>
  <c r="D988" i="17"/>
  <c r="E988" i="17" s="1" a="1"/>
  <c r="E988" i="17" s="1"/>
  <c r="D989" i="17"/>
  <c r="E989" i="17" s="1" a="1"/>
  <c r="E989" i="17" s="1"/>
  <c r="D990" i="17"/>
  <c r="E990" i="17" s="1" a="1"/>
  <c r="E990" i="17" s="1"/>
  <c r="D991" i="17"/>
  <c r="E991" i="17" s="1" a="1"/>
  <c r="E991" i="17" s="1"/>
  <c r="D992" i="17"/>
  <c r="E992" i="17" s="1" a="1"/>
  <c r="E992" i="17" s="1"/>
  <c r="D993" i="17"/>
  <c r="E993" i="17" s="1" a="1"/>
  <c r="E993" i="17" s="1"/>
  <c r="D994" i="17"/>
  <c r="E994" i="17" s="1" a="1"/>
  <c r="E994" i="17" s="1"/>
  <c r="D995" i="17"/>
  <c r="E995" i="17" s="1" a="1"/>
  <c r="E995" i="17" s="1"/>
  <c r="D996" i="17"/>
  <c r="E996" i="17" s="1" a="1"/>
  <c r="E996" i="17" s="1"/>
  <c r="D997" i="17"/>
  <c r="E997" i="17" s="1" a="1"/>
  <c r="E997" i="17" s="1"/>
  <c r="D998" i="17"/>
  <c r="E998" i="17" s="1" a="1"/>
  <c r="E998" i="17" s="1"/>
  <c r="D999" i="17"/>
  <c r="E999" i="17" s="1" a="1"/>
  <c r="E999" i="17" s="1"/>
  <c r="D1000" i="17"/>
  <c r="E1000" i="17" s="1" a="1"/>
  <c r="E1000" i="17" s="1"/>
  <c r="D1001" i="17"/>
  <c r="E1001" i="17" s="1" a="1"/>
  <c r="E1001" i="17" s="1"/>
  <c r="C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J33" i="17" a="1"/>
  <c r="J33" i="17"/>
  <c r="L3" i="17"/>
  <c r="Q3" i="17" s="1" a="1"/>
  <c r="Q3" i="17" s="1"/>
  <c r="L4" i="17"/>
  <c r="Q4" i="17" s="1" a="1"/>
  <c r="Q4" i="17" s="1"/>
  <c r="L5" i="17"/>
  <c r="Q5" i="17" s="1" a="1"/>
  <c r="Q5" i="17" s="1"/>
  <c r="L6" i="17"/>
  <c r="Q6" i="17" s="1" a="1"/>
  <c r="Q6" i="17" s="1"/>
  <c r="L7" i="17"/>
  <c r="Q7" i="17" s="1" a="1"/>
  <c r="Q7" i="17" s="1"/>
  <c r="L8" i="17"/>
  <c r="Q8" i="17" s="1" a="1"/>
  <c r="Q8" i="17" s="1"/>
  <c r="L9" i="17"/>
  <c r="Q9" i="17" s="1" a="1"/>
  <c r="Q9" i="17" s="1"/>
  <c r="L10" i="17"/>
  <c r="Q10" i="17" s="1" a="1"/>
  <c r="Q10" i="17" s="1"/>
  <c r="L11" i="17"/>
  <c r="Q11" i="17" s="1" a="1"/>
  <c r="Q11" i="17" s="1"/>
  <c r="L12" i="17"/>
  <c r="Q12" i="17" s="1" a="1"/>
  <c r="Q12" i="17" s="1"/>
  <c r="L13" i="17"/>
  <c r="Q13" i="17" s="1" a="1"/>
  <c r="Q13" i="17" s="1"/>
  <c r="L14" i="17"/>
  <c r="Q14" i="17" s="1" a="1"/>
  <c r="Q14" i="17" s="1"/>
  <c r="L15" i="17"/>
  <c r="Q15" i="17" s="1" a="1"/>
  <c r="Q15" i="17" s="1"/>
  <c r="L16" i="17"/>
  <c r="Q16" i="17" s="1" a="1"/>
  <c r="Q16" i="17" s="1"/>
  <c r="L17" i="17"/>
  <c r="Q17" i="17" s="1" a="1"/>
  <c r="Q17" i="17" s="1"/>
  <c r="L18" i="17"/>
  <c r="Q18" i="17" s="1" a="1"/>
  <c r="Q18" i="17" s="1"/>
  <c r="L19" i="17"/>
  <c r="Q19" i="17" s="1" a="1"/>
  <c r="Q19" i="17" s="1"/>
  <c r="L20" i="17"/>
  <c r="Q20" i="17" s="1" a="1"/>
  <c r="Q20" i="17" s="1"/>
  <c r="L21" i="17"/>
  <c r="Q21" i="17" s="1" a="1"/>
  <c r="Q21" i="17" s="1"/>
  <c r="L22" i="17"/>
  <c r="Q22" i="17" s="1" a="1"/>
  <c r="Q22" i="17" s="1"/>
  <c r="L23" i="17"/>
  <c r="Q23" i="17" s="1" a="1"/>
  <c r="Q23" i="17" s="1"/>
  <c r="L24" i="17"/>
  <c r="Q24" i="17" s="1" a="1"/>
  <c r="Q24" i="17" s="1"/>
  <c r="L25" i="17"/>
  <c r="Q25" i="17" s="1" a="1"/>
  <c r="Q25" i="17" s="1"/>
  <c r="L26" i="17"/>
  <c r="Q26" i="17" s="1" a="1"/>
  <c r="Q26" i="17" s="1"/>
  <c r="L27" i="17"/>
  <c r="Q27" i="17" s="1" a="1"/>
  <c r="Q27" i="17" s="1"/>
  <c r="L28" i="17"/>
  <c r="Q28" i="17" s="1" a="1"/>
  <c r="Q28" i="17" s="1"/>
  <c r="L29" i="17"/>
  <c r="Q29" i="17" s="1" a="1"/>
  <c r="Q29" i="17" s="1"/>
  <c r="L30" i="17"/>
  <c r="Q30" i="17" s="1" a="1"/>
  <c r="Q30" i="17" s="1"/>
  <c r="L31" i="17"/>
  <c r="Q31" i="17" s="1" a="1"/>
  <c r="Q31" i="17" s="1"/>
  <c r="L32" i="17"/>
  <c r="Q32" i="17" s="1" a="1"/>
  <c r="Q32" i="17" s="1"/>
  <c r="L33" i="17"/>
  <c r="Q33" i="17" s="1" a="1"/>
  <c r="Q33" i="17" s="1"/>
  <c r="L34" i="17"/>
  <c r="Q34" i="17" s="1" a="1"/>
  <c r="Q34" i="17" s="1"/>
  <c r="L35" i="17"/>
  <c r="Q35" i="17" s="1" a="1"/>
  <c r="Q35" i="17" s="1"/>
  <c r="L36" i="17"/>
  <c r="Q36" i="17" s="1" a="1"/>
  <c r="Q36" i="17" s="1"/>
  <c r="L37" i="17"/>
  <c r="Q37" i="17" s="1" a="1"/>
  <c r="Q37" i="17" s="1"/>
  <c r="L38" i="17"/>
  <c r="Q38" i="17" s="1" a="1"/>
  <c r="Q38" i="17" s="1"/>
  <c r="L39" i="17"/>
  <c r="Q39" i="17" s="1" a="1"/>
  <c r="Q39" i="17" s="1"/>
  <c r="L40" i="17"/>
  <c r="Q40" i="17" s="1" a="1"/>
  <c r="Q40" i="17" s="1"/>
  <c r="L41" i="17"/>
  <c r="Q41" i="17" s="1" a="1"/>
  <c r="Q41" i="17" s="1"/>
  <c r="L42" i="17"/>
  <c r="Q42" i="17" s="1" a="1"/>
  <c r="Q42" i="17" s="1"/>
  <c r="L43" i="17"/>
  <c r="Q43" i="17" s="1" a="1"/>
  <c r="Q43" i="17" s="1"/>
  <c r="L44" i="17"/>
  <c r="Q44" i="17" s="1" a="1"/>
  <c r="Q44" i="17" s="1"/>
  <c r="L45" i="17"/>
  <c r="Q45" i="17" s="1" a="1"/>
  <c r="Q45" i="17" s="1"/>
  <c r="L46" i="17"/>
  <c r="Q46" i="17" s="1" a="1"/>
  <c r="Q46" i="17" s="1"/>
  <c r="L47" i="17"/>
  <c r="Q47" i="17" s="1" a="1"/>
  <c r="Q47" i="17" s="1"/>
  <c r="L48" i="17"/>
  <c r="Q48" i="17" s="1" a="1"/>
  <c r="Q48" i="17" s="1"/>
  <c r="L49" i="17"/>
  <c r="Q49" i="17" s="1" a="1"/>
  <c r="Q49" i="17" s="1"/>
  <c r="L50" i="17"/>
  <c r="Q50" i="17" s="1" a="1"/>
  <c r="Q50" i="17" s="1"/>
  <c r="L51" i="17"/>
  <c r="Q51" i="17" s="1" a="1"/>
  <c r="Q51" i="17" s="1"/>
  <c r="L52" i="17"/>
  <c r="Q52" i="17" s="1" a="1"/>
  <c r="Q52" i="17" s="1"/>
  <c r="L53" i="17"/>
  <c r="Q53" i="17" s="1" a="1"/>
  <c r="Q53" i="17" s="1"/>
  <c r="L54" i="17"/>
  <c r="Q54" i="17" s="1" a="1"/>
  <c r="Q54" i="17" s="1"/>
  <c r="L55" i="17"/>
  <c r="Q55" i="17" s="1" a="1"/>
  <c r="Q55" i="17" s="1"/>
  <c r="L56" i="17"/>
  <c r="Q56" i="17" s="1" a="1"/>
  <c r="Q56" i="17" s="1"/>
  <c r="L57" i="17"/>
  <c r="Q57" i="17" s="1" a="1"/>
  <c r="Q57" i="17" s="1"/>
  <c r="L58" i="17"/>
  <c r="Q58" i="17" s="1" a="1"/>
  <c r="Q58" i="17" s="1"/>
  <c r="L59" i="17"/>
  <c r="Q59" i="17" s="1" a="1"/>
  <c r="Q59" i="17" s="1"/>
  <c r="L60" i="17"/>
  <c r="Q60" i="17" s="1" a="1"/>
  <c r="Q60" i="17" s="1"/>
  <c r="L61" i="17"/>
  <c r="Q61" i="17" s="1" a="1"/>
  <c r="Q61" i="17" s="1"/>
  <c r="L62" i="17"/>
  <c r="Q62" i="17" s="1" a="1"/>
  <c r="Q62" i="17" s="1"/>
  <c r="L63" i="17"/>
  <c r="Q63" i="17" s="1" a="1"/>
  <c r="Q63" i="17" s="1"/>
  <c r="L64" i="17"/>
  <c r="Q64" i="17" s="1" a="1"/>
  <c r="Q64" i="17" s="1"/>
  <c r="L65" i="17"/>
  <c r="Q65" i="17" s="1" a="1"/>
  <c r="Q65" i="17" s="1"/>
  <c r="L66" i="17"/>
  <c r="Q66" i="17" s="1" a="1"/>
  <c r="Q66" i="17" s="1"/>
  <c r="L67" i="17"/>
  <c r="Q67" i="17" s="1" a="1"/>
  <c r="Q67" i="17" s="1"/>
  <c r="L68" i="17"/>
  <c r="Q68" i="17" s="1" a="1"/>
  <c r="Q68" i="17" s="1"/>
  <c r="L69" i="17"/>
  <c r="Q69" i="17" s="1" a="1"/>
  <c r="Q69" i="17" s="1"/>
  <c r="L70" i="17"/>
  <c r="Q70" i="17" s="1" a="1"/>
  <c r="Q70" i="17" s="1"/>
  <c r="L71" i="17"/>
  <c r="Q71" i="17" s="1" a="1"/>
  <c r="Q71" i="17" s="1"/>
  <c r="L72" i="17"/>
  <c r="Q72" i="17" s="1" a="1"/>
  <c r="Q72" i="17" s="1"/>
  <c r="L73" i="17"/>
  <c r="Q73" i="17" s="1" a="1"/>
  <c r="Q73" i="17" s="1"/>
  <c r="L74" i="17"/>
  <c r="Q74" i="17" s="1" a="1"/>
  <c r="Q74" i="17" s="1"/>
  <c r="L75" i="17"/>
  <c r="Q75" i="17" s="1" a="1"/>
  <c r="Q75" i="17" s="1"/>
  <c r="L76" i="17"/>
  <c r="Q76" i="17" s="1" a="1"/>
  <c r="Q76" i="17" s="1"/>
  <c r="L77" i="17"/>
  <c r="Q77" i="17" s="1" a="1"/>
  <c r="Q77" i="17" s="1"/>
  <c r="L78" i="17"/>
  <c r="Q78" i="17" s="1" a="1"/>
  <c r="Q78" i="17" s="1"/>
  <c r="L79" i="17"/>
  <c r="Q79" i="17" s="1" a="1"/>
  <c r="Q79" i="17" s="1"/>
  <c r="L80" i="17"/>
  <c r="Q80" i="17" s="1" a="1"/>
  <c r="Q80" i="17" s="1"/>
  <c r="L81" i="17"/>
  <c r="Q81" i="17" s="1" a="1"/>
  <c r="Q81" i="17" s="1"/>
  <c r="L82" i="17"/>
  <c r="Q82" i="17" s="1" a="1"/>
  <c r="Q82" i="17" s="1"/>
  <c r="L83" i="17"/>
  <c r="Q83" i="17" s="1" a="1"/>
  <c r="Q83" i="17" s="1"/>
  <c r="L84" i="17"/>
  <c r="Q84" i="17" s="1" a="1"/>
  <c r="Q84" i="17" s="1"/>
  <c r="L85" i="17"/>
  <c r="Q85" i="17" s="1" a="1"/>
  <c r="Q85" i="17" s="1"/>
  <c r="L86" i="17"/>
  <c r="Q86" i="17" s="1" a="1"/>
  <c r="Q86" i="17" s="1"/>
  <c r="L87" i="17"/>
  <c r="Q87" i="17" s="1" a="1"/>
  <c r="Q87" i="17" s="1"/>
  <c r="L88" i="17"/>
  <c r="Q88" i="17" s="1" a="1"/>
  <c r="Q88" i="17" s="1"/>
  <c r="L89" i="17"/>
  <c r="Q89" i="17" s="1" a="1"/>
  <c r="Q89" i="17" s="1"/>
  <c r="L90" i="17"/>
  <c r="Q90" i="17" s="1" a="1"/>
  <c r="Q90" i="17" s="1"/>
  <c r="L91" i="17"/>
  <c r="Q91" i="17" s="1" a="1"/>
  <c r="Q91" i="17" s="1"/>
  <c r="L92" i="17"/>
  <c r="Q92" i="17" s="1" a="1"/>
  <c r="Q92" i="17" s="1"/>
  <c r="L93" i="17"/>
  <c r="Q93" i="17" s="1" a="1"/>
  <c r="Q93" i="17" s="1"/>
  <c r="L94" i="17"/>
  <c r="Q94" i="17" s="1" a="1"/>
  <c r="Q94" i="17" s="1"/>
  <c r="L95" i="17"/>
  <c r="Q95" i="17" s="1" a="1"/>
  <c r="Q95" i="17" s="1"/>
  <c r="L96" i="17"/>
  <c r="Q96" i="17" s="1" a="1"/>
  <c r="Q96" i="17" s="1"/>
  <c r="L97" i="17"/>
  <c r="Q97" i="17" s="1" a="1"/>
  <c r="Q97" i="17" s="1"/>
  <c r="L98" i="17"/>
  <c r="Q98" i="17" s="1" a="1"/>
  <c r="Q98" i="17" s="1"/>
  <c r="L99" i="17"/>
  <c r="Q99" i="17" s="1" a="1"/>
  <c r="Q99" i="17" s="1"/>
  <c r="L100" i="17"/>
  <c r="Q100" i="17" s="1" a="1"/>
  <c r="Q100" i="17" s="1"/>
  <c r="L101" i="17"/>
  <c r="Q101" i="17" s="1" a="1"/>
  <c r="Q101" i="17" s="1"/>
  <c r="L102" i="17"/>
  <c r="Q102" i="17" s="1" a="1"/>
  <c r="Q102" i="17" s="1"/>
  <c r="L103" i="17"/>
  <c r="Q103" i="17" s="1" a="1"/>
  <c r="Q103" i="17" s="1"/>
  <c r="L104" i="17"/>
  <c r="Q104" i="17" s="1" a="1"/>
  <c r="Q104" i="17" s="1"/>
  <c r="L105" i="17"/>
  <c r="Q105" i="17" s="1" a="1"/>
  <c r="Q105" i="17" s="1"/>
  <c r="L106" i="17"/>
  <c r="Q106" i="17" s="1" a="1"/>
  <c r="Q106" i="17" s="1"/>
  <c r="L107" i="17"/>
  <c r="Q107" i="17" s="1" a="1"/>
  <c r="Q107" i="17" s="1"/>
  <c r="L108" i="17"/>
  <c r="Q108" i="17" s="1" a="1"/>
  <c r="Q108" i="17" s="1"/>
  <c r="L109" i="17"/>
  <c r="Q109" i="17" s="1" a="1"/>
  <c r="Q109" i="17" s="1"/>
  <c r="L110" i="17"/>
  <c r="Q110" i="17" s="1" a="1"/>
  <c r="Q110" i="17" s="1"/>
  <c r="L111" i="17"/>
  <c r="Q111" i="17" s="1" a="1"/>
  <c r="Q111" i="17" s="1"/>
  <c r="L112" i="17"/>
  <c r="Q112" i="17" s="1" a="1"/>
  <c r="Q112" i="17" s="1"/>
  <c r="L113" i="17"/>
  <c r="Q113" i="17" s="1" a="1"/>
  <c r="Q113" i="17" s="1"/>
  <c r="L114" i="17"/>
  <c r="Q114" i="17" s="1" a="1"/>
  <c r="Q114" i="17" s="1"/>
  <c r="L115" i="17"/>
  <c r="Q115" i="17" s="1" a="1"/>
  <c r="Q115" i="17" s="1"/>
  <c r="L116" i="17"/>
  <c r="Q116" i="17" s="1" a="1"/>
  <c r="Q116" i="17" s="1"/>
  <c r="L117" i="17"/>
  <c r="Q117" i="17" s="1" a="1"/>
  <c r="Q117" i="17" s="1"/>
  <c r="L118" i="17"/>
  <c r="Q118" i="17" s="1" a="1"/>
  <c r="Q118" i="17" s="1"/>
  <c r="L119" i="17"/>
  <c r="Q119" i="17" s="1" a="1"/>
  <c r="Q119" i="17" s="1"/>
  <c r="L120" i="17"/>
  <c r="Q120" i="17" s="1" a="1"/>
  <c r="Q120" i="17" s="1"/>
  <c r="L121" i="17"/>
  <c r="Q121" i="17" s="1" a="1"/>
  <c r="Q121" i="17" s="1"/>
  <c r="L122" i="17"/>
  <c r="Q122" i="17" s="1" a="1"/>
  <c r="Q122" i="17" s="1"/>
  <c r="L123" i="17"/>
  <c r="Q123" i="17" s="1" a="1"/>
  <c r="Q123" i="17" s="1"/>
  <c r="L124" i="17"/>
  <c r="Q124" i="17" s="1" a="1"/>
  <c r="Q124" i="17" s="1"/>
  <c r="L125" i="17"/>
  <c r="Q125" i="17" s="1" a="1"/>
  <c r="Q125" i="17" s="1"/>
  <c r="L126" i="17"/>
  <c r="Q126" i="17" s="1" a="1"/>
  <c r="Q126" i="17" s="1"/>
  <c r="L127" i="17"/>
  <c r="Q127" i="17" s="1" a="1"/>
  <c r="Q127" i="17" s="1"/>
  <c r="L128" i="17"/>
  <c r="Q128" i="17" s="1" a="1"/>
  <c r="Q128" i="17" s="1"/>
  <c r="L129" i="17"/>
  <c r="Q129" i="17" s="1" a="1"/>
  <c r="Q129" i="17" s="1"/>
  <c r="L130" i="17"/>
  <c r="Q130" i="17" s="1" a="1"/>
  <c r="Q130" i="17" s="1"/>
  <c r="L131" i="17"/>
  <c r="Q131" i="17" s="1" a="1"/>
  <c r="Q131" i="17" s="1"/>
  <c r="L132" i="17"/>
  <c r="Q132" i="17" s="1" a="1"/>
  <c r="Q132" i="17" s="1"/>
  <c r="L133" i="17"/>
  <c r="Q133" i="17" s="1" a="1"/>
  <c r="Q133" i="17" s="1"/>
  <c r="L134" i="17"/>
  <c r="Q134" i="17" s="1" a="1"/>
  <c r="Q134" i="17" s="1"/>
  <c r="L135" i="17"/>
  <c r="Q135" i="17" s="1" a="1"/>
  <c r="Q135" i="17" s="1"/>
  <c r="L136" i="17"/>
  <c r="Q136" i="17" s="1" a="1"/>
  <c r="Q136" i="17" s="1"/>
  <c r="L137" i="17"/>
  <c r="Q137" i="17" s="1" a="1"/>
  <c r="Q137" i="17" s="1"/>
  <c r="L138" i="17"/>
  <c r="Q138" i="17" s="1" a="1"/>
  <c r="Q138" i="17" s="1"/>
  <c r="L139" i="17"/>
  <c r="Q139" i="17" s="1" a="1"/>
  <c r="Q139" i="17" s="1"/>
  <c r="L140" i="17"/>
  <c r="Q140" i="17" s="1" a="1"/>
  <c r="Q140" i="17" s="1"/>
  <c r="L141" i="17"/>
  <c r="Q141" i="17" s="1" a="1"/>
  <c r="Q141" i="17" s="1"/>
  <c r="L142" i="17"/>
  <c r="Q142" i="17" s="1" a="1"/>
  <c r="Q142" i="17" s="1"/>
  <c r="L143" i="17"/>
  <c r="Q143" i="17" s="1" a="1"/>
  <c r="Q143" i="17" s="1"/>
  <c r="L144" i="17"/>
  <c r="Q144" i="17" s="1" a="1"/>
  <c r="Q144" i="17" s="1"/>
  <c r="L145" i="17"/>
  <c r="Q145" i="17" s="1" a="1"/>
  <c r="Q145" i="17" s="1"/>
  <c r="L146" i="17"/>
  <c r="Q146" i="17" s="1" a="1"/>
  <c r="Q146" i="17" s="1"/>
  <c r="L147" i="17"/>
  <c r="Q147" i="17" s="1" a="1"/>
  <c r="Q147" i="17" s="1"/>
  <c r="L148" i="17"/>
  <c r="Q148" i="17" s="1" a="1"/>
  <c r="Q148" i="17" s="1"/>
  <c r="L149" i="17"/>
  <c r="Q149" i="17" s="1" a="1"/>
  <c r="Q149" i="17" s="1"/>
  <c r="L150" i="17"/>
  <c r="Q150" i="17" s="1" a="1"/>
  <c r="Q150" i="17" s="1"/>
  <c r="L151" i="17"/>
  <c r="Q151" i="17" s="1" a="1"/>
  <c r="Q151" i="17" s="1"/>
  <c r="L152" i="17"/>
  <c r="Q152" i="17" s="1" a="1"/>
  <c r="Q152" i="17" s="1"/>
  <c r="L153" i="17"/>
  <c r="Q153" i="17" s="1" a="1"/>
  <c r="Q153" i="17" s="1"/>
  <c r="L154" i="17"/>
  <c r="Q154" i="17" s="1" a="1"/>
  <c r="Q154" i="17" s="1"/>
  <c r="L155" i="17"/>
  <c r="Q155" i="17" s="1" a="1"/>
  <c r="Q155" i="17" s="1"/>
  <c r="L156" i="17"/>
  <c r="Q156" i="17" s="1" a="1"/>
  <c r="Q156" i="17" s="1"/>
  <c r="L157" i="17"/>
  <c r="Q157" i="17" s="1" a="1"/>
  <c r="Q157" i="17" s="1"/>
  <c r="L158" i="17"/>
  <c r="Q158" i="17" s="1" a="1"/>
  <c r="Q158" i="17" s="1"/>
  <c r="L159" i="17"/>
  <c r="Q159" i="17" s="1" a="1"/>
  <c r="Q159" i="17" s="1"/>
  <c r="L160" i="17"/>
  <c r="Q160" i="17" s="1" a="1"/>
  <c r="Q160" i="17" s="1"/>
  <c r="L161" i="17"/>
  <c r="Q161" i="17" s="1" a="1"/>
  <c r="Q161" i="17" s="1"/>
  <c r="L162" i="17"/>
  <c r="Q162" i="17" s="1" a="1"/>
  <c r="Q162" i="17" s="1"/>
  <c r="L163" i="17"/>
  <c r="Q163" i="17" s="1" a="1"/>
  <c r="Q163" i="17" s="1"/>
  <c r="L164" i="17"/>
  <c r="Q164" i="17" s="1" a="1"/>
  <c r="Q164" i="17" s="1"/>
  <c r="L165" i="17"/>
  <c r="Q165" i="17" s="1" a="1"/>
  <c r="Q165" i="17" s="1"/>
  <c r="L166" i="17"/>
  <c r="Q166" i="17" s="1" a="1"/>
  <c r="Q166" i="17" s="1"/>
  <c r="L167" i="17"/>
  <c r="Q167" i="17" s="1" a="1"/>
  <c r="Q167" i="17" s="1"/>
  <c r="L168" i="17"/>
  <c r="Q168" i="17" s="1" a="1"/>
  <c r="Q168" i="17" s="1"/>
  <c r="L169" i="17"/>
  <c r="Q169" i="17" s="1" a="1"/>
  <c r="Q169" i="17" s="1"/>
  <c r="L170" i="17"/>
  <c r="Q170" i="17" s="1" a="1"/>
  <c r="Q170" i="17" s="1"/>
  <c r="L171" i="17"/>
  <c r="Q171" i="17" s="1" a="1"/>
  <c r="Q171" i="17" s="1"/>
  <c r="L172" i="17"/>
  <c r="Q172" i="17" s="1" a="1"/>
  <c r="Q172" i="17" s="1"/>
  <c r="L173" i="17"/>
  <c r="Q173" i="17" s="1" a="1"/>
  <c r="Q173" i="17" s="1"/>
  <c r="L174" i="17"/>
  <c r="Q174" i="17" s="1" a="1"/>
  <c r="Q174" i="17" s="1"/>
  <c r="L175" i="17"/>
  <c r="Q175" i="17" s="1" a="1"/>
  <c r="Q175" i="17" s="1"/>
  <c r="L176" i="17"/>
  <c r="Q176" i="17" s="1" a="1"/>
  <c r="Q176" i="17" s="1"/>
  <c r="L177" i="17"/>
  <c r="Q177" i="17" s="1" a="1"/>
  <c r="Q177" i="17" s="1"/>
  <c r="L178" i="17"/>
  <c r="Q178" i="17" s="1" a="1"/>
  <c r="Q178" i="17" s="1"/>
  <c r="L179" i="17"/>
  <c r="Q179" i="17" s="1" a="1"/>
  <c r="Q179" i="17" s="1"/>
  <c r="L180" i="17"/>
  <c r="Q180" i="17" s="1" a="1"/>
  <c r="Q180" i="17" s="1"/>
  <c r="L181" i="17"/>
  <c r="Q181" i="17" s="1" a="1"/>
  <c r="Q181" i="17" s="1"/>
  <c r="L182" i="17"/>
  <c r="Q182" i="17" s="1" a="1"/>
  <c r="Q182" i="17" s="1"/>
  <c r="L183" i="17"/>
  <c r="Q183" i="17" s="1" a="1"/>
  <c r="Q183" i="17" s="1"/>
  <c r="L184" i="17"/>
  <c r="Q184" i="17" s="1" a="1"/>
  <c r="Q184" i="17" s="1"/>
  <c r="L185" i="17"/>
  <c r="Q185" i="17" s="1" a="1"/>
  <c r="Q185" i="17" s="1"/>
  <c r="L186" i="17"/>
  <c r="Q186" i="17" s="1" a="1"/>
  <c r="Q186" i="17" s="1"/>
  <c r="L187" i="17"/>
  <c r="Q187" i="17" s="1" a="1"/>
  <c r="Q187" i="17" s="1"/>
  <c r="L188" i="17"/>
  <c r="Q188" i="17" s="1" a="1"/>
  <c r="Q188" i="17" s="1"/>
  <c r="L189" i="17"/>
  <c r="Q189" i="17" s="1" a="1"/>
  <c r="Q189" i="17" s="1"/>
  <c r="L190" i="17"/>
  <c r="Q190" i="17" s="1" a="1"/>
  <c r="Q190" i="17" s="1"/>
  <c r="L191" i="17"/>
  <c r="Q191" i="17" s="1" a="1"/>
  <c r="Q191" i="17" s="1"/>
  <c r="L192" i="17"/>
  <c r="Q192" i="17" s="1" a="1"/>
  <c r="Q192" i="17" s="1"/>
  <c r="L193" i="17"/>
  <c r="Q193" i="17" s="1" a="1"/>
  <c r="Q193" i="17" s="1"/>
  <c r="L194" i="17"/>
  <c r="Q194" i="17" s="1" a="1"/>
  <c r="Q194" i="17" s="1"/>
  <c r="L195" i="17"/>
  <c r="Q195" i="17" s="1" a="1"/>
  <c r="Q195" i="17" s="1"/>
  <c r="L196" i="17"/>
  <c r="Q196" i="17" s="1" a="1"/>
  <c r="Q196" i="17" s="1"/>
  <c r="L197" i="17"/>
  <c r="Q197" i="17" s="1" a="1"/>
  <c r="Q197" i="17" s="1"/>
  <c r="L198" i="17"/>
  <c r="Q198" i="17" s="1" a="1"/>
  <c r="Q198" i="17" s="1"/>
  <c r="L199" i="17"/>
  <c r="Q199" i="17" s="1" a="1"/>
  <c r="Q199" i="17" s="1"/>
  <c r="L200" i="17"/>
  <c r="Q200" i="17" s="1" a="1"/>
  <c r="Q200" i="17" s="1"/>
  <c r="L201" i="17"/>
  <c r="Q201" i="17" s="1" a="1"/>
  <c r="Q201" i="17" s="1"/>
  <c r="L202" i="17"/>
  <c r="Q202" i="17" s="1" a="1"/>
  <c r="Q202" i="17" s="1"/>
  <c r="L203" i="17"/>
  <c r="Q203" i="17" s="1" a="1"/>
  <c r="Q203" i="17" s="1"/>
  <c r="L204" i="17"/>
  <c r="Q204" i="17" s="1" a="1"/>
  <c r="Q204" i="17" s="1"/>
  <c r="L205" i="17"/>
  <c r="Q205" i="17" s="1" a="1"/>
  <c r="Q205" i="17" s="1"/>
  <c r="L206" i="17"/>
  <c r="Q206" i="17" s="1" a="1"/>
  <c r="Q206" i="17" s="1"/>
  <c r="L207" i="17"/>
  <c r="Q207" i="17" s="1" a="1"/>
  <c r="Q207" i="17" s="1"/>
  <c r="L208" i="17"/>
  <c r="Q208" i="17" s="1" a="1"/>
  <c r="Q208" i="17" s="1"/>
  <c r="L209" i="17"/>
  <c r="Q209" i="17" s="1" a="1"/>
  <c r="Q209" i="17" s="1"/>
  <c r="L210" i="17"/>
  <c r="Q210" i="17" s="1" a="1"/>
  <c r="Q210" i="17" s="1"/>
  <c r="L211" i="17"/>
  <c r="Q211" i="17" s="1" a="1"/>
  <c r="Q211" i="17" s="1"/>
  <c r="L212" i="17"/>
  <c r="Q212" i="17" s="1" a="1"/>
  <c r="Q212" i="17" s="1"/>
  <c r="L213" i="17"/>
  <c r="Q213" i="17" s="1" a="1"/>
  <c r="Q213" i="17" s="1"/>
  <c r="L214" i="17"/>
  <c r="Q214" i="17" s="1" a="1"/>
  <c r="Q214" i="17" s="1"/>
  <c r="L215" i="17"/>
  <c r="Q215" i="17" s="1" a="1"/>
  <c r="Q215" i="17" s="1"/>
  <c r="L216" i="17"/>
  <c r="Q216" i="17" s="1" a="1"/>
  <c r="Q216" i="17" s="1"/>
  <c r="L217" i="17"/>
  <c r="Q217" i="17" s="1" a="1"/>
  <c r="Q217" i="17" s="1"/>
  <c r="L218" i="17"/>
  <c r="Q218" i="17" s="1" a="1"/>
  <c r="Q218" i="17" s="1"/>
  <c r="L219" i="17"/>
  <c r="Q219" i="17" s="1" a="1"/>
  <c r="Q219" i="17" s="1"/>
  <c r="L220" i="17"/>
  <c r="Q220" i="17" s="1" a="1"/>
  <c r="Q220" i="17" s="1"/>
  <c r="L221" i="17"/>
  <c r="Q221" i="17" s="1" a="1"/>
  <c r="Q221" i="17" s="1"/>
  <c r="L222" i="17"/>
  <c r="Q222" i="17" s="1" a="1"/>
  <c r="Q222" i="17" s="1"/>
  <c r="L223" i="17"/>
  <c r="Q223" i="17" s="1" a="1"/>
  <c r="Q223" i="17" s="1"/>
  <c r="L224" i="17"/>
  <c r="Q224" i="17" s="1" a="1"/>
  <c r="Q224" i="17" s="1"/>
  <c r="L225" i="17"/>
  <c r="Q225" i="17" s="1" a="1"/>
  <c r="Q225" i="17" s="1"/>
  <c r="L226" i="17"/>
  <c r="Q226" i="17" s="1" a="1"/>
  <c r="Q226" i="17" s="1"/>
  <c r="L227" i="17"/>
  <c r="Q227" i="17" s="1" a="1"/>
  <c r="Q227" i="17" s="1"/>
  <c r="L228" i="17"/>
  <c r="Q228" i="17" s="1" a="1"/>
  <c r="Q228" i="17" s="1"/>
  <c r="L229" i="17"/>
  <c r="Q229" i="17" s="1" a="1"/>
  <c r="Q229" i="17" s="1"/>
  <c r="L230" i="17"/>
  <c r="Q230" i="17" s="1" a="1"/>
  <c r="Q230" i="17" s="1"/>
  <c r="L231" i="17"/>
  <c r="Q231" i="17" s="1" a="1"/>
  <c r="Q231" i="17" s="1"/>
  <c r="L232" i="17"/>
  <c r="Q232" i="17" s="1" a="1"/>
  <c r="Q232" i="17" s="1"/>
  <c r="L233" i="17"/>
  <c r="Q233" i="17" s="1" a="1"/>
  <c r="Q233" i="17" s="1"/>
  <c r="L234" i="17"/>
  <c r="Q234" i="17" s="1" a="1"/>
  <c r="Q234" i="17" s="1"/>
  <c r="L235" i="17"/>
  <c r="Q235" i="17" s="1" a="1"/>
  <c r="Q235" i="17" s="1"/>
  <c r="L236" i="17"/>
  <c r="Q236" i="17" s="1" a="1"/>
  <c r="Q236" i="17" s="1"/>
  <c r="L237" i="17"/>
  <c r="Q237" i="17" s="1" a="1"/>
  <c r="Q237" i="17" s="1"/>
  <c r="L238" i="17"/>
  <c r="Q238" i="17" s="1" a="1"/>
  <c r="Q238" i="17" s="1"/>
  <c r="L239" i="17"/>
  <c r="Q239" i="17" s="1" a="1"/>
  <c r="Q239" i="17" s="1"/>
  <c r="L240" i="17"/>
  <c r="Q240" i="17" s="1" a="1"/>
  <c r="Q240" i="17" s="1"/>
  <c r="L241" i="17"/>
  <c r="Q241" i="17" s="1" a="1"/>
  <c r="Q241" i="17" s="1"/>
  <c r="L242" i="17"/>
  <c r="Q242" i="17" s="1" a="1"/>
  <c r="Q242" i="17" s="1"/>
  <c r="L243" i="17"/>
  <c r="Q243" i="17" s="1" a="1"/>
  <c r="Q243" i="17" s="1"/>
  <c r="L244" i="17"/>
  <c r="Q244" i="17" s="1" a="1"/>
  <c r="Q244" i="17" s="1"/>
  <c r="L245" i="17"/>
  <c r="Q245" i="17" s="1" a="1"/>
  <c r="Q245" i="17" s="1"/>
  <c r="L246" i="17"/>
  <c r="Q246" i="17" s="1" a="1"/>
  <c r="Q246" i="17" s="1"/>
  <c r="L247" i="17"/>
  <c r="Q247" i="17" s="1" a="1"/>
  <c r="Q247" i="17" s="1"/>
  <c r="L248" i="17"/>
  <c r="Q248" i="17" s="1" a="1"/>
  <c r="Q248" i="17" s="1"/>
  <c r="L249" i="17"/>
  <c r="Q249" i="17" s="1" a="1"/>
  <c r="Q249" i="17" s="1"/>
  <c r="L250" i="17"/>
  <c r="Q250" i="17" s="1" a="1"/>
  <c r="Q250" i="17" s="1"/>
  <c r="L251" i="17"/>
  <c r="Q251" i="17" s="1" a="1"/>
  <c r="Q251" i="17" s="1"/>
  <c r="L252" i="17"/>
  <c r="Q252" i="17" s="1" a="1"/>
  <c r="Q252" i="17" s="1"/>
  <c r="L253" i="17"/>
  <c r="Q253" i="17" s="1" a="1"/>
  <c r="Q253" i="17" s="1"/>
  <c r="L254" i="17"/>
  <c r="Q254" i="17" s="1" a="1"/>
  <c r="Q254" i="17" s="1"/>
  <c r="L255" i="17"/>
  <c r="Q255" i="17" s="1" a="1"/>
  <c r="Q255" i="17" s="1"/>
  <c r="L256" i="17"/>
  <c r="Q256" i="17" s="1" a="1"/>
  <c r="Q256" i="17" s="1"/>
  <c r="L257" i="17"/>
  <c r="Q257" i="17" s="1" a="1"/>
  <c r="Q257" i="17" s="1"/>
  <c r="L258" i="17"/>
  <c r="Q258" i="17" s="1" a="1"/>
  <c r="Q258" i="17" s="1"/>
  <c r="L259" i="17"/>
  <c r="Q259" i="17" s="1" a="1"/>
  <c r="Q259" i="17" s="1"/>
  <c r="L260" i="17"/>
  <c r="Q260" i="17" s="1" a="1"/>
  <c r="Q260" i="17" s="1"/>
  <c r="L261" i="17"/>
  <c r="Q261" i="17" s="1" a="1"/>
  <c r="Q261" i="17" s="1"/>
  <c r="L262" i="17"/>
  <c r="Q262" i="17" s="1" a="1"/>
  <c r="Q262" i="17" s="1"/>
  <c r="L263" i="17"/>
  <c r="Q263" i="17" s="1" a="1"/>
  <c r="Q263" i="17" s="1"/>
  <c r="L264" i="17"/>
  <c r="Q264" i="17" s="1" a="1"/>
  <c r="Q264" i="17" s="1"/>
  <c r="L265" i="17"/>
  <c r="Q265" i="17" s="1" a="1"/>
  <c r="Q265" i="17" s="1"/>
  <c r="L266" i="17"/>
  <c r="Q266" i="17" s="1" a="1"/>
  <c r="Q266" i="17" s="1"/>
  <c r="L267" i="17"/>
  <c r="Q267" i="17" s="1" a="1"/>
  <c r="Q267" i="17" s="1"/>
  <c r="L268" i="17"/>
  <c r="Q268" i="17" s="1" a="1"/>
  <c r="Q268" i="17" s="1"/>
  <c r="L269" i="17"/>
  <c r="Q269" i="17" s="1" a="1"/>
  <c r="Q269" i="17" s="1"/>
  <c r="L270" i="17"/>
  <c r="Q270" i="17" s="1" a="1"/>
  <c r="Q270" i="17" s="1"/>
  <c r="L271" i="17"/>
  <c r="Q271" i="17" s="1" a="1"/>
  <c r="Q271" i="17" s="1"/>
  <c r="L272" i="17"/>
  <c r="Q272" i="17" s="1" a="1"/>
  <c r="Q272" i="17" s="1"/>
  <c r="L273" i="17"/>
  <c r="Q273" i="17" s="1" a="1"/>
  <c r="Q273" i="17" s="1"/>
  <c r="L274" i="17"/>
  <c r="Q274" i="17" s="1" a="1"/>
  <c r="Q274" i="17" s="1"/>
  <c r="L275" i="17"/>
  <c r="Q275" i="17" s="1" a="1"/>
  <c r="Q275" i="17" s="1"/>
  <c r="L276" i="17"/>
  <c r="Q276" i="17" s="1" a="1"/>
  <c r="Q276" i="17" s="1"/>
  <c r="L277" i="17"/>
  <c r="Q277" i="17" s="1" a="1"/>
  <c r="Q277" i="17" s="1"/>
  <c r="L278" i="17"/>
  <c r="Q278" i="17" s="1" a="1"/>
  <c r="Q278" i="17" s="1"/>
  <c r="L279" i="17"/>
  <c r="Q279" i="17" s="1" a="1"/>
  <c r="Q279" i="17" s="1"/>
  <c r="L280" i="17"/>
  <c r="Q280" i="17" s="1" a="1"/>
  <c r="Q280" i="17" s="1"/>
  <c r="L281" i="17"/>
  <c r="Q281" i="17" s="1" a="1"/>
  <c r="Q281" i="17" s="1"/>
  <c r="L282" i="17"/>
  <c r="Q282" i="17" s="1" a="1"/>
  <c r="Q282" i="17" s="1"/>
  <c r="L283" i="17"/>
  <c r="Q283" i="17" s="1" a="1"/>
  <c r="Q283" i="17" s="1"/>
  <c r="L284" i="17"/>
  <c r="Q284" i="17" s="1" a="1"/>
  <c r="Q284" i="17" s="1"/>
  <c r="L285" i="17"/>
  <c r="Q285" i="17" s="1" a="1"/>
  <c r="Q285" i="17" s="1"/>
  <c r="L286" i="17"/>
  <c r="Q286" i="17" s="1" a="1"/>
  <c r="Q286" i="17" s="1"/>
  <c r="L287" i="17"/>
  <c r="Q287" i="17" s="1" a="1"/>
  <c r="Q287" i="17" s="1"/>
  <c r="L288" i="17"/>
  <c r="Q288" i="17" s="1" a="1"/>
  <c r="Q288" i="17" s="1"/>
  <c r="L289" i="17"/>
  <c r="Q289" i="17" s="1" a="1"/>
  <c r="Q289" i="17" s="1"/>
  <c r="L290" i="17"/>
  <c r="Q290" i="17" s="1" a="1"/>
  <c r="Q290" i="17" s="1"/>
  <c r="L291" i="17"/>
  <c r="Q291" i="17" s="1" a="1"/>
  <c r="Q291" i="17" s="1"/>
  <c r="L292" i="17"/>
  <c r="Q292" i="17" s="1" a="1"/>
  <c r="Q292" i="17" s="1"/>
  <c r="L293" i="17"/>
  <c r="Q293" i="17" s="1" a="1"/>
  <c r="Q293" i="17" s="1"/>
  <c r="L294" i="17"/>
  <c r="Q294" i="17" s="1" a="1"/>
  <c r="Q294" i="17" s="1"/>
  <c r="L295" i="17"/>
  <c r="Q295" i="17" s="1" a="1"/>
  <c r="Q295" i="17" s="1"/>
  <c r="L296" i="17"/>
  <c r="Q296" i="17" s="1" a="1"/>
  <c r="Q296" i="17" s="1"/>
  <c r="L297" i="17"/>
  <c r="Q297" i="17" s="1" a="1"/>
  <c r="Q297" i="17" s="1"/>
  <c r="L298" i="17"/>
  <c r="Q298" i="17" s="1" a="1"/>
  <c r="Q298" i="17" s="1"/>
  <c r="L299" i="17"/>
  <c r="Q299" i="17" s="1" a="1"/>
  <c r="Q299" i="17" s="1"/>
  <c r="L300" i="17"/>
  <c r="Q300" i="17" s="1" a="1"/>
  <c r="Q300" i="17" s="1"/>
  <c r="L301" i="17"/>
  <c r="Q301" i="17" s="1" a="1"/>
  <c r="Q301" i="17" s="1"/>
  <c r="L302" i="17"/>
  <c r="Q302" i="17" s="1" a="1"/>
  <c r="Q302" i="17" s="1"/>
  <c r="L303" i="17"/>
  <c r="Q303" i="17" s="1" a="1"/>
  <c r="Q303" i="17" s="1"/>
  <c r="L304" i="17"/>
  <c r="Q304" i="17" s="1" a="1"/>
  <c r="Q304" i="17" s="1"/>
  <c r="L305" i="17"/>
  <c r="Q305" i="17" s="1" a="1"/>
  <c r="Q305" i="17" s="1"/>
  <c r="L306" i="17"/>
  <c r="Q306" i="17" s="1" a="1"/>
  <c r="Q306" i="17" s="1"/>
  <c r="L307" i="17"/>
  <c r="Q307" i="17" s="1" a="1"/>
  <c r="Q307" i="17" s="1"/>
  <c r="L308" i="17"/>
  <c r="Q308" i="17" s="1" a="1"/>
  <c r="Q308" i="17" s="1"/>
  <c r="L309" i="17"/>
  <c r="Q309" i="17" s="1" a="1"/>
  <c r="Q309" i="17" s="1"/>
  <c r="L310" i="17"/>
  <c r="Q310" i="17" s="1" a="1"/>
  <c r="Q310" i="17" s="1"/>
  <c r="L311" i="17"/>
  <c r="Q311" i="17" s="1" a="1"/>
  <c r="Q311" i="17" s="1"/>
  <c r="L312" i="17"/>
  <c r="Q312" i="17" s="1" a="1"/>
  <c r="Q312" i="17" s="1"/>
  <c r="L313" i="17"/>
  <c r="Q313" i="17" s="1" a="1"/>
  <c r="Q313" i="17" s="1"/>
  <c r="L314" i="17"/>
  <c r="Q314" i="17" s="1" a="1"/>
  <c r="Q314" i="17" s="1"/>
  <c r="L315" i="17"/>
  <c r="Q315" i="17" s="1" a="1"/>
  <c r="Q315" i="17" s="1"/>
  <c r="L316" i="17"/>
  <c r="Q316" i="17" s="1" a="1"/>
  <c r="Q316" i="17" s="1"/>
  <c r="L317" i="17"/>
  <c r="Q317" i="17" s="1" a="1"/>
  <c r="Q317" i="17" s="1"/>
  <c r="L318" i="17"/>
  <c r="Q318" i="17" s="1" a="1"/>
  <c r="Q318" i="17" s="1"/>
  <c r="L319" i="17"/>
  <c r="Q319" i="17" s="1" a="1"/>
  <c r="Q319" i="17" s="1"/>
  <c r="L320" i="17"/>
  <c r="Q320" i="17" s="1" a="1"/>
  <c r="Q320" i="17" s="1"/>
  <c r="L321" i="17"/>
  <c r="Q321" i="17" s="1" a="1"/>
  <c r="Q321" i="17" s="1"/>
  <c r="L322" i="17"/>
  <c r="Q322" i="17" s="1" a="1"/>
  <c r="Q322" i="17" s="1"/>
  <c r="L323" i="17"/>
  <c r="Q323" i="17" s="1" a="1"/>
  <c r="Q323" i="17" s="1"/>
  <c r="L324" i="17"/>
  <c r="Q324" i="17" s="1" a="1"/>
  <c r="Q324" i="17" s="1"/>
  <c r="L325" i="17"/>
  <c r="Q325" i="17" s="1" a="1"/>
  <c r="Q325" i="17" s="1"/>
  <c r="L326" i="17"/>
  <c r="Q326" i="17" s="1" a="1"/>
  <c r="Q326" i="17" s="1"/>
  <c r="L327" i="17"/>
  <c r="Q327" i="17" s="1" a="1"/>
  <c r="Q327" i="17" s="1"/>
  <c r="L328" i="17"/>
  <c r="Q328" i="17" s="1" a="1"/>
  <c r="Q328" i="17" s="1"/>
  <c r="L329" i="17"/>
  <c r="Q329" i="17" s="1" a="1"/>
  <c r="Q329" i="17" s="1"/>
  <c r="L330" i="17"/>
  <c r="Q330" i="17" s="1" a="1"/>
  <c r="Q330" i="17" s="1"/>
  <c r="L331" i="17"/>
  <c r="Q331" i="17" s="1" a="1"/>
  <c r="Q331" i="17" s="1"/>
  <c r="L332" i="17"/>
  <c r="Q332" i="17" s="1" a="1"/>
  <c r="Q332" i="17" s="1"/>
  <c r="L333" i="17"/>
  <c r="Q333" i="17" s="1" a="1"/>
  <c r="Q333" i="17" s="1"/>
  <c r="L334" i="17"/>
  <c r="Q334" i="17" s="1" a="1"/>
  <c r="Q334" i="17" s="1"/>
  <c r="L335" i="17"/>
  <c r="Q335" i="17" s="1" a="1"/>
  <c r="Q335" i="17" s="1"/>
  <c r="L336" i="17"/>
  <c r="Q336" i="17" s="1" a="1"/>
  <c r="Q336" i="17" s="1"/>
  <c r="L337" i="17"/>
  <c r="Q337" i="17" s="1" a="1"/>
  <c r="Q337" i="17" s="1"/>
  <c r="L338" i="17"/>
  <c r="Q338" i="17" s="1" a="1"/>
  <c r="Q338" i="17" s="1"/>
  <c r="L339" i="17"/>
  <c r="Q339" i="17" s="1" a="1"/>
  <c r="Q339" i="17" s="1"/>
  <c r="L340" i="17"/>
  <c r="Q340" i="17" s="1" a="1"/>
  <c r="Q340" i="17" s="1"/>
  <c r="L341" i="17"/>
  <c r="Q341" i="17" s="1" a="1"/>
  <c r="Q341" i="17" s="1"/>
  <c r="L342" i="17"/>
  <c r="Q342" i="17" s="1" a="1"/>
  <c r="Q342" i="17" s="1"/>
  <c r="L343" i="17"/>
  <c r="Q343" i="17" s="1" a="1"/>
  <c r="Q343" i="17" s="1"/>
  <c r="L344" i="17"/>
  <c r="Q344" i="17" s="1" a="1"/>
  <c r="Q344" i="17" s="1"/>
  <c r="L345" i="17"/>
  <c r="Q345" i="17" s="1" a="1"/>
  <c r="Q345" i="17" s="1"/>
  <c r="L346" i="17"/>
  <c r="Q346" i="17" s="1" a="1"/>
  <c r="Q346" i="17" s="1"/>
  <c r="L347" i="17"/>
  <c r="Q347" i="17" s="1" a="1"/>
  <c r="Q347" i="17" s="1"/>
  <c r="L348" i="17"/>
  <c r="Q348" i="17" s="1" a="1"/>
  <c r="Q348" i="17" s="1"/>
  <c r="L349" i="17"/>
  <c r="Q349" i="17" s="1" a="1"/>
  <c r="Q349" i="17" s="1"/>
  <c r="L350" i="17"/>
  <c r="Q350" i="17" s="1" a="1"/>
  <c r="Q350" i="17" s="1"/>
  <c r="L351" i="17"/>
  <c r="Q351" i="17" s="1" a="1"/>
  <c r="Q351" i="17" s="1"/>
  <c r="L352" i="17"/>
  <c r="Q352" i="17" s="1" a="1"/>
  <c r="Q352" i="17" s="1"/>
  <c r="L353" i="17"/>
  <c r="Q353" i="17" s="1" a="1"/>
  <c r="Q353" i="17" s="1"/>
  <c r="L354" i="17"/>
  <c r="Q354" i="17" s="1" a="1"/>
  <c r="Q354" i="17" s="1"/>
  <c r="L355" i="17"/>
  <c r="Q355" i="17" s="1" a="1"/>
  <c r="Q355" i="17" s="1"/>
  <c r="L356" i="17"/>
  <c r="Q356" i="17" s="1" a="1"/>
  <c r="Q356" i="17" s="1"/>
  <c r="L357" i="17"/>
  <c r="Q357" i="17" s="1" a="1"/>
  <c r="Q357" i="17" s="1"/>
  <c r="L358" i="17"/>
  <c r="Q358" i="17" s="1" a="1"/>
  <c r="Q358" i="17" s="1"/>
  <c r="L359" i="17"/>
  <c r="Q359" i="17" s="1" a="1"/>
  <c r="Q359" i="17" s="1"/>
  <c r="L360" i="17"/>
  <c r="Q360" i="17" s="1" a="1"/>
  <c r="Q360" i="17" s="1"/>
  <c r="L361" i="17"/>
  <c r="Q361" i="17" s="1" a="1"/>
  <c r="Q361" i="17" s="1"/>
  <c r="L362" i="17"/>
  <c r="Q362" i="17" s="1" a="1"/>
  <c r="Q362" i="17" s="1"/>
  <c r="L363" i="17"/>
  <c r="Q363" i="17" s="1" a="1"/>
  <c r="Q363" i="17" s="1"/>
  <c r="L364" i="17"/>
  <c r="Q364" i="17" s="1" a="1"/>
  <c r="Q364" i="17" s="1"/>
  <c r="L365" i="17"/>
  <c r="Q365" i="17" s="1" a="1"/>
  <c r="Q365" i="17" s="1"/>
  <c r="L366" i="17"/>
  <c r="Q366" i="17" s="1" a="1"/>
  <c r="Q366" i="17" s="1"/>
  <c r="L367" i="17"/>
  <c r="Q367" i="17" s="1" a="1"/>
  <c r="Q367" i="17" s="1"/>
  <c r="L368" i="17"/>
  <c r="Q368" i="17" s="1" a="1"/>
  <c r="Q368" i="17" s="1"/>
  <c r="L369" i="17"/>
  <c r="Q369" i="17" s="1" a="1"/>
  <c r="Q369" i="17" s="1"/>
  <c r="L370" i="17"/>
  <c r="Q370" i="17" s="1" a="1"/>
  <c r="Q370" i="17" s="1"/>
  <c r="L371" i="17"/>
  <c r="Q371" i="17" s="1" a="1"/>
  <c r="Q371" i="17" s="1"/>
  <c r="L372" i="17"/>
  <c r="Q372" i="17" s="1" a="1"/>
  <c r="Q372" i="17" s="1"/>
  <c r="L373" i="17"/>
  <c r="Q373" i="17" s="1" a="1"/>
  <c r="Q373" i="17" s="1"/>
  <c r="L374" i="17"/>
  <c r="Q374" i="17" s="1" a="1"/>
  <c r="Q374" i="17" s="1"/>
  <c r="L375" i="17"/>
  <c r="Q375" i="17" s="1" a="1"/>
  <c r="Q375" i="17" s="1"/>
  <c r="L376" i="17"/>
  <c r="Q376" i="17" s="1" a="1"/>
  <c r="Q376" i="17" s="1"/>
  <c r="L377" i="17"/>
  <c r="Q377" i="17" s="1" a="1"/>
  <c r="Q377" i="17" s="1"/>
  <c r="L378" i="17"/>
  <c r="Q378" i="17" s="1" a="1"/>
  <c r="Q378" i="17" s="1"/>
  <c r="L379" i="17"/>
  <c r="Q379" i="17" s="1" a="1"/>
  <c r="Q379" i="17" s="1"/>
  <c r="L380" i="17"/>
  <c r="Q380" i="17" s="1" a="1"/>
  <c r="Q380" i="17" s="1"/>
  <c r="L381" i="17"/>
  <c r="Q381" i="17" s="1" a="1"/>
  <c r="Q381" i="17" s="1"/>
  <c r="L382" i="17"/>
  <c r="Q382" i="17" s="1" a="1"/>
  <c r="Q382" i="17" s="1"/>
  <c r="L383" i="17"/>
  <c r="Q383" i="17" s="1" a="1"/>
  <c r="Q383" i="17" s="1"/>
  <c r="L384" i="17"/>
  <c r="Q384" i="17" s="1" a="1"/>
  <c r="Q384" i="17" s="1"/>
  <c r="L385" i="17"/>
  <c r="Q385" i="17" s="1" a="1"/>
  <c r="Q385" i="17" s="1"/>
  <c r="L386" i="17"/>
  <c r="Q386" i="17" s="1" a="1"/>
  <c r="Q386" i="17" s="1"/>
  <c r="L387" i="17"/>
  <c r="Q387" i="17" s="1" a="1"/>
  <c r="Q387" i="17" s="1"/>
  <c r="L388" i="17"/>
  <c r="Q388" i="17" s="1" a="1"/>
  <c r="Q388" i="17" s="1"/>
  <c r="L389" i="17"/>
  <c r="Q389" i="17" s="1" a="1"/>
  <c r="Q389" i="17" s="1"/>
  <c r="L390" i="17"/>
  <c r="Q390" i="17" s="1" a="1"/>
  <c r="Q390" i="17" s="1"/>
  <c r="L391" i="17"/>
  <c r="Q391" i="17" s="1" a="1"/>
  <c r="Q391" i="17" s="1"/>
  <c r="L392" i="17"/>
  <c r="Q392" i="17" s="1" a="1"/>
  <c r="Q392" i="17" s="1"/>
  <c r="L393" i="17"/>
  <c r="Q393" i="17" s="1" a="1"/>
  <c r="Q393" i="17" s="1"/>
  <c r="L394" i="17"/>
  <c r="Q394" i="17" s="1" a="1"/>
  <c r="Q394" i="17" s="1"/>
  <c r="L395" i="17"/>
  <c r="Q395" i="17" s="1" a="1"/>
  <c r="Q395" i="17" s="1"/>
  <c r="L396" i="17"/>
  <c r="Q396" i="17" s="1" a="1"/>
  <c r="Q396" i="17" s="1"/>
  <c r="L397" i="17"/>
  <c r="Q397" i="17" s="1" a="1"/>
  <c r="Q397" i="17" s="1"/>
  <c r="L398" i="17"/>
  <c r="Q398" i="17" s="1" a="1"/>
  <c r="Q398" i="17" s="1"/>
  <c r="L399" i="17"/>
  <c r="Q399" i="17" s="1" a="1"/>
  <c r="Q399" i="17" s="1"/>
  <c r="L400" i="17"/>
  <c r="Q400" i="17" s="1" a="1"/>
  <c r="Q400" i="17" s="1"/>
  <c r="L401" i="17"/>
  <c r="Q401" i="17" s="1" a="1"/>
  <c r="Q401" i="17" s="1"/>
  <c r="L402" i="17"/>
  <c r="Q402" i="17" s="1" a="1"/>
  <c r="Q402" i="17" s="1"/>
  <c r="L403" i="17"/>
  <c r="Q403" i="17" s="1" a="1"/>
  <c r="Q403" i="17" s="1"/>
  <c r="L404" i="17"/>
  <c r="Q404" i="17" s="1" a="1"/>
  <c r="Q404" i="17" s="1"/>
  <c r="L405" i="17"/>
  <c r="Q405" i="17" s="1" a="1"/>
  <c r="Q405" i="17" s="1"/>
  <c r="L406" i="17"/>
  <c r="Q406" i="17" s="1" a="1"/>
  <c r="Q406" i="17" s="1"/>
  <c r="L407" i="17"/>
  <c r="Q407" i="17" s="1" a="1"/>
  <c r="Q407" i="17" s="1"/>
  <c r="L408" i="17"/>
  <c r="Q408" i="17" s="1" a="1"/>
  <c r="Q408" i="17" s="1"/>
  <c r="L409" i="17"/>
  <c r="Q409" i="17" s="1" a="1"/>
  <c r="Q409" i="17" s="1"/>
  <c r="L410" i="17"/>
  <c r="Q410" i="17" s="1" a="1"/>
  <c r="Q410" i="17" s="1"/>
  <c r="L411" i="17"/>
  <c r="Q411" i="17" s="1" a="1"/>
  <c r="Q411" i="17" s="1"/>
  <c r="L412" i="17"/>
  <c r="Q412" i="17" s="1" a="1"/>
  <c r="Q412" i="17" s="1"/>
  <c r="L413" i="17"/>
  <c r="Q413" i="17" s="1" a="1"/>
  <c r="Q413" i="17" s="1"/>
  <c r="L414" i="17"/>
  <c r="Q414" i="17" s="1" a="1"/>
  <c r="Q414" i="17" s="1"/>
  <c r="L415" i="17"/>
  <c r="Q415" i="17" s="1" a="1"/>
  <c r="Q415" i="17" s="1"/>
  <c r="L416" i="17"/>
  <c r="Q416" i="17" s="1" a="1"/>
  <c r="Q416" i="17" s="1"/>
  <c r="L417" i="17"/>
  <c r="Q417" i="17" s="1" a="1"/>
  <c r="Q417" i="17" s="1"/>
  <c r="L418" i="17"/>
  <c r="Q418" i="17" s="1" a="1"/>
  <c r="Q418" i="17" s="1"/>
  <c r="L419" i="17"/>
  <c r="Q419" i="17" s="1" a="1"/>
  <c r="Q419" i="17" s="1"/>
  <c r="L420" i="17"/>
  <c r="Q420" i="17" s="1" a="1"/>
  <c r="Q420" i="17" s="1"/>
  <c r="L421" i="17"/>
  <c r="Q421" i="17" s="1" a="1"/>
  <c r="Q421" i="17" s="1"/>
  <c r="L422" i="17"/>
  <c r="Q422" i="17" s="1" a="1"/>
  <c r="Q422" i="17" s="1"/>
  <c r="L423" i="17"/>
  <c r="Q423" i="17" s="1" a="1"/>
  <c r="Q423" i="17" s="1"/>
  <c r="L424" i="17"/>
  <c r="Q424" i="17" s="1" a="1"/>
  <c r="Q424" i="17" s="1"/>
  <c r="L425" i="17"/>
  <c r="Q425" i="17" s="1" a="1"/>
  <c r="Q425" i="17" s="1"/>
  <c r="L426" i="17"/>
  <c r="Q426" i="17" s="1" a="1"/>
  <c r="Q426" i="17" s="1"/>
  <c r="L427" i="17"/>
  <c r="Q427" i="17" s="1" a="1"/>
  <c r="Q427" i="17" s="1"/>
  <c r="L428" i="17"/>
  <c r="Q428" i="17" s="1" a="1"/>
  <c r="Q428" i="17" s="1"/>
  <c r="L429" i="17"/>
  <c r="Q429" i="17" s="1" a="1"/>
  <c r="Q429" i="17" s="1"/>
  <c r="L430" i="17"/>
  <c r="Q430" i="17" s="1" a="1"/>
  <c r="Q430" i="17" s="1"/>
  <c r="L431" i="17"/>
  <c r="Q431" i="17" s="1" a="1"/>
  <c r="Q431" i="17" s="1"/>
  <c r="L432" i="17"/>
  <c r="Q432" i="17" s="1" a="1"/>
  <c r="Q432" i="17" s="1"/>
  <c r="L433" i="17"/>
  <c r="Q433" i="17" s="1" a="1"/>
  <c r="Q433" i="17" s="1"/>
  <c r="L434" i="17"/>
  <c r="Q434" i="17" s="1" a="1"/>
  <c r="Q434" i="17" s="1"/>
  <c r="L435" i="17"/>
  <c r="Q435" i="17" s="1" a="1"/>
  <c r="Q435" i="17" s="1"/>
  <c r="L436" i="17"/>
  <c r="Q436" i="17" s="1" a="1"/>
  <c r="Q436" i="17" s="1"/>
  <c r="L437" i="17"/>
  <c r="Q437" i="17" s="1" a="1"/>
  <c r="Q437" i="17" s="1"/>
  <c r="L438" i="17"/>
  <c r="Q438" i="17" s="1" a="1"/>
  <c r="Q438" i="17" s="1"/>
  <c r="L439" i="17"/>
  <c r="Q439" i="17" s="1" a="1"/>
  <c r="Q439" i="17" s="1"/>
  <c r="L440" i="17"/>
  <c r="Q440" i="17" s="1" a="1"/>
  <c r="Q440" i="17" s="1"/>
  <c r="L441" i="17"/>
  <c r="Q441" i="17" s="1" a="1"/>
  <c r="Q441" i="17" s="1"/>
  <c r="L442" i="17"/>
  <c r="Q442" i="17" s="1" a="1"/>
  <c r="Q442" i="17" s="1"/>
  <c r="L443" i="17"/>
  <c r="Q443" i="17" s="1" a="1"/>
  <c r="Q443" i="17" s="1"/>
  <c r="L444" i="17"/>
  <c r="Q444" i="17" s="1" a="1"/>
  <c r="Q444" i="17" s="1"/>
  <c r="L445" i="17"/>
  <c r="Q445" i="17" s="1" a="1"/>
  <c r="Q445" i="17" s="1"/>
  <c r="L446" i="17"/>
  <c r="Q446" i="17" s="1" a="1"/>
  <c r="Q446" i="17" s="1"/>
  <c r="L447" i="17"/>
  <c r="Q447" i="17" s="1" a="1"/>
  <c r="Q447" i="17" s="1"/>
  <c r="L448" i="17"/>
  <c r="Q448" i="17" s="1" a="1"/>
  <c r="Q448" i="17" s="1"/>
  <c r="L449" i="17"/>
  <c r="Q449" i="17" s="1" a="1"/>
  <c r="Q449" i="17" s="1"/>
  <c r="L450" i="17"/>
  <c r="Q450" i="17" s="1" a="1"/>
  <c r="Q450" i="17" s="1"/>
  <c r="L451" i="17"/>
  <c r="Q451" i="17" s="1" a="1"/>
  <c r="Q451" i="17" s="1"/>
  <c r="L452" i="17"/>
  <c r="Q452" i="17" s="1" a="1"/>
  <c r="Q452" i="17" s="1"/>
  <c r="L453" i="17"/>
  <c r="Q453" i="17" s="1" a="1"/>
  <c r="Q453" i="17" s="1"/>
  <c r="L454" i="17"/>
  <c r="Q454" i="17" s="1" a="1"/>
  <c r="Q454" i="17" s="1"/>
  <c r="L455" i="17"/>
  <c r="Q455" i="17" s="1" a="1"/>
  <c r="Q455" i="17" s="1"/>
  <c r="L456" i="17"/>
  <c r="Q456" i="17" s="1" a="1"/>
  <c r="Q456" i="17" s="1"/>
  <c r="L457" i="17"/>
  <c r="Q457" i="17" s="1" a="1"/>
  <c r="Q457" i="17" s="1"/>
  <c r="L458" i="17"/>
  <c r="Q458" i="17" s="1" a="1"/>
  <c r="Q458" i="17" s="1"/>
  <c r="L459" i="17"/>
  <c r="Q459" i="17" s="1" a="1"/>
  <c r="Q459" i="17" s="1"/>
  <c r="L460" i="17"/>
  <c r="Q460" i="17" s="1" a="1"/>
  <c r="Q460" i="17" s="1"/>
  <c r="L461" i="17"/>
  <c r="Q461" i="17" s="1" a="1"/>
  <c r="Q461" i="17" s="1"/>
  <c r="L462" i="17"/>
  <c r="Q462" i="17" s="1" a="1"/>
  <c r="Q462" i="17" s="1"/>
  <c r="L463" i="17"/>
  <c r="Q463" i="17" s="1" a="1"/>
  <c r="Q463" i="17" s="1"/>
  <c r="L464" i="17"/>
  <c r="Q464" i="17" s="1" a="1"/>
  <c r="Q464" i="17" s="1"/>
  <c r="L465" i="17"/>
  <c r="Q465" i="17" s="1" a="1"/>
  <c r="Q465" i="17" s="1"/>
  <c r="L466" i="17"/>
  <c r="Q466" i="17" s="1" a="1"/>
  <c r="Q466" i="17" s="1"/>
  <c r="L467" i="17"/>
  <c r="Q467" i="17" s="1" a="1"/>
  <c r="Q467" i="17" s="1"/>
  <c r="L468" i="17"/>
  <c r="Q468" i="17" s="1" a="1"/>
  <c r="Q468" i="17" s="1"/>
  <c r="L469" i="17"/>
  <c r="Q469" i="17" s="1" a="1"/>
  <c r="Q469" i="17" s="1"/>
  <c r="L470" i="17"/>
  <c r="Q470" i="17" s="1" a="1"/>
  <c r="Q470" i="17" s="1"/>
  <c r="L471" i="17"/>
  <c r="Q471" i="17" s="1" a="1"/>
  <c r="Q471" i="17" s="1"/>
  <c r="L472" i="17"/>
  <c r="Q472" i="17" s="1" a="1"/>
  <c r="Q472" i="17" s="1"/>
  <c r="L473" i="17"/>
  <c r="Q473" i="17" s="1" a="1"/>
  <c r="Q473" i="17" s="1"/>
  <c r="L474" i="17"/>
  <c r="Q474" i="17" s="1" a="1"/>
  <c r="Q474" i="17" s="1"/>
  <c r="L475" i="17"/>
  <c r="Q475" i="17" s="1" a="1"/>
  <c r="Q475" i="17" s="1"/>
  <c r="L476" i="17"/>
  <c r="Q476" i="17" s="1" a="1"/>
  <c r="Q476" i="17" s="1"/>
  <c r="L477" i="17"/>
  <c r="Q477" i="17" s="1" a="1"/>
  <c r="Q477" i="17" s="1"/>
  <c r="L478" i="17"/>
  <c r="Q478" i="17" s="1" a="1"/>
  <c r="Q478" i="17" s="1"/>
  <c r="L479" i="17"/>
  <c r="Q479" i="17" s="1" a="1"/>
  <c r="Q479" i="17" s="1"/>
  <c r="L480" i="17"/>
  <c r="Q480" i="17" s="1" a="1"/>
  <c r="Q480" i="17" s="1"/>
  <c r="L481" i="17"/>
  <c r="Q481" i="17" s="1" a="1"/>
  <c r="Q481" i="17" s="1"/>
  <c r="L482" i="17"/>
  <c r="Q482" i="17" s="1" a="1"/>
  <c r="Q482" i="17" s="1"/>
  <c r="L483" i="17"/>
  <c r="Q483" i="17" s="1" a="1"/>
  <c r="Q483" i="17" s="1"/>
  <c r="L484" i="17"/>
  <c r="Q484" i="17" s="1" a="1"/>
  <c r="Q484" i="17" s="1"/>
  <c r="L485" i="17"/>
  <c r="Q485" i="17" s="1" a="1"/>
  <c r="Q485" i="17" s="1"/>
  <c r="L486" i="17"/>
  <c r="Q486" i="17" s="1" a="1"/>
  <c r="Q486" i="17" s="1"/>
  <c r="L487" i="17"/>
  <c r="Q487" i="17" s="1" a="1"/>
  <c r="Q487" i="17" s="1"/>
  <c r="L488" i="17"/>
  <c r="Q488" i="17" s="1" a="1"/>
  <c r="Q488" i="17" s="1"/>
  <c r="L489" i="17"/>
  <c r="Q489" i="17" s="1" a="1"/>
  <c r="Q489" i="17" s="1"/>
  <c r="L490" i="17"/>
  <c r="Q490" i="17" s="1" a="1"/>
  <c r="Q490" i="17" s="1"/>
  <c r="L491" i="17"/>
  <c r="Q491" i="17" s="1" a="1"/>
  <c r="Q491" i="17" s="1"/>
  <c r="L492" i="17"/>
  <c r="Q492" i="17" s="1" a="1"/>
  <c r="Q492" i="17" s="1"/>
  <c r="L493" i="17"/>
  <c r="Q493" i="17" s="1" a="1"/>
  <c r="Q493" i="17" s="1"/>
  <c r="L494" i="17"/>
  <c r="Q494" i="17" s="1" a="1"/>
  <c r="Q494" i="17" s="1"/>
  <c r="L495" i="17"/>
  <c r="Q495" i="17" s="1" a="1"/>
  <c r="Q495" i="17" s="1"/>
  <c r="L496" i="17"/>
  <c r="Q496" i="17" s="1" a="1"/>
  <c r="Q496" i="17" s="1"/>
  <c r="L497" i="17"/>
  <c r="Q497" i="17" s="1" a="1"/>
  <c r="Q497" i="17" s="1"/>
  <c r="L498" i="17"/>
  <c r="Q498" i="17" s="1" a="1"/>
  <c r="Q498" i="17" s="1"/>
  <c r="L499" i="17"/>
  <c r="Q499" i="17" s="1" a="1"/>
  <c r="Q499" i="17" s="1"/>
  <c r="L500" i="17"/>
  <c r="Q500" i="17" s="1" a="1"/>
  <c r="Q500" i="17" s="1"/>
  <c r="L501" i="17"/>
  <c r="Q501" i="17" s="1" a="1"/>
  <c r="Q501" i="17" s="1"/>
  <c r="L502" i="17"/>
  <c r="Q502" i="17" s="1" a="1"/>
  <c r="Q502" i="17" s="1"/>
  <c r="L503" i="17"/>
  <c r="Q503" i="17" s="1" a="1"/>
  <c r="Q503" i="17" s="1"/>
  <c r="L504" i="17"/>
  <c r="Q504" i="17" s="1" a="1"/>
  <c r="Q504" i="17" s="1"/>
  <c r="L505" i="17"/>
  <c r="Q505" i="17" s="1" a="1"/>
  <c r="Q505" i="17" s="1"/>
  <c r="L506" i="17"/>
  <c r="Q506" i="17" s="1" a="1"/>
  <c r="Q506" i="17" s="1"/>
  <c r="L507" i="17"/>
  <c r="Q507" i="17" s="1" a="1"/>
  <c r="Q507" i="17" s="1"/>
  <c r="L508" i="17"/>
  <c r="Q508" i="17" s="1" a="1"/>
  <c r="Q508" i="17" s="1"/>
  <c r="L509" i="17"/>
  <c r="Q509" i="17" s="1" a="1"/>
  <c r="Q509" i="17" s="1"/>
  <c r="L510" i="17"/>
  <c r="Q510" i="17" s="1" a="1"/>
  <c r="Q510" i="17" s="1"/>
  <c r="L511" i="17"/>
  <c r="Q511" i="17" s="1" a="1"/>
  <c r="Q511" i="17" s="1"/>
  <c r="L512" i="17"/>
  <c r="Q512" i="17" s="1" a="1"/>
  <c r="Q512" i="17" s="1"/>
  <c r="L513" i="17"/>
  <c r="Q513" i="17" s="1" a="1"/>
  <c r="Q513" i="17" s="1"/>
  <c r="L514" i="17"/>
  <c r="Q514" i="17" s="1" a="1"/>
  <c r="Q514" i="17" s="1"/>
  <c r="L515" i="17"/>
  <c r="Q515" i="17" s="1" a="1"/>
  <c r="Q515" i="17" s="1"/>
  <c r="L516" i="17"/>
  <c r="Q516" i="17" s="1" a="1"/>
  <c r="Q516" i="17" s="1"/>
  <c r="L517" i="17"/>
  <c r="Q517" i="17" s="1" a="1"/>
  <c r="Q517" i="17" s="1"/>
  <c r="L518" i="17"/>
  <c r="Q518" i="17" s="1" a="1"/>
  <c r="Q518" i="17" s="1"/>
  <c r="L519" i="17"/>
  <c r="Q519" i="17" s="1" a="1"/>
  <c r="Q519" i="17" s="1"/>
  <c r="L520" i="17"/>
  <c r="Q520" i="17" s="1" a="1"/>
  <c r="Q520" i="17" s="1"/>
  <c r="L521" i="17"/>
  <c r="Q521" i="17" s="1" a="1"/>
  <c r="Q521" i="17" s="1"/>
  <c r="L522" i="17"/>
  <c r="Q522" i="17" s="1" a="1"/>
  <c r="Q522" i="17" s="1"/>
  <c r="L523" i="17"/>
  <c r="Q523" i="17" s="1" a="1"/>
  <c r="Q523" i="17" s="1"/>
  <c r="L524" i="17"/>
  <c r="Q524" i="17" s="1" a="1"/>
  <c r="Q524" i="17" s="1"/>
  <c r="L525" i="17"/>
  <c r="Q525" i="17" s="1" a="1"/>
  <c r="Q525" i="17" s="1"/>
  <c r="L526" i="17"/>
  <c r="Q526" i="17" s="1" a="1"/>
  <c r="Q526" i="17" s="1"/>
  <c r="L527" i="17"/>
  <c r="Q527" i="17" s="1" a="1"/>
  <c r="Q527" i="17" s="1"/>
  <c r="L528" i="17"/>
  <c r="Q528" i="17" s="1" a="1"/>
  <c r="Q528" i="17" s="1"/>
  <c r="L529" i="17"/>
  <c r="Q529" i="17" s="1" a="1"/>
  <c r="Q529" i="17" s="1"/>
  <c r="L530" i="17"/>
  <c r="Q530" i="17" s="1" a="1"/>
  <c r="Q530" i="17" s="1"/>
  <c r="L531" i="17"/>
  <c r="Q531" i="17" s="1" a="1"/>
  <c r="Q531" i="17" s="1"/>
  <c r="L532" i="17"/>
  <c r="Q532" i="17" s="1" a="1"/>
  <c r="Q532" i="17" s="1"/>
  <c r="L533" i="17"/>
  <c r="Q533" i="17" s="1" a="1"/>
  <c r="Q533" i="17" s="1"/>
  <c r="L534" i="17"/>
  <c r="Q534" i="17" s="1" a="1"/>
  <c r="Q534" i="17" s="1"/>
  <c r="L535" i="17"/>
  <c r="Q535" i="17" s="1" a="1"/>
  <c r="Q535" i="17" s="1"/>
  <c r="L536" i="17"/>
  <c r="Q536" i="17" s="1" a="1"/>
  <c r="Q536" i="17" s="1"/>
  <c r="L537" i="17"/>
  <c r="Q537" i="17" s="1" a="1"/>
  <c r="Q537" i="17" s="1"/>
  <c r="L538" i="17"/>
  <c r="Q538" i="17" s="1" a="1"/>
  <c r="Q538" i="17" s="1"/>
  <c r="L539" i="17"/>
  <c r="Q539" i="17" s="1" a="1"/>
  <c r="Q539" i="17" s="1"/>
  <c r="L540" i="17"/>
  <c r="Q540" i="17" s="1" a="1"/>
  <c r="Q540" i="17" s="1"/>
  <c r="L541" i="17"/>
  <c r="Q541" i="17" s="1" a="1"/>
  <c r="Q541" i="17" s="1"/>
  <c r="L542" i="17"/>
  <c r="Q542" i="17" s="1" a="1"/>
  <c r="Q542" i="17" s="1"/>
  <c r="L543" i="17"/>
  <c r="Q543" i="17" s="1" a="1"/>
  <c r="Q543" i="17" s="1"/>
  <c r="L544" i="17"/>
  <c r="Q544" i="17" s="1" a="1"/>
  <c r="Q544" i="17" s="1"/>
  <c r="L545" i="17"/>
  <c r="Q545" i="17" s="1" a="1"/>
  <c r="Q545" i="17" s="1"/>
  <c r="L546" i="17"/>
  <c r="Q546" i="17" s="1" a="1"/>
  <c r="Q546" i="17" s="1"/>
  <c r="L547" i="17"/>
  <c r="Q547" i="17" s="1" a="1"/>
  <c r="Q547" i="17" s="1"/>
  <c r="L548" i="17"/>
  <c r="Q548" i="17" s="1" a="1"/>
  <c r="Q548" i="17" s="1"/>
  <c r="L549" i="17"/>
  <c r="Q549" i="17" s="1" a="1"/>
  <c r="Q549" i="17" s="1"/>
  <c r="L550" i="17"/>
  <c r="Q550" i="17" s="1" a="1"/>
  <c r="Q550" i="17" s="1"/>
  <c r="L551" i="17"/>
  <c r="Q551" i="17" s="1" a="1"/>
  <c r="Q551" i="17" s="1"/>
  <c r="L552" i="17"/>
  <c r="Q552" i="17" s="1" a="1"/>
  <c r="Q552" i="17" s="1"/>
  <c r="L553" i="17"/>
  <c r="Q553" i="17" s="1" a="1"/>
  <c r="Q553" i="17" s="1"/>
  <c r="L554" i="17"/>
  <c r="Q554" i="17" s="1" a="1"/>
  <c r="Q554" i="17" s="1"/>
  <c r="L555" i="17"/>
  <c r="Q555" i="17" s="1" a="1"/>
  <c r="Q555" i="17" s="1"/>
  <c r="L556" i="17"/>
  <c r="Q556" i="17" s="1" a="1"/>
  <c r="Q556" i="17" s="1"/>
  <c r="L557" i="17"/>
  <c r="Q557" i="17" s="1" a="1"/>
  <c r="Q557" i="17" s="1"/>
  <c r="L558" i="17"/>
  <c r="Q558" i="17" s="1" a="1"/>
  <c r="Q558" i="17" s="1"/>
  <c r="L559" i="17"/>
  <c r="Q559" i="17" s="1" a="1"/>
  <c r="Q559" i="17" s="1"/>
  <c r="L560" i="17"/>
  <c r="Q560" i="17" s="1" a="1"/>
  <c r="Q560" i="17" s="1"/>
  <c r="L561" i="17"/>
  <c r="Q561" i="17" s="1" a="1"/>
  <c r="Q561" i="17" s="1"/>
  <c r="L562" i="17"/>
  <c r="Q562" i="17" s="1" a="1"/>
  <c r="Q562" i="17" s="1"/>
  <c r="L563" i="17"/>
  <c r="Q563" i="17" s="1" a="1"/>
  <c r="Q563" i="17" s="1"/>
  <c r="L564" i="17"/>
  <c r="Q564" i="17" s="1" a="1"/>
  <c r="Q564" i="17" s="1"/>
  <c r="L565" i="17"/>
  <c r="Q565" i="17" s="1" a="1"/>
  <c r="Q565" i="17" s="1"/>
  <c r="L566" i="17"/>
  <c r="Q566" i="17" s="1" a="1"/>
  <c r="Q566" i="17" s="1"/>
  <c r="L567" i="17"/>
  <c r="Q567" i="17" s="1" a="1"/>
  <c r="Q567" i="17" s="1"/>
  <c r="L568" i="17"/>
  <c r="Q568" i="17" s="1" a="1"/>
  <c r="Q568" i="17" s="1"/>
  <c r="L569" i="17"/>
  <c r="Q569" i="17" s="1" a="1"/>
  <c r="Q569" i="17" s="1"/>
  <c r="L570" i="17"/>
  <c r="Q570" i="17" s="1" a="1"/>
  <c r="Q570" i="17" s="1"/>
  <c r="L571" i="17"/>
  <c r="Q571" i="17" s="1" a="1"/>
  <c r="Q571" i="17" s="1"/>
  <c r="L572" i="17"/>
  <c r="Q572" i="17" s="1" a="1"/>
  <c r="Q572" i="17" s="1"/>
  <c r="L573" i="17"/>
  <c r="Q573" i="17" s="1" a="1"/>
  <c r="Q573" i="17" s="1"/>
  <c r="L574" i="17"/>
  <c r="Q574" i="17" s="1" a="1"/>
  <c r="Q574" i="17" s="1"/>
  <c r="L575" i="17"/>
  <c r="Q575" i="17" s="1" a="1"/>
  <c r="Q575" i="17" s="1"/>
  <c r="L576" i="17"/>
  <c r="Q576" i="17" s="1" a="1"/>
  <c r="Q576" i="17" s="1"/>
  <c r="L577" i="17"/>
  <c r="Q577" i="17" s="1" a="1"/>
  <c r="Q577" i="17" s="1"/>
  <c r="L578" i="17"/>
  <c r="Q578" i="17" s="1" a="1"/>
  <c r="Q578" i="17" s="1"/>
  <c r="L579" i="17"/>
  <c r="Q579" i="17" s="1" a="1"/>
  <c r="Q579" i="17" s="1"/>
  <c r="L580" i="17"/>
  <c r="Q580" i="17" s="1" a="1"/>
  <c r="Q580" i="17" s="1"/>
  <c r="L581" i="17"/>
  <c r="Q581" i="17" s="1" a="1"/>
  <c r="Q581" i="17" s="1"/>
  <c r="L582" i="17"/>
  <c r="Q582" i="17" s="1" a="1"/>
  <c r="Q582" i="17" s="1"/>
  <c r="L583" i="17"/>
  <c r="Q583" i="17" s="1" a="1"/>
  <c r="Q583" i="17" s="1"/>
  <c r="L584" i="17"/>
  <c r="Q584" i="17" s="1" a="1"/>
  <c r="Q584" i="17" s="1"/>
  <c r="L585" i="17"/>
  <c r="Q585" i="17" s="1" a="1"/>
  <c r="Q585" i="17" s="1"/>
  <c r="L586" i="17"/>
  <c r="Q586" i="17" s="1" a="1"/>
  <c r="Q586" i="17" s="1"/>
  <c r="L587" i="17"/>
  <c r="Q587" i="17" s="1" a="1"/>
  <c r="Q587" i="17" s="1"/>
  <c r="L588" i="17"/>
  <c r="Q588" i="17" s="1" a="1"/>
  <c r="Q588" i="17" s="1"/>
  <c r="L589" i="17"/>
  <c r="Q589" i="17" s="1" a="1"/>
  <c r="Q589" i="17" s="1"/>
  <c r="L590" i="17"/>
  <c r="Q590" i="17" s="1" a="1"/>
  <c r="Q590" i="17" s="1"/>
  <c r="L591" i="17"/>
  <c r="Q591" i="17" s="1" a="1"/>
  <c r="Q591" i="17" s="1"/>
  <c r="L592" i="17"/>
  <c r="Q592" i="17" s="1" a="1"/>
  <c r="Q592" i="17" s="1"/>
  <c r="L593" i="17"/>
  <c r="Q593" i="17" s="1" a="1"/>
  <c r="Q593" i="17" s="1"/>
  <c r="L594" i="17"/>
  <c r="Q594" i="17" s="1" a="1"/>
  <c r="Q594" i="17" s="1"/>
  <c r="L595" i="17"/>
  <c r="Q595" i="17" s="1" a="1"/>
  <c r="Q595" i="17" s="1"/>
  <c r="L596" i="17"/>
  <c r="Q596" i="17" s="1" a="1"/>
  <c r="Q596" i="17" s="1"/>
  <c r="L597" i="17"/>
  <c r="Q597" i="17" s="1" a="1"/>
  <c r="Q597" i="17" s="1"/>
  <c r="L598" i="17"/>
  <c r="Q598" i="17" s="1" a="1"/>
  <c r="Q598" i="17" s="1"/>
  <c r="L599" i="17"/>
  <c r="Q599" i="17" s="1" a="1"/>
  <c r="Q599" i="17" s="1"/>
  <c r="L600" i="17"/>
  <c r="Q600" i="17" s="1" a="1"/>
  <c r="Q600" i="17" s="1"/>
  <c r="L601" i="17"/>
  <c r="Q601" i="17" s="1" a="1"/>
  <c r="Q601" i="17" s="1"/>
  <c r="L602" i="17"/>
  <c r="Q602" i="17" s="1" a="1"/>
  <c r="Q602" i="17" s="1"/>
  <c r="L603" i="17"/>
  <c r="Q603" i="17" s="1" a="1"/>
  <c r="Q603" i="17" s="1"/>
  <c r="L604" i="17"/>
  <c r="Q604" i="17" s="1" a="1"/>
  <c r="Q604" i="17" s="1"/>
  <c r="L605" i="17"/>
  <c r="Q605" i="17" s="1" a="1"/>
  <c r="Q605" i="17" s="1"/>
  <c r="L606" i="17"/>
  <c r="Q606" i="17" s="1" a="1"/>
  <c r="Q606" i="17" s="1"/>
  <c r="L607" i="17"/>
  <c r="Q607" i="17" s="1" a="1"/>
  <c r="Q607" i="17" s="1"/>
  <c r="L608" i="17"/>
  <c r="Q608" i="17" s="1" a="1"/>
  <c r="Q608" i="17" s="1"/>
  <c r="L609" i="17"/>
  <c r="Q609" i="17" s="1" a="1"/>
  <c r="Q609" i="17" s="1"/>
  <c r="L610" i="17"/>
  <c r="Q610" i="17" s="1" a="1"/>
  <c r="Q610" i="17" s="1"/>
  <c r="L611" i="17"/>
  <c r="Q611" i="17" s="1" a="1"/>
  <c r="Q611" i="17" s="1"/>
  <c r="L612" i="17"/>
  <c r="Q612" i="17" s="1" a="1"/>
  <c r="Q612" i="17" s="1"/>
  <c r="L613" i="17"/>
  <c r="Q613" i="17" s="1" a="1"/>
  <c r="Q613" i="17" s="1"/>
  <c r="L614" i="17"/>
  <c r="Q614" i="17" s="1" a="1"/>
  <c r="Q614" i="17" s="1"/>
  <c r="L615" i="17"/>
  <c r="Q615" i="17" s="1" a="1"/>
  <c r="Q615" i="17" s="1"/>
  <c r="L616" i="17"/>
  <c r="Q616" i="17" s="1" a="1"/>
  <c r="Q616" i="17" s="1"/>
  <c r="L617" i="17"/>
  <c r="Q617" i="17" s="1" a="1"/>
  <c r="Q617" i="17" s="1"/>
  <c r="L618" i="17"/>
  <c r="Q618" i="17" s="1" a="1"/>
  <c r="Q618" i="17" s="1"/>
  <c r="L619" i="17"/>
  <c r="Q619" i="17" s="1" a="1"/>
  <c r="Q619" i="17" s="1"/>
  <c r="L620" i="17"/>
  <c r="Q620" i="17" s="1" a="1"/>
  <c r="Q620" i="17" s="1"/>
  <c r="L621" i="17"/>
  <c r="Q621" i="17" s="1" a="1"/>
  <c r="Q621" i="17" s="1"/>
  <c r="L622" i="17"/>
  <c r="Q622" i="17" s="1" a="1"/>
  <c r="Q622" i="17" s="1"/>
  <c r="L623" i="17"/>
  <c r="Q623" i="17" s="1" a="1"/>
  <c r="Q623" i="17" s="1"/>
  <c r="L624" i="17"/>
  <c r="Q624" i="17" s="1" a="1"/>
  <c r="Q624" i="17" s="1"/>
  <c r="L625" i="17"/>
  <c r="Q625" i="17" s="1" a="1"/>
  <c r="Q625" i="17" s="1"/>
  <c r="L626" i="17"/>
  <c r="Q626" i="17" s="1" a="1"/>
  <c r="Q626" i="17" s="1"/>
  <c r="L627" i="17"/>
  <c r="Q627" i="17" s="1" a="1"/>
  <c r="Q627" i="17" s="1"/>
  <c r="L628" i="17"/>
  <c r="Q628" i="17" s="1" a="1"/>
  <c r="Q628" i="17" s="1"/>
  <c r="L629" i="17"/>
  <c r="Q629" i="17" s="1" a="1"/>
  <c r="Q629" i="17" s="1"/>
  <c r="L630" i="17"/>
  <c r="Q630" i="17" s="1" a="1"/>
  <c r="Q630" i="17" s="1"/>
  <c r="L631" i="17"/>
  <c r="Q631" i="17" s="1" a="1"/>
  <c r="Q631" i="17" s="1"/>
  <c r="L632" i="17"/>
  <c r="Q632" i="17" s="1" a="1"/>
  <c r="Q632" i="17" s="1"/>
  <c r="L633" i="17"/>
  <c r="Q633" i="17" s="1" a="1"/>
  <c r="Q633" i="17" s="1"/>
  <c r="L634" i="17"/>
  <c r="Q634" i="17" s="1" a="1"/>
  <c r="Q634" i="17" s="1"/>
  <c r="L635" i="17"/>
  <c r="Q635" i="17" s="1" a="1"/>
  <c r="Q635" i="17" s="1"/>
  <c r="L636" i="17"/>
  <c r="Q636" i="17" s="1" a="1"/>
  <c r="Q636" i="17" s="1"/>
  <c r="L637" i="17"/>
  <c r="Q637" i="17" s="1" a="1"/>
  <c r="Q637" i="17" s="1"/>
  <c r="L638" i="17"/>
  <c r="Q638" i="17" s="1" a="1"/>
  <c r="Q638" i="17" s="1"/>
  <c r="L639" i="17"/>
  <c r="Q639" i="17" s="1" a="1"/>
  <c r="Q639" i="17" s="1"/>
  <c r="L640" i="17"/>
  <c r="Q640" i="17" s="1" a="1"/>
  <c r="Q640" i="17" s="1"/>
  <c r="L641" i="17"/>
  <c r="Q641" i="17" s="1" a="1"/>
  <c r="Q641" i="17" s="1"/>
  <c r="L642" i="17"/>
  <c r="Q642" i="17" s="1" a="1"/>
  <c r="Q642" i="17" s="1"/>
  <c r="L643" i="17"/>
  <c r="Q643" i="17" s="1" a="1"/>
  <c r="Q643" i="17" s="1"/>
  <c r="L644" i="17"/>
  <c r="Q644" i="17" s="1" a="1"/>
  <c r="Q644" i="17" s="1"/>
  <c r="L645" i="17"/>
  <c r="Q645" i="17" s="1" a="1"/>
  <c r="Q645" i="17" s="1"/>
  <c r="L646" i="17"/>
  <c r="Q646" i="17" s="1" a="1"/>
  <c r="Q646" i="17" s="1"/>
  <c r="L647" i="17"/>
  <c r="Q647" i="17" s="1" a="1"/>
  <c r="Q647" i="17" s="1"/>
  <c r="L648" i="17"/>
  <c r="Q648" i="17" s="1" a="1"/>
  <c r="Q648" i="17" s="1"/>
  <c r="L649" i="17"/>
  <c r="Q649" i="17" s="1" a="1"/>
  <c r="Q649" i="17" s="1"/>
  <c r="L650" i="17"/>
  <c r="Q650" i="17" s="1" a="1"/>
  <c r="Q650" i="17" s="1"/>
  <c r="L651" i="17"/>
  <c r="Q651" i="17" s="1" a="1"/>
  <c r="Q651" i="17" s="1"/>
  <c r="L652" i="17"/>
  <c r="Q652" i="17" s="1" a="1"/>
  <c r="Q652" i="17" s="1"/>
  <c r="L653" i="17"/>
  <c r="Q653" i="17" s="1" a="1"/>
  <c r="Q653" i="17" s="1"/>
  <c r="L654" i="17"/>
  <c r="Q654" i="17" s="1" a="1"/>
  <c r="Q654" i="17" s="1"/>
  <c r="L655" i="17"/>
  <c r="Q655" i="17" s="1" a="1"/>
  <c r="Q655" i="17" s="1"/>
  <c r="L656" i="17"/>
  <c r="Q656" i="17" s="1" a="1"/>
  <c r="Q656" i="17" s="1"/>
  <c r="L657" i="17"/>
  <c r="Q657" i="17" s="1" a="1"/>
  <c r="Q657" i="17" s="1"/>
  <c r="L658" i="17"/>
  <c r="Q658" i="17" s="1" a="1"/>
  <c r="Q658" i="17" s="1"/>
  <c r="L659" i="17"/>
  <c r="Q659" i="17" s="1" a="1"/>
  <c r="Q659" i="17" s="1"/>
  <c r="L660" i="17"/>
  <c r="Q660" i="17" s="1" a="1"/>
  <c r="Q660" i="17" s="1"/>
  <c r="L661" i="17"/>
  <c r="Q661" i="17" s="1" a="1"/>
  <c r="Q661" i="17" s="1"/>
  <c r="L662" i="17"/>
  <c r="Q662" i="17" s="1" a="1"/>
  <c r="Q662" i="17" s="1"/>
  <c r="L663" i="17"/>
  <c r="Q663" i="17" s="1" a="1"/>
  <c r="Q663" i="17" s="1"/>
  <c r="L664" i="17"/>
  <c r="Q664" i="17" s="1" a="1"/>
  <c r="Q664" i="17" s="1"/>
  <c r="L665" i="17"/>
  <c r="Q665" i="17" s="1" a="1"/>
  <c r="Q665" i="17" s="1"/>
  <c r="L666" i="17"/>
  <c r="Q666" i="17" s="1" a="1"/>
  <c r="Q666" i="17" s="1"/>
  <c r="L667" i="17"/>
  <c r="Q667" i="17" s="1" a="1"/>
  <c r="Q667" i="17" s="1"/>
  <c r="L668" i="17"/>
  <c r="Q668" i="17" s="1" a="1"/>
  <c r="Q668" i="17" s="1"/>
  <c r="L669" i="17"/>
  <c r="Q669" i="17" s="1" a="1"/>
  <c r="Q669" i="17" s="1"/>
  <c r="L670" i="17"/>
  <c r="Q670" i="17" s="1" a="1"/>
  <c r="Q670" i="17" s="1"/>
  <c r="L671" i="17"/>
  <c r="Q671" i="17" s="1" a="1"/>
  <c r="Q671" i="17" s="1"/>
  <c r="L672" i="17"/>
  <c r="Q672" i="17" s="1" a="1"/>
  <c r="Q672" i="17" s="1"/>
  <c r="L673" i="17"/>
  <c r="Q673" i="17" s="1" a="1"/>
  <c r="Q673" i="17" s="1"/>
  <c r="L674" i="17"/>
  <c r="Q674" i="17" s="1" a="1"/>
  <c r="Q674" i="17" s="1"/>
  <c r="L675" i="17"/>
  <c r="Q675" i="17" s="1" a="1"/>
  <c r="Q675" i="17" s="1"/>
  <c r="L676" i="17"/>
  <c r="Q676" i="17" s="1" a="1"/>
  <c r="Q676" i="17" s="1"/>
  <c r="L677" i="17"/>
  <c r="Q677" i="17" s="1" a="1"/>
  <c r="Q677" i="17" s="1"/>
  <c r="L678" i="17"/>
  <c r="Q678" i="17" s="1" a="1"/>
  <c r="Q678" i="17" s="1"/>
  <c r="L679" i="17"/>
  <c r="Q679" i="17" s="1" a="1"/>
  <c r="Q679" i="17" s="1"/>
  <c r="L680" i="17"/>
  <c r="Q680" i="17" s="1" a="1"/>
  <c r="Q680" i="17" s="1"/>
  <c r="L681" i="17"/>
  <c r="Q681" i="17" s="1" a="1"/>
  <c r="Q681" i="17" s="1"/>
  <c r="L682" i="17"/>
  <c r="Q682" i="17" s="1" a="1"/>
  <c r="Q682" i="17" s="1"/>
  <c r="L683" i="17"/>
  <c r="Q683" i="17" s="1" a="1"/>
  <c r="Q683" i="17" s="1"/>
  <c r="L684" i="17"/>
  <c r="Q684" i="17" s="1" a="1"/>
  <c r="Q684" i="17" s="1"/>
  <c r="L685" i="17"/>
  <c r="Q685" i="17" s="1" a="1"/>
  <c r="Q685" i="17" s="1"/>
  <c r="L686" i="17"/>
  <c r="Q686" i="17" s="1" a="1"/>
  <c r="Q686" i="17" s="1"/>
  <c r="L687" i="17"/>
  <c r="Q687" i="17" s="1" a="1"/>
  <c r="Q687" i="17" s="1"/>
  <c r="L688" i="17"/>
  <c r="Q688" i="17" s="1" a="1"/>
  <c r="Q688" i="17" s="1"/>
  <c r="L689" i="17"/>
  <c r="Q689" i="17" s="1" a="1"/>
  <c r="Q689" i="17" s="1"/>
  <c r="L690" i="17"/>
  <c r="Q690" i="17" s="1" a="1"/>
  <c r="Q690" i="17" s="1"/>
  <c r="L691" i="17"/>
  <c r="Q691" i="17" s="1" a="1"/>
  <c r="Q691" i="17" s="1"/>
  <c r="L692" i="17"/>
  <c r="Q692" i="17" s="1" a="1"/>
  <c r="Q692" i="17" s="1"/>
  <c r="L693" i="17"/>
  <c r="Q693" i="17" s="1" a="1"/>
  <c r="Q693" i="17" s="1"/>
  <c r="L694" i="17"/>
  <c r="Q694" i="17" s="1" a="1"/>
  <c r="Q694" i="17" s="1"/>
  <c r="L695" i="17"/>
  <c r="Q695" i="17" s="1" a="1"/>
  <c r="Q695" i="17" s="1"/>
  <c r="L696" i="17"/>
  <c r="Q696" i="17" s="1" a="1"/>
  <c r="Q696" i="17" s="1"/>
  <c r="L697" i="17"/>
  <c r="Q697" i="17" s="1" a="1"/>
  <c r="Q697" i="17" s="1"/>
  <c r="L698" i="17"/>
  <c r="Q698" i="17" s="1" a="1"/>
  <c r="Q698" i="17" s="1"/>
  <c r="L699" i="17"/>
  <c r="Q699" i="17" s="1" a="1"/>
  <c r="Q699" i="17" s="1"/>
  <c r="L700" i="17"/>
  <c r="Q700" i="17" s="1" a="1"/>
  <c r="Q700" i="17" s="1"/>
  <c r="L701" i="17"/>
  <c r="Q701" i="17" s="1" a="1"/>
  <c r="Q701" i="17" s="1"/>
  <c r="L702" i="17"/>
  <c r="Q702" i="17" s="1" a="1"/>
  <c r="Q702" i="17" s="1"/>
  <c r="L703" i="17"/>
  <c r="Q703" i="17" s="1" a="1"/>
  <c r="Q703" i="17" s="1"/>
  <c r="L704" i="17"/>
  <c r="Q704" i="17" s="1" a="1"/>
  <c r="Q704" i="17" s="1"/>
  <c r="L705" i="17"/>
  <c r="Q705" i="17" s="1" a="1"/>
  <c r="Q705" i="17" s="1"/>
  <c r="L706" i="17"/>
  <c r="Q706" i="17" s="1" a="1"/>
  <c r="Q706" i="17" s="1"/>
  <c r="L707" i="17"/>
  <c r="Q707" i="17" s="1" a="1"/>
  <c r="Q707" i="17" s="1"/>
  <c r="L708" i="17"/>
  <c r="Q708" i="17" s="1" a="1"/>
  <c r="Q708" i="17" s="1"/>
  <c r="L709" i="17"/>
  <c r="Q709" i="17" s="1" a="1"/>
  <c r="Q709" i="17" s="1"/>
  <c r="L710" i="17"/>
  <c r="Q710" i="17" s="1" a="1"/>
  <c r="Q710" i="17" s="1"/>
  <c r="L711" i="17"/>
  <c r="Q711" i="17" s="1" a="1"/>
  <c r="Q711" i="17" s="1"/>
  <c r="L712" i="17"/>
  <c r="Q712" i="17" s="1" a="1"/>
  <c r="Q712" i="17" s="1"/>
  <c r="L713" i="17"/>
  <c r="Q713" i="17" s="1" a="1"/>
  <c r="Q713" i="17" s="1"/>
  <c r="L714" i="17"/>
  <c r="Q714" i="17" s="1" a="1"/>
  <c r="Q714" i="17" s="1"/>
  <c r="L715" i="17"/>
  <c r="Q715" i="17" s="1" a="1"/>
  <c r="Q715" i="17" s="1"/>
  <c r="L716" i="17"/>
  <c r="Q716" i="17" s="1" a="1"/>
  <c r="Q716" i="17" s="1"/>
  <c r="L717" i="17"/>
  <c r="Q717" i="17" s="1" a="1"/>
  <c r="Q717" i="17" s="1"/>
  <c r="L718" i="17"/>
  <c r="Q718" i="17" s="1" a="1"/>
  <c r="Q718" i="17" s="1"/>
  <c r="L719" i="17"/>
  <c r="Q719" i="17" s="1" a="1"/>
  <c r="Q719" i="17" s="1"/>
  <c r="L720" i="17"/>
  <c r="Q720" i="17" s="1" a="1"/>
  <c r="Q720" i="17" s="1"/>
  <c r="L721" i="17"/>
  <c r="Q721" i="17" s="1" a="1"/>
  <c r="Q721" i="17" s="1"/>
  <c r="L722" i="17"/>
  <c r="Q722" i="17" s="1" a="1"/>
  <c r="Q722" i="17" s="1"/>
  <c r="L723" i="17"/>
  <c r="Q723" i="17" s="1" a="1"/>
  <c r="Q723" i="17" s="1"/>
  <c r="L724" i="17"/>
  <c r="Q724" i="17" s="1" a="1"/>
  <c r="Q724" i="17" s="1"/>
  <c r="L725" i="17"/>
  <c r="Q725" i="17" s="1" a="1"/>
  <c r="Q725" i="17" s="1"/>
  <c r="L726" i="17"/>
  <c r="Q726" i="17" s="1" a="1"/>
  <c r="Q726" i="17" s="1"/>
  <c r="L727" i="17"/>
  <c r="Q727" i="17" s="1" a="1"/>
  <c r="Q727" i="17" s="1"/>
  <c r="L728" i="17"/>
  <c r="Q728" i="17" s="1" a="1"/>
  <c r="Q728" i="17" s="1"/>
  <c r="L729" i="17"/>
  <c r="Q729" i="17" s="1" a="1"/>
  <c r="Q729" i="17" s="1"/>
  <c r="L730" i="17"/>
  <c r="Q730" i="17" s="1" a="1"/>
  <c r="Q730" i="17" s="1"/>
  <c r="L731" i="17"/>
  <c r="Q731" i="17" s="1" a="1"/>
  <c r="Q731" i="17" s="1"/>
  <c r="L732" i="17"/>
  <c r="Q732" i="17" s="1" a="1"/>
  <c r="Q732" i="17" s="1"/>
  <c r="L733" i="17"/>
  <c r="Q733" i="17" s="1" a="1"/>
  <c r="Q733" i="17" s="1"/>
  <c r="L734" i="17"/>
  <c r="Q734" i="17" s="1" a="1"/>
  <c r="Q734" i="17" s="1"/>
  <c r="L735" i="17"/>
  <c r="Q735" i="17" s="1" a="1"/>
  <c r="Q735" i="17" s="1"/>
  <c r="L736" i="17"/>
  <c r="Q736" i="17" s="1" a="1"/>
  <c r="Q736" i="17" s="1"/>
  <c r="L737" i="17"/>
  <c r="Q737" i="17" s="1" a="1"/>
  <c r="Q737" i="17" s="1"/>
  <c r="L738" i="17"/>
  <c r="Q738" i="17" s="1" a="1"/>
  <c r="Q738" i="17" s="1"/>
  <c r="L739" i="17"/>
  <c r="Q739" i="17" s="1" a="1"/>
  <c r="Q739" i="17" s="1"/>
  <c r="L740" i="17"/>
  <c r="Q740" i="17" s="1" a="1"/>
  <c r="Q740" i="17" s="1"/>
  <c r="L741" i="17"/>
  <c r="Q741" i="17" s="1" a="1"/>
  <c r="Q741" i="17" s="1"/>
  <c r="L742" i="17"/>
  <c r="Q742" i="17" s="1" a="1"/>
  <c r="Q742" i="17" s="1"/>
  <c r="L743" i="17"/>
  <c r="Q743" i="17" s="1" a="1"/>
  <c r="Q743" i="17" s="1"/>
  <c r="L744" i="17"/>
  <c r="Q744" i="17" s="1" a="1"/>
  <c r="Q744" i="17" s="1"/>
  <c r="L745" i="17"/>
  <c r="Q745" i="17" s="1" a="1"/>
  <c r="Q745" i="17" s="1"/>
  <c r="L746" i="17"/>
  <c r="Q746" i="17" s="1" a="1"/>
  <c r="Q746" i="17" s="1"/>
  <c r="L747" i="17"/>
  <c r="Q747" i="17" s="1" a="1"/>
  <c r="Q747" i="17" s="1"/>
  <c r="L748" i="17"/>
  <c r="Q748" i="17" s="1" a="1"/>
  <c r="Q748" i="17" s="1"/>
  <c r="L749" i="17"/>
  <c r="Q749" i="17" s="1" a="1"/>
  <c r="Q749" i="17" s="1"/>
  <c r="L750" i="17"/>
  <c r="Q750" i="17" s="1" a="1"/>
  <c r="Q750" i="17" s="1"/>
  <c r="L751" i="17"/>
  <c r="Q751" i="17" s="1" a="1"/>
  <c r="Q751" i="17" s="1"/>
  <c r="L752" i="17"/>
  <c r="Q752" i="17" s="1" a="1"/>
  <c r="Q752" i="17" s="1"/>
  <c r="L753" i="17"/>
  <c r="Q753" i="17" s="1" a="1"/>
  <c r="Q753" i="17" s="1"/>
  <c r="L754" i="17"/>
  <c r="Q754" i="17" s="1" a="1"/>
  <c r="Q754" i="17" s="1"/>
  <c r="L755" i="17"/>
  <c r="Q755" i="17" s="1" a="1"/>
  <c r="Q755" i="17" s="1"/>
  <c r="L756" i="17"/>
  <c r="Q756" i="17" s="1" a="1"/>
  <c r="Q756" i="17" s="1"/>
  <c r="L757" i="17"/>
  <c r="Q757" i="17" s="1" a="1"/>
  <c r="Q757" i="17" s="1"/>
  <c r="L758" i="17"/>
  <c r="Q758" i="17" s="1" a="1"/>
  <c r="Q758" i="17" s="1"/>
  <c r="L759" i="17"/>
  <c r="Q759" i="17" s="1" a="1"/>
  <c r="Q759" i="17" s="1"/>
  <c r="L760" i="17"/>
  <c r="Q760" i="17" s="1" a="1"/>
  <c r="Q760" i="17" s="1"/>
  <c r="L761" i="17"/>
  <c r="Q761" i="17" s="1" a="1"/>
  <c r="Q761" i="17" s="1"/>
  <c r="L762" i="17"/>
  <c r="Q762" i="17" s="1" a="1"/>
  <c r="Q762" i="17" s="1"/>
  <c r="L763" i="17"/>
  <c r="Q763" i="17" s="1" a="1"/>
  <c r="Q763" i="17" s="1"/>
  <c r="L764" i="17"/>
  <c r="Q764" i="17" s="1" a="1"/>
  <c r="Q764" i="17" s="1"/>
  <c r="L765" i="17"/>
  <c r="Q765" i="17" s="1" a="1"/>
  <c r="Q765" i="17" s="1"/>
  <c r="L766" i="17"/>
  <c r="Q766" i="17" s="1" a="1"/>
  <c r="Q766" i="17" s="1"/>
  <c r="L767" i="17"/>
  <c r="Q767" i="17" s="1" a="1"/>
  <c r="Q767" i="17" s="1"/>
  <c r="L768" i="17"/>
  <c r="Q768" i="17" s="1" a="1"/>
  <c r="Q768" i="17" s="1"/>
  <c r="L769" i="17"/>
  <c r="Q769" i="17" s="1" a="1"/>
  <c r="Q769" i="17" s="1"/>
  <c r="L770" i="17"/>
  <c r="Q770" i="17" s="1" a="1"/>
  <c r="Q770" i="17" s="1"/>
  <c r="L771" i="17"/>
  <c r="Q771" i="17" s="1" a="1"/>
  <c r="Q771" i="17" s="1"/>
  <c r="L772" i="17"/>
  <c r="Q772" i="17" s="1" a="1"/>
  <c r="Q772" i="17" s="1"/>
  <c r="L773" i="17"/>
  <c r="Q773" i="17" s="1" a="1"/>
  <c r="Q773" i="17" s="1"/>
  <c r="L774" i="17"/>
  <c r="Q774" i="17" s="1" a="1"/>
  <c r="Q774" i="17" s="1"/>
  <c r="L775" i="17"/>
  <c r="Q775" i="17" s="1" a="1"/>
  <c r="Q775" i="17" s="1"/>
  <c r="L776" i="17"/>
  <c r="Q776" i="17" s="1" a="1"/>
  <c r="Q776" i="17" s="1"/>
  <c r="L777" i="17"/>
  <c r="Q777" i="17" s="1" a="1"/>
  <c r="Q777" i="17" s="1"/>
  <c r="L778" i="17"/>
  <c r="Q778" i="17" s="1" a="1"/>
  <c r="Q778" i="17" s="1"/>
  <c r="L779" i="17"/>
  <c r="Q779" i="17" s="1" a="1"/>
  <c r="Q779" i="17" s="1"/>
  <c r="L780" i="17"/>
  <c r="Q780" i="17" s="1" a="1"/>
  <c r="Q780" i="17" s="1"/>
  <c r="L781" i="17"/>
  <c r="Q781" i="17" s="1" a="1"/>
  <c r="Q781" i="17" s="1"/>
  <c r="L782" i="17"/>
  <c r="Q782" i="17" s="1" a="1"/>
  <c r="Q782" i="17" s="1"/>
  <c r="L783" i="17"/>
  <c r="Q783" i="17" s="1" a="1"/>
  <c r="Q783" i="17" s="1"/>
  <c r="L784" i="17"/>
  <c r="Q784" i="17" s="1" a="1"/>
  <c r="Q784" i="17" s="1"/>
  <c r="L785" i="17"/>
  <c r="Q785" i="17" s="1" a="1"/>
  <c r="Q785" i="17" s="1"/>
  <c r="L786" i="17"/>
  <c r="Q786" i="17" s="1" a="1"/>
  <c r="Q786" i="17" s="1"/>
  <c r="L787" i="17"/>
  <c r="Q787" i="17" s="1" a="1"/>
  <c r="Q787" i="17" s="1"/>
  <c r="L788" i="17"/>
  <c r="Q788" i="17" s="1" a="1"/>
  <c r="Q788" i="17" s="1"/>
  <c r="L789" i="17"/>
  <c r="Q789" i="17" s="1" a="1"/>
  <c r="Q789" i="17" s="1"/>
  <c r="L790" i="17"/>
  <c r="Q790" i="17" s="1" a="1"/>
  <c r="Q790" i="17" s="1"/>
  <c r="L791" i="17"/>
  <c r="Q791" i="17" s="1" a="1"/>
  <c r="Q791" i="17" s="1"/>
  <c r="L792" i="17"/>
  <c r="Q792" i="17" s="1" a="1"/>
  <c r="Q792" i="17" s="1"/>
  <c r="L793" i="17"/>
  <c r="Q793" i="17" s="1" a="1"/>
  <c r="Q793" i="17" s="1"/>
  <c r="L794" i="17"/>
  <c r="Q794" i="17" s="1" a="1"/>
  <c r="Q794" i="17" s="1"/>
  <c r="L795" i="17"/>
  <c r="Q795" i="17" s="1" a="1"/>
  <c r="Q795" i="17" s="1"/>
  <c r="L796" i="17"/>
  <c r="Q796" i="17" s="1" a="1"/>
  <c r="Q796" i="17" s="1"/>
  <c r="L797" i="17"/>
  <c r="Q797" i="17" s="1" a="1"/>
  <c r="Q797" i="17" s="1"/>
  <c r="L798" i="17"/>
  <c r="Q798" i="17" s="1" a="1"/>
  <c r="Q798" i="17" s="1"/>
  <c r="L799" i="17"/>
  <c r="Q799" i="17" s="1" a="1"/>
  <c r="Q799" i="17" s="1"/>
  <c r="L800" i="17"/>
  <c r="Q800" i="17" s="1" a="1"/>
  <c r="Q800" i="17" s="1"/>
  <c r="L801" i="17"/>
  <c r="Q801" i="17" s="1" a="1"/>
  <c r="Q801" i="17" s="1"/>
  <c r="L802" i="17"/>
  <c r="Q802" i="17" s="1" a="1"/>
  <c r="Q802" i="17" s="1"/>
  <c r="L803" i="17"/>
  <c r="Q803" i="17" s="1" a="1"/>
  <c r="Q803" i="17" s="1"/>
  <c r="L804" i="17"/>
  <c r="Q804" i="17" s="1" a="1"/>
  <c r="Q804" i="17" s="1"/>
  <c r="L805" i="17"/>
  <c r="Q805" i="17" s="1" a="1"/>
  <c r="Q805" i="17" s="1"/>
  <c r="L806" i="17"/>
  <c r="Q806" i="17" s="1" a="1"/>
  <c r="Q806" i="17" s="1"/>
  <c r="L807" i="17"/>
  <c r="Q807" i="17" s="1" a="1"/>
  <c r="Q807" i="17" s="1"/>
  <c r="L808" i="17"/>
  <c r="Q808" i="17" s="1" a="1"/>
  <c r="Q808" i="17" s="1"/>
  <c r="L809" i="17"/>
  <c r="Q809" i="17" s="1" a="1"/>
  <c r="Q809" i="17" s="1"/>
  <c r="L810" i="17"/>
  <c r="Q810" i="17" s="1" a="1"/>
  <c r="Q810" i="17" s="1"/>
  <c r="L811" i="17"/>
  <c r="Q811" i="17" s="1" a="1"/>
  <c r="Q811" i="17" s="1"/>
  <c r="L812" i="17"/>
  <c r="Q812" i="17" s="1" a="1"/>
  <c r="Q812" i="17" s="1"/>
  <c r="L813" i="17"/>
  <c r="Q813" i="17" s="1" a="1"/>
  <c r="Q813" i="17" s="1"/>
  <c r="L814" i="17"/>
  <c r="Q814" i="17" s="1" a="1"/>
  <c r="Q814" i="17" s="1"/>
  <c r="L815" i="17"/>
  <c r="Q815" i="17" s="1" a="1"/>
  <c r="Q815" i="17" s="1"/>
  <c r="L816" i="17"/>
  <c r="Q816" i="17" s="1" a="1"/>
  <c r="Q816" i="17" s="1"/>
  <c r="L817" i="17"/>
  <c r="Q817" i="17" s="1" a="1"/>
  <c r="Q817" i="17" s="1"/>
  <c r="L818" i="17"/>
  <c r="Q818" i="17" s="1" a="1"/>
  <c r="Q818" i="17" s="1"/>
  <c r="L819" i="17"/>
  <c r="Q819" i="17" s="1" a="1"/>
  <c r="Q819" i="17" s="1"/>
  <c r="L820" i="17"/>
  <c r="Q820" i="17" s="1" a="1"/>
  <c r="Q820" i="17" s="1"/>
  <c r="L821" i="17"/>
  <c r="Q821" i="17" s="1" a="1"/>
  <c r="Q821" i="17" s="1"/>
  <c r="L822" i="17"/>
  <c r="Q822" i="17" s="1" a="1"/>
  <c r="Q822" i="17" s="1"/>
  <c r="L823" i="17"/>
  <c r="Q823" i="17" s="1" a="1"/>
  <c r="Q823" i="17" s="1"/>
  <c r="L824" i="17"/>
  <c r="Q824" i="17" s="1" a="1"/>
  <c r="Q824" i="17" s="1"/>
  <c r="L825" i="17"/>
  <c r="Q825" i="17" s="1" a="1"/>
  <c r="Q825" i="17" s="1"/>
  <c r="L826" i="17"/>
  <c r="Q826" i="17" s="1" a="1"/>
  <c r="Q826" i="17" s="1"/>
  <c r="L827" i="17"/>
  <c r="Q827" i="17" s="1" a="1"/>
  <c r="Q827" i="17" s="1"/>
  <c r="L828" i="17"/>
  <c r="Q828" i="17" s="1" a="1"/>
  <c r="Q828" i="17" s="1"/>
  <c r="L829" i="17"/>
  <c r="Q829" i="17" s="1" a="1"/>
  <c r="Q829" i="17" s="1"/>
  <c r="L830" i="17"/>
  <c r="Q830" i="17" s="1" a="1"/>
  <c r="Q830" i="17" s="1"/>
  <c r="L831" i="17"/>
  <c r="Q831" i="17" s="1" a="1"/>
  <c r="Q831" i="17" s="1"/>
  <c r="L832" i="17"/>
  <c r="Q832" i="17" s="1" a="1"/>
  <c r="Q832" i="17" s="1"/>
  <c r="L833" i="17"/>
  <c r="Q833" i="17" s="1" a="1"/>
  <c r="Q833" i="17" s="1"/>
  <c r="L834" i="17"/>
  <c r="Q834" i="17" s="1" a="1"/>
  <c r="Q834" i="17" s="1"/>
  <c r="L835" i="17"/>
  <c r="Q835" i="17" s="1" a="1"/>
  <c r="Q835" i="17" s="1"/>
  <c r="L836" i="17"/>
  <c r="Q836" i="17" s="1" a="1"/>
  <c r="Q836" i="17" s="1"/>
  <c r="L837" i="17"/>
  <c r="Q837" i="17" s="1" a="1"/>
  <c r="Q837" i="17" s="1"/>
  <c r="L838" i="17"/>
  <c r="Q838" i="17" s="1" a="1"/>
  <c r="Q838" i="17" s="1"/>
  <c r="L839" i="17"/>
  <c r="Q839" i="17" s="1" a="1"/>
  <c r="Q839" i="17" s="1"/>
  <c r="L840" i="17"/>
  <c r="Q840" i="17" s="1" a="1"/>
  <c r="Q840" i="17" s="1"/>
  <c r="L841" i="17"/>
  <c r="Q841" i="17" s="1" a="1"/>
  <c r="Q841" i="17" s="1"/>
  <c r="L842" i="17"/>
  <c r="Q842" i="17" s="1" a="1"/>
  <c r="Q842" i="17" s="1"/>
  <c r="L843" i="17"/>
  <c r="Q843" i="17" s="1" a="1"/>
  <c r="Q843" i="17" s="1"/>
  <c r="L844" i="17"/>
  <c r="Q844" i="17" s="1" a="1"/>
  <c r="Q844" i="17" s="1"/>
  <c r="L845" i="17"/>
  <c r="Q845" i="17" s="1" a="1"/>
  <c r="Q845" i="17" s="1"/>
  <c r="L846" i="17"/>
  <c r="Q846" i="17" s="1" a="1"/>
  <c r="Q846" i="17" s="1"/>
  <c r="L847" i="17"/>
  <c r="Q847" i="17" s="1" a="1"/>
  <c r="Q847" i="17" s="1"/>
  <c r="L848" i="17"/>
  <c r="Q848" i="17" s="1" a="1"/>
  <c r="Q848" i="17" s="1"/>
  <c r="L849" i="17"/>
  <c r="Q849" i="17" s="1" a="1"/>
  <c r="Q849" i="17" s="1"/>
  <c r="L850" i="17"/>
  <c r="Q850" i="17" s="1" a="1"/>
  <c r="Q850" i="17" s="1"/>
  <c r="L851" i="17"/>
  <c r="Q851" i="17" s="1" a="1"/>
  <c r="Q851" i="17" s="1"/>
  <c r="L852" i="17"/>
  <c r="Q852" i="17" s="1" a="1"/>
  <c r="Q852" i="17" s="1"/>
  <c r="L853" i="17"/>
  <c r="Q853" i="17" s="1" a="1"/>
  <c r="Q853" i="17" s="1"/>
  <c r="L854" i="17"/>
  <c r="Q854" i="17" s="1" a="1"/>
  <c r="Q854" i="17" s="1"/>
  <c r="L855" i="17"/>
  <c r="Q855" i="17" s="1" a="1"/>
  <c r="Q855" i="17" s="1"/>
  <c r="L856" i="17"/>
  <c r="Q856" i="17" s="1" a="1"/>
  <c r="Q856" i="17" s="1"/>
  <c r="L857" i="17"/>
  <c r="Q857" i="17" s="1" a="1"/>
  <c r="Q857" i="17" s="1"/>
  <c r="L858" i="17"/>
  <c r="Q858" i="17" s="1" a="1"/>
  <c r="Q858" i="17" s="1"/>
  <c r="L859" i="17"/>
  <c r="Q859" i="17" s="1" a="1"/>
  <c r="Q859" i="17" s="1"/>
  <c r="L860" i="17"/>
  <c r="Q860" i="17" s="1" a="1"/>
  <c r="Q860" i="17" s="1"/>
  <c r="L861" i="17"/>
  <c r="Q861" i="17" s="1" a="1"/>
  <c r="Q861" i="17" s="1"/>
  <c r="L862" i="17"/>
  <c r="Q862" i="17" s="1" a="1"/>
  <c r="Q862" i="17" s="1"/>
  <c r="L863" i="17"/>
  <c r="Q863" i="17" s="1" a="1"/>
  <c r="Q863" i="17" s="1"/>
  <c r="L864" i="17"/>
  <c r="Q864" i="17" s="1" a="1"/>
  <c r="Q864" i="17" s="1"/>
  <c r="L865" i="17"/>
  <c r="Q865" i="17" s="1" a="1"/>
  <c r="Q865" i="17" s="1"/>
  <c r="L866" i="17"/>
  <c r="Q866" i="17" s="1" a="1"/>
  <c r="Q866" i="17" s="1"/>
  <c r="L867" i="17"/>
  <c r="Q867" i="17" s="1" a="1"/>
  <c r="Q867" i="17" s="1"/>
  <c r="L868" i="17"/>
  <c r="Q868" i="17" s="1" a="1"/>
  <c r="Q868" i="17" s="1"/>
  <c r="L869" i="17"/>
  <c r="Q869" i="17" s="1" a="1"/>
  <c r="Q869" i="17" s="1"/>
  <c r="L870" i="17"/>
  <c r="Q870" i="17" s="1" a="1"/>
  <c r="Q870" i="17" s="1"/>
  <c r="L871" i="17"/>
  <c r="Q871" i="17" s="1" a="1"/>
  <c r="Q871" i="17" s="1"/>
  <c r="L872" i="17"/>
  <c r="Q872" i="17" s="1" a="1"/>
  <c r="Q872" i="17" s="1"/>
  <c r="L873" i="17"/>
  <c r="Q873" i="17" s="1" a="1"/>
  <c r="Q873" i="17" s="1"/>
  <c r="L874" i="17"/>
  <c r="Q874" i="17" s="1" a="1"/>
  <c r="Q874" i="17" s="1"/>
  <c r="L875" i="17"/>
  <c r="Q875" i="17" s="1" a="1"/>
  <c r="Q875" i="17" s="1"/>
  <c r="L876" i="17"/>
  <c r="Q876" i="17" s="1" a="1"/>
  <c r="Q876" i="17" s="1"/>
  <c r="L877" i="17"/>
  <c r="Q877" i="17" s="1" a="1"/>
  <c r="Q877" i="17" s="1"/>
  <c r="L878" i="17"/>
  <c r="Q878" i="17" s="1" a="1"/>
  <c r="Q878" i="17" s="1"/>
  <c r="L879" i="17"/>
  <c r="Q879" i="17" s="1" a="1"/>
  <c r="Q879" i="17" s="1"/>
  <c r="L880" i="17"/>
  <c r="Q880" i="17" s="1" a="1"/>
  <c r="Q880" i="17" s="1"/>
  <c r="L881" i="17"/>
  <c r="Q881" i="17" s="1" a="1"/>
  <c r="Q881" i="17" s="1"/>
  <c r="L882" i="17"/>
  <c r="Q882" i="17" s="1" a="1"/>
  <c r="Q882" i="17" s="1"/>
  <c r="L883" i="17"/>
  <c r="Q883" i="17" s="1" a="1"/>
  <c r="Q883" i="17" s="1"/>
  <c r="L884" i="17"/>
  <c r="Q884" i="17" s="1" a="1"/>
  <c r="Q884" i="17" s="1"/>
  <c r="L885" i="17"/>
  <c r="Q885" i="17" s="1" a="1"/>
  <c r="Q885" i="17" s="1"/>
  <c r="L886" i="17"/>
  <c r="Q886" i="17" s="1" a="1"/>
  <c r="Q886" i="17" s="1"/>
  <c r="L887" i="17"/>
  <c r="Q887" i="17" s="1" a="1"/>
  <c r="Q887" i="17" s="1"/>
  <c r="L888" i="17"/>
  <c r="Q888" i="17" s="1" a="1"/>
  <c r="Q888" i="17" s="1"/>
  <c r="L889" i="17"/>
  <c r="Q889" i="17" s="1" a="1"/>
  <c r="Q889" i="17" s="1"/>
  <c r="L890" i="17"/>
  <c r="Q890" i="17" s="1" a="1"/>
  <c r="Q890" i="17" s="1"/>
  <c r="L891" i="17"/>
  <c r="Q891" i="17" s="1" a="1"/>
  <c r="Q891" i="17" s="1"/>
  <c r="L892" i="17"/>
  <c r="Q892" i="17" s="1" a="1"/>
  <c r="Q892" i="17" s="1"/>
  <c r="L893" i="17"/>
  <c r="Q893" i="17" s="1" a="1"/>
  <c r="Q893" i="17" s="1"/>
  <c r="L894" i="17"/>
  <c r="Q894" i="17" s="1" a="1"/>
  <c r="Q894" i="17" s="1"/>
  <c r="L895" i="17"/>
  <c r="Q895" i="17" s="1" a="1"/>
  <c r="Q895" i="17" s="1"/>
  <c r="L896" i="17"/>
  <c r="Q896" i="17" s="1" a="1"/>
  <c r="Q896" i="17" s="1"/>
  <c r="L897" i="17"/>
  <c r="Q897" i="17" s="1" a="1"/>
  <c r="Q897" i="17" s="1"/>
  <c r="L898" i="17"/>
  <c r="Q898" i="17" s="1" a="1"/>
  <c r="Q898" i="17" s="1"/>
  <c r="L899" i="17"/>
  <c r="Q899" i="17" s="1" a="1"/>
  <c r="Q899" i="17" s="1"/>
  <c r="L900" i="17"/>
  <c r="Q900" i="17" s="1" a="1"/>
  <c r="Q900" i="17" s="1"/>
  <c r="L901" i="17"/>
  <c r="Q901" i="17" s="1" a="1"/>
  <c r="Q901" i="17" s="1"/>
  <c r="L902" i="17"/>
  <c r="Q902" i="17" s="1" a="1"/>
  <c r="Q902" i="17" s="1"/>
  <c r="L903" i="17"/>
  <c r="Q903" i="17" s="1" a="1"/>
  <c r="Q903" i="17" s="1"/>
  <c r="L904" i="17"/>
  <c r="Q904" i="17" s="1" a="1"/>
  <c r="Q904" i="17" s="1"/>
  <c r="L905" i="17"/>
  <c r="Q905" i="17" s="1" a="1"/>
  <c r="Q905" i="17" s="1"/>
  <c r="L906" i="17"/>
  <c r="Q906" i="17" s="1" a="1"/>
  <c r="Q906" i="17" s="1"/>
  <c r="L907" i="17"/>
  <c r="Q907" i="17" s="1" a="1"/>
  <c r="Q907" i="17" s="1"/>
  <c r="L908" i="17"/>
  <c r="Q908" i="17" s="1" a="1"/>
  <c r="Q908" i="17" s="1"/>
  <c r="L909" i="17"/>
  <c r="Q909" i="17" s="1" a="1"/>
  <c r="Q909" i="17" s="1"/>
  <c r="L910" i="17"/>
  <c r="Q910" i="17" s="1" a="1"/>
  <c r="Q910" i="17" s="1"/>
  <c r="L911" i="17"/>
  <c r="Q911" i="17" s="1" a="1"/>
  <c r="Q911" i="17" s="1"/>
  <c r="L912" i="17"/>
  <c r="Q912" i="17" s="1" a="1"/>
  <c r="Q912" i="17" s="1"/>
  <c r="L913" i="17"/>
  <c r="Q913" i="17" s="1" a="1"/>
  <c r="Q913" i="17" s="1"/>
  <c r="L914" i="17"/>
  <c r="Q914" i="17" s="1" a="1"/>
  <c r="Q914" i="17" s="1"/>
  <c r="L915" i="17"/>
  <c r="Q915" i="17" s="1" a="1"/>
  <c r="Q915" i="17" s="1"/>
  <c r="L916" i="17"/>
  <c r="Q916" i="17" s="1" a="1"/>
  <c r="Q916" i="17" s="1"/>
  <c r="L917" i="17"/>
  <c r="Q917" i="17" s="1" a="1"/>
  <c r="Q917" i="17" s="1"/>
  <c r="L918" i="17"/>
  <c r="Q918" i="17" s="1" a="1"/>
  <c r="Q918" i="17" s="1"/>
  <c r="L919" i="17"/>
  <c r="Q919" i="17" s="1" a="1"/>
  <c r="Q919" i="17" s="1"/>
  <c r="L920" i="17"/>
  <c r="Q920" i="17" s="1" a="1"/>
  <c r="Q920" i="17" s="1"/>
  <c r="L921" i="17"/>
  <c r="Q921" i="17" s="1" a="1"/>
  <c r="Q921" i="17" s="1"/>
  <c r="L922" i="17"/>
  <c r="Q922" i="17" s="1" a="1"/>
  <c r="Q922" i="17" s="1"/>
  <c r="L923" i="17"/>
  <c r="Q923" i="17" s="1" a="1"/>
  <c r="Q923" i="17" s="1"/>
  <c r="L924" i="17"/>
  <c r="Q924" i="17" s="1" a="1"/>
  <c r="Q924" i="17" s="1"/>
  <c r="L925" i="17"/>
  <c r="Q925" i="17" s="1" a="1"/>
  <c r="Q925" i="17" s="1"/>
  <c r="L926" i="17"/>
  <c r="Q926" i="17" s="1" a="1"/>
  <c r="Q926" i="17" s="1"/>
  <c r="L927" i="17"/>
  <c r="Q927" i="17" s="1" a="1"/>
  <c r="Q927" i="17" s="1"/>
  <c r="L928" i="17"/>
  <c r="Q928" i="17" s="1" a="1"/>
  <c r="Q928" i="17" s="1"/>
  <c r="L929" i="17"/>
  <c r="Q929" i="17" s="1" a="1"/>
  <c r="Q929" i="17" s="1"/>
  <c r="L930" i="17"/>
  <c r="Q930" i="17" s="1" a="1"/>
  <c r="Q930" i="17" s="1"/>
  <c r="L931" i="17"/>
  <c r="Q931" i="17" s="1" a="1"/>
  <c r="Q931" i="17" s="1"/>
  <c r="L932" i="17"/>
  <c r="Q932" i="17" s="1" a="1"/>
  <c r="Q932" i="17" s="1"/>
  <c r="L933" i="17"/>
  <c r="Q933" i="17" s="1" a="1"/>
  <c r="Q933" i="17" s="1"/>
  <c r="L934" i="17"/>
  <c r="Q934" i="17" s="1" a="1"/>
  <c r="Q934" i="17" s="1"/>
  <c r="L935" i="17"/>
  <c r="Q935" i="17" s="1" a="1"/>
  <c r="Q935" i="17" s="1"/>
  <c r="L936" i="17"/>
  <c r="Q936" i="17" s="1" a="1"/>
  <c r="Q936" i="17" s="1"/>
  <c r="L937" i="17"/>
  <c r="Q937" i="17" s="1" a="1"/>
  <c r="Q937" i="17" s="1"/>
  <c r="L938" i="17"/>
  <c r="Q938" i="17" s="1" a="1"/>
  <c r="Q938" i="17" s="1"/>
  <c r="L939" i="17"/>
  <c r="Q939" i="17" s="1" a="1"/>
  <c r="Q939" i="17" s="1"/>
  <c r="L940" i="17"/>
  <c r="Q940" i="17" s="1" a="1"/>
  <c r="Q940" i="17" s="1"/>
  <c r="L941" i="17"/>
  <c r="Q941" i="17" s="1" a="1"/>
  <c r="Q941" i="17" s="1"/>
  <c r="L942" i="17"/>
  <c r="Q942" i="17" s="1" a="1"/>
  <c r="Q942" i="17" s="1"/>
  <c r="L943" i="17"/>
  <c r="Q943" i="17" s="1" a="1"/>
  <c r="Q943" i="17" s="1"/>
  <c r="L944" i="17"/>
  <c r="Q944" i="17" s="1" a="1"/>
  <c r="Q944" i="17" s="1"/>
  <c r="L945" i="17"/>
  <c r="Q945" i="17" s="1" a="1"/>
  <c r="Q945" i="17" s="1"/>
  <c r="L946" i="17"/>
  <c r="Q946" i="17" s="1" a="1"/>
  <c r="Q946" i="17" s="1"/>
  <c r="L947" i="17"/>
  <c r="Q947" i="17" s="1" a="1"/>
  <c r="Q947" i="17" s="1"/>
  <c r="L948" i="17"/>
  <c r="Q948" i="17" s="1" a="1"/>
  <c r="Q948" i="17" s="1"/>
  <c r="L949" i="17"/>
  <c r="Q949" i="17" s="1" a="1"/>
  <c r="Q949" i="17" s="1"/>
  <c r="L950" i="17"/>
  <c r="Q950" i="17" s="1" a="1"/>
  <c r="Q950" i="17" s="1"/>
  <c r="L951" i="17"/>
  <c r="Q951" i="17" s="1" a="1"/>
  <c r="Q951" i="17" s="1"/>
  <c r="L952" i="17"/>
  <c r="Q952" i="17" s="1" a="1"/>
  <c r="Q952" i="17" s="1"/>
  <c r="L953" i="17"/>
  <c r="Q953" i="17" s="1" a="1"/>
  <c r="Q953" i="17" s="1"/>
  <c r="L954" i="17"/>
  <c r="Q954" i="17" s="1" a="1"/>
  <c r="Q954" i="17" s="1"/>
  <c r="L955" i="17"/>
  <c r="Q955" i="17" s="1" a="1"/>
  <c r="Q955" i="17" s="1"/>
  <c r="L956" i="17"/>
  <c r="Q956" i="17" s="1" a="1"/>
  <c r="Q956" i="17" s="1"/>
  <c r="L957" i="17"/>
  <c r="Q957" i="17" s="1" a="1"/>
  <c r="Q957" i="17" s="1"/>
  <c r="L958" i="17"/>
  <c r="Q958" i="17" s="1" a="1"/>
  <c r="Q958" i="17" s="1"/>
  <c r="L959" i="17"/>
  <c r="Q959" i="17" s="1" a="1"/>
  <c r="Q959" i="17" s="1"/>
  <c r="L960" i="17"/>
  <c r="Q960" i="17" s="1" a="1"/>
  <c r="Q960" i="17" s="1"/>
  <c r="L961" i="17"/>
  <c r="Q961" i="17" s="1" a="1"/>
  <c r="Q961" i="17" s="1"/>
  <c r="L962" i="17"/>
  <c r="Q962" i="17" s="1" a="1"/>
  <c r="Q962" i="17" s="1"/>
  <c r="L963" i="17"/>
  <c r="Q963" i="17" s="1" a="1"/>
  <c r="Q963" i="17" s="1"/>
  <c r="L964" i="17"/>
  <c r="Q964" i="17" s="1" a="1"/>
  <c r="Q964" i="17" s="1"/>
  <c r="L965" i="17"/>
  <c r="Q965" i="17" s="1" a="1"/>
  <c r="Q965" i="17" s="1"/>
  <c r="L966" i="17"/>
  <c r="Q966" i="17" s="1" a="1"/>
  <c r="Q966" i="17" s="1"/>
  <c r="L967" i="17"/>
  <c r="Q967" i="17" s="1" a="1"/>
  <c r="Q967" i="17" s="1"/>
  <c r="L968" i="17"/>
  <c r="Q968" i="17" s="1" a="1"/>
  <c r="Q968" i="17" s="1"/>
  <c r="L969" i="17"/>
  <c r="Q969" i="17" s="1" a="1"/>
  <c r="Q969" i="17" s="1"/>
  <c r="L970" i="17"/>
  <c r="Q970" i="17" s="1" a="1"/>
  <c r="Q970" i="17" s="1"/>
  <c r="L971" i="17"/>
  <c r="Q971" i="17" s="1" a="1"/>
  <c r="Q971" i="17" s="1"/>
  <c r="L972" i="17"/>
  <c r="Q972" i="17" s="1" a="1"/>
  <c r="Q972" i="17" s="1"/>
  <c r="L973" i="17"/>
  <c r="Q973" i="17" s="1" a="1"/>
  <c r="Q973" i="17" s="1"/>
  <c r="L974" i="17"/>
  <c r="Q974" i="17" s="1" a="1"/>
  <c r="Q974" i="17" s="1"/>
  <c r="L975" i="17"/>
  <c r="Q975" i="17" s="1" a="1"/>
  <c r="Q975" i="17" s="1"/>
  <c r="L976" i="17"/>
  <c r="Q976" i="17" s="1" a="1"/>
  <c r="Q976" i="17" s="1"/>
  <c r="L977" i="17"/>
  <c r="Q977" i="17" s="1" a="1"/>
  <c r="Q977" i="17" s="1"/>
  <c r="L978" i="17"/>
  <c r="Q978" i="17" s="1" a="1"/>
  <c r="Q978" i="17" s="1"/>
  <c r="L979" i="17"/>
  <c r="Q979" i="17" s="1" a="1"/>
  <c r="Q979" i="17" s="1"/>
  <c r="L980" i="17"/>
  <c r="Q980" i="17" s="1" a="1"/>
  <c r="Q980" i="17" s="1"/>
  <c r="L981" i="17"/>
  <c r="Q981" i="17" s="1" a="1"/>
  <c r="Q981" i="17" s="1"/>
  <c r="L982" i="17"/>
  <c r="Q982" i="17" s="1" a="1"/>
  <c r="Q982" i="17" s="1"/>
  <c r="L983" i="17"/>
  <c r="Q983" i="17" s="1" a="1"/>
  <c r="Q983" i="17" s="1"/>
  <c r="L984" i="17"/>
  <c r="Q984" i="17" s="1" a="1"/>
  <c r="Q984" i="17" s="1"/>
  <c r="L985" i="17"/>
  <c r="Q985" i="17" s="1" a="1"/>
  <c r="Q985" i="17" s="1"/>
  <c r="L986" i="17"/>
  <c r="Q986" i="17" s="1" a="1"/>
  <c r="Q986" i="17" s="1"/>
  <c r="L987" i="17"/>
  <c r="Q987" i="17" s="1" a="1"/>
  <c r="Q987" i="17" s="1"/>
  <c r="L988" i="17"/>
  <c r="Q988" i="17" s="1" a="1"/>
  <c r="Q988" i="17" s="1"/>
  <c r="L989" i="17"/>
  <c r="Q989" i="17" s="1" a="1"/>
  <c r="Q989" i="17" s="1"/>
  <c r="L990" i="17"/>
  <c r="Q990" i="17" s="1" a="1"/>
  <c r="Q990" i="17" s="1"/>
  <c r="L991" i="17"/>
  <c r="Q991" i="17" s="1" a="1"/>
  <c r="Q991" i="17" s="1"/>
  <c r="L992" i="17"/>
  <c r="Q992" i="17" s="1" a="1"/>
  <c r="Q992" i="17" s="1"/>
  <c r="L993" i="17"/>
  <c r="Q993" i="17" s="1" a="1"/>
  <c r="Q993" i="17" s="1"/>
  <c r="L994" i="17"/>
  <c r="Q994" i="17" s="1" a="1"/>
  <c r="Q994" i="17" s="1"/>
  <c r="L995" i="17"/>
  <c r="Q995" i="17" s="1" a="1"/>
  <c r="Q995" i="17" s="1"/>
  <c r="L996" i="17"/>
  <c r="Q996" i="17" s="1" a="1"/>
  <c r="Q996" i="17" s="1"/>
  <c r="L997" i="17"/>
  <c r="Q997" i="17" s="1" a="1"/>
  <c r="Q997" i="17" s="1"/>
  <c r="L998" i="17"/>
  <c r="Q998" i="17" s="1" a="1"/>
  <c r="Q998" i="17" s="1"/>
  <c r="L999" i="17"/>
  <c r="Q999" i="17" s="1" a="1"/>
  <c r="Q999" i="17" s="1"/>
  <c r="L1000" i="17"/>
  <c r="Q1000" i="17" s="1" a="1"/>
  <c r="Q1000" i="17" s="1"/>
  <c r="L1001" i="17"/>
  <c r="Q1001" i="17" s="1" a="1"/>
  <c r="Q1001" i="17" s="1"/>
  <c r="M4" i="17"/>
  <c r="N4" i="17"/>
  <c r="O4" i="17"/>
  <c r="P4" i="17" s="1"/>
  <c r="M5" i="17"/>
  <c r="N5" i="17"/>
  <c r="O5" i="17"/>
  <c r="P5" i="17" s="1"/>
  <c r="M6" i="17"/>
  <c r="N6" i="17"/>
  <c r="O6" i="17"/>
  <c r="P6" i="17" s="1"/>
  <c r="M7" i="17"/>
  <c r="N7" i="17"/>
  <c r="O7" i="17"/>
  <c r="P7" i="17" s="1"/>
  <c r="M8" i="17"/>
  <c r="N8" i="17"/>
  <c r="O8" i="17"/>
  <c r="P8" i="17" s="1"/>
  <c r="M9" i="17"/>
  <c r="N9" i="17"/>
  <c r="O9" i="17"/>
  <c r="P9" i="17" s="1"/>
  <c r="M10" i="17"/>
  <c r="N10" i="17"/>
  <c r="O10" i="17"/>
  <c r="P10" i="17" s="1"/>
  <c r="M11" i="17"/>
  <c r="N11" i="17"/>
  <c r="O11" i="17"/>
  <c r="P11" i="17" s="1"/>
  <c r="M12" i="17"/>
  <c r="N12" i="17"/>
  <c r="O12" i="17"/>
  <c r="P12" i="17" s="1"/>
  <c r="M13" i="17"/>
  <c r="N13" i="17"/>
  <c r="O13" i="17"/>
  <c r="P13" i="17" s="1"/>
  <c r="M14" i="17"/>
  <c r="N14" i="17"/>
  <c r="O14" i="17"/>
  <c r="P14" i="17" s="1"/>
  <c r="M15" i="17"/>
  <c r="N15" i="17"/>
  <c r="O15" i="17"/>
  <c r="P15" i="17" s="1"/>
  <c r="M16" i="17"/>
  <c r="N16" i="17"/>
  <c r="O16" i="17"/>
  <c r="P16" i="17" s="1"/>
  <c r="M17" i="17"/>
  <c r="N17" i="17"/>
  <c r="O17" i="17"/>
  <c r="P17" i="17" s="1"/>
  <c r="M18" i="17"/>
  <c r="N18" i="17"/>
  <c r="O18" i="17"/>
  <c r="P18" i="17" s="1"/>
  <c r="M19" i="17"/>
  <c r="N19" i="17"/>
  <c r="O19" i="17"/>
  <c r="P19" i="17" s="1"/>
  <c r="M20" i="17"/>
  <c r="N20" i="17"/>
  <c r="O20" i="17"/>
  <c r="P20" i="17" s="1"/>
  <c r="M21" i="17"/>
  <c r="N21" i="17"/>
  <c r="O21" i="17"/>
  <c r="P21" i="17" s="1"/>
  <c r="M22" i="17"/>
  <c r="N22" i="17"/>
  <c r="O22" i="17"/>
  <c r="P22" i="17" s="1"/>
  <c r="M23" i="17"/>
  <c r="N23" i="17"/>
  <c r="O23" i="17"/>
  <c r="P23" i="17" s="1"/>
  <c r="M24" i="17"/>
  <c r="N24" i="17"/>
  <c r="O24" i="17"/>
  <c r="P24" i="17" s="1"/>
  <c r="M25" i="17"/>
  <c r="N25" i="17"/>
  <c r="O25" i="17"/>
  <c r="P25" i="17" s="1"/>
  <c r="M26" i="17"/>
  <c r="N26" i="17"/>
  <c r="O26" i="17"/>
  <c r="P26" i="17" s="1"/>
  <c r="M27" i="17"/>
  <c r="N27" i="17"/>
  <c r="O27" i="17"/>
  <c r="P27" i="17" s="1"/>
  <c r="M28" i="17"/>
  <c r="N28" i="17"/>
  <c r="O28" i="17"/>
  <c r="P28" i="17" s="1"/>
  <c r="M29" i="17"/>
  <c r="N29" i="17"/>
  <c r="O29" i="17"/>
  <c r="P29" i="17" s="1"/>
  <c r="M30" i="17"/>
  <c r="N30" i="17"/>
  <c r="O30" i="17"/>
  <c r="P30" i="17" s="1"/>
  <c r="M31" i="17"/>
  <c r="N31" i="17"/>
  <c r="O31" i="17"/>
  <c r="P31" i="17" s="1"/>
  <c r="M32" i="17"/>
  <c r="N32" i="17"/>
  <c r="O32" i="17"/>
  <c r="P32" i="17" s="1"/>
  <c r="M33" i="17"/>
  <c r="N33" i="17"/>
  <c r="O33" i="17"/>
  <c r="P33" i="17" s="1"/>
  <c r="M34" i="17"/>
  <c r="N34" i="17"/>
  <c r="O34" i="17"/>
  <c r="P34" i="17" s="1"/>
  <c r="M35" i="17"/>
  <c r="N35" i="17"/>
  <c r="O35" i="17"/>
  <c r="P35" i="17" s="1"/>
  <c r="M36" i="17"/>
  <c r="N36" i="17"/>
  <c r="O36" i="17"/>
  <c r="P36" i="17" s="1"/>
  <c r="M37" i="17"/>
  <c r="N37" i="17"/>
  <c r="O37" i="17"/>
  <c r="P37" i="17" s="1"/>
  <c r="M38" i="17"/>
  <c r="N38" i="17"/>
  <c r="O38" i="17"/>
  <c r="P38" i="17" s="1"/>
  <c r="M39" i="17"/>
  <c r="N39" i="17"/>
  <c r="O39" i="17"/>
  <c r="P39" i="17" s="1"/>
  <c r="M40" i="17"/>
  <c r="N40" i="17"/>
  <c r="O40" i="17"/>
  <c r="P40" i="17" s="1"/>
  <c r="M41" i="17"/>
  <c r="N41" i="17"/>
  <c r="O41" i="17"/>
  <c r="P41" i="17" s="1"/>
  <c r="M42" i="17"/>
  <c r="N42" i="17"/>
  <c r="O42" i="17"/>
  <c r="P42" i="17" s="1"/>
  <c r="M43" i="17"/>
  <c r="N43" i="17"/>
  <c r="O43" i="17"/>
  <c r="P43" i="17" s="1"/>
  <c r="M44" i="17"/>
  <c r="N44" i="17"/>
  <c r="O44" i="17"/>
  <c r="P44" i="17" s="1"/>
  <c r="M45" i="17"/>
  <c r="N45" i="17"/>
  <c r="O45" i="17"/>
  <c r="P45" i="17" s="1"/>
  <c r="M46" i="17"/>
  <c r="N46" i="17"/>
  <c r="O46" i="17"/>
  <c r="P46" i="17" s="1"/>
  <c r="M47" i="17"/>
  <c r="N47" i="17"/>
  <c r="O47" i="17"/>
  <c r="P47" i="17" s="1"/>
  <c r="M48" i="17"/>
  <c r="N48" i="17"/>
  <c r="O48" i="17"/>
  <c r="P48" i="17" s="1"/>
  <c r="M49" i="17"/>
  <c r="N49" i="17"/>
  <c r="O49" i="17"/>
  <c r="P49" i="17" s="1"/>
  <c r="M50" i="17"/>
  <c r="N50" i="17"/>
  <c r="O50" i="17"/>
  <c r="P50" i="17" s="1"/>
  <c r="M51" i="17"/>
  <c r="N51" i="17"/>
  <c r="O51" i="17"/>
  <c r="P51" i="17" s="1"/>
  <c r="M52" i="17"/>
  <c r="N52" i="17"/>
  <c r="O52" i="17"/>
  <c r="P52" i="17" s="1"/>
  <c r="M53" i="17"/>
  <c r="N53" i="17"/>
  <c r="O53" i="17"/>
  <c r="P53" i="17" s="1"/>
  <c r="M54" i="17"/>
  <c r="N54" i="17"/>
  <c r="O54" i="17"/>
  <c r="P54" i="17" s="1"/>
  <c r="M55" i="17"/>
  <c r="N55" i="17"/>
  <c r="O55" i="17"/>
  <c r="P55" i="17" s="1"/>
  <c r="M56" i="17"/>
  <c r="N56" i="17"/>
  <c r="O56" i="17"/>
  <c r="P56" i="17" s="1"/>
  <c r="M57" i="17"/>
  <c r="N57" i="17"/>
  <c r="O57" i="17"/>
  <c r="P57" i="17" s="1"/>
  <c r="M58" i="17"/>
  <c r="N58" i="17"/>
  <c r="O58" i="17"/>
  <c r="P58" i="17" s="1"/>
  <c r="M59" i="17"/>
  <c r="N59" i="17"/>
  <c r="O59" i="17"/>
  <c r="P59" i="17" s="1"/>
  <c r="M60" i="17"/>
  <c r="N60" i="17"/>
  <c r="O60" i="17"/>
  <c r="P60" i="17" s="1"/>
  <c r="M61" i="17"/>
  <c r="N61" i="17"/>
  <c r="O61" i="17"/>
  <c r="P61" i="17" s="1"/>
  <c r="M62" i="17"/>
  <c r="N62" i="17"/>
  <c r="O62" i="17"/>
  <c r="P62" i="17" s="1"/>
  <c r="M63" i="17"/>
  <c r="N63" i="17"/>
  <c r="O63" i="17"/>
  <c r="P63" i="17" s="1"/>
  <c r="M64" i="17"/>
  <c r="N64" i="17"/>
  <c r="O64" i="17"/>
  <c r="P64" i="17" s="1"/>
  <c r="M65" i="17"/>
  <c r="N65" i="17"/>
  <c r="O65" i="17"/>
  <c r="P65" i="17" s="1"/>
  <c r="M66" i="17"/>
  <c r="N66" i="17"/>
  <c r="O66" i="17"/>
  <c r="P66" i="17" s="1"/>
  <c r="M67" i="17"/>
  <c r="N67" i="17"/>
  <c r="O67" i="17"/>
  <c r="P67" i="17" s="1"/>
  <c r="M68" i="17"/>
  <c r="N68" i="17"/>
  <c r="O68" i="17"/>
  <c r="P68" i="17" s="1"/>
  <c r="M69" i="17"/>
  <c r="N69" i="17"/>
  <c r="O69" i="17"/>
  <c r="P69" i="17" s="1"/>
  <c r="M70" i="17"/>
  <c r="N70" i="17"/>
  <c r="O70" i="17"/>
  <c r="P70" i="17" s="1"/>
  <c r="M71" i="17"/>
  <c r="N71" i="17"/>
  <c r="O71" i="17"/>
  <c r="P71" i="17" s="1"/>
  <c r="M72" i="17"/>
  <c r="N72" i="17"/>
  <c r="O72" i="17"/>
  <c r="P72" i="17" s="1"/>
  <c r="M73" i="17"/>
  <c r="N73" i="17"/>
  <c r="O73" i="17"/>
  <c r="P73" i="17" s="1"/>
  <c r="M74" i="17"/>
  <c r="N74" i="17"/>
  <c r="O74" i="17"/>
  <c r="P74" i="17" s="1"/>
  <c r="M75" i="17"/>
  <c r="N75" i="17"/>
  <c r="O75" i="17"/>
  <c r="P75" i="17" s="1"/>
  <c r="M76" i="17"/>
  <c r="N76" i="17"/>
  <c r="O76" i="17"/>
  <c r="P76" i="17" s="1"/>
  <c r="M77" i="17"/>
  <c r="N77" i="17"/>
  <c r="O77" i="17"/>
  <c r="P77" i="17" s="1"/>
  <c r="M78" i="17"/>
  <c r="N78" i="17"/>
  <c r="O78" i="17"/>
  <c r="P78" i="17" s="1"/>
  <c r="M79" i="17"/>
  <c r="N79" i="17"/>
  <c r="O79" i="17"/>
  <c r="P79" i="17" s="1"/>
  <c r="M80" i="17"/>
  <c r="N80" i="17"/>
  <c r="O80" i="17"/>
  <c r="P80" i="17" s="1"/>
  <c r="M81" i="17"/>
  <c r="N81" i="17"/>
  <c r="O81" i="17"/>
  <c r="P81" i="17" s="1"/>
  <c r="M82" i="17"/>
  <c r="N82" i="17"/>
  <c r="O82" i="17"/>
  <c r="P82" i="17" s="1"/>
  <c r="M83" i="17"/>
  <c r="N83" i="17"/>
  <c r="O83" i="17"/>
  <c r="P83" i="17" s="1"/>
  <c r="M84" i="17"/>
  <c r="N84" i="17"/>
  <c r="O84" i="17"/>
  <c r="P84" i="17" s="1"/>
  <c r="M85" i="17"/>
  <c r="N85" i="17"/>
  <c r="O85" i="17"/>
  <c r="P85" i="17" s="1"/>
  <c r="M86" i="17"/>
  <c r="N86" i="17"/>
  <c r="O86" i="17"/>
  <c r="P86" i="17" s="1"/>
  <c r="M87" i="17"/>
  <c r="N87" i="17"/>
  <c r="O87" i="17"/>
  <c r="P87" i="17" s="1"/>
  <c r="M88" i="17"/>
  <c r="N88" i="17"/>
  <c r="O88" i="17"/>
  <c r="P88" i="17" s="1"/>
  <c r="M89" i="17"/>
  <c r="N89" i="17"/>
  <c r="O89" i="17"/>
  <c r="P89" i="17" s="1"/>
  <c r="M90" i="17"/>
  <c r="N90" i="17"/>
  <c r="O90" i="17"/>
  <c r="P90" i="17" s="1"/>
  <c r="M91" i="17"/>
  <c r="N91" i="17"/>
  <c r="O91" i="17"/>
  <c r="P91" i="17" s="1"/>
  <c r="M92" i="17"/>
  <c r="N92" i="17"/>
  <c r="O92" i="17"/>
  <c r="P92" i="17" s="1"/>
  <c r="M93" i="17"/>
  <c r="N93" i="17"/>
  <c r="O93" i="17"/>
  <c r="P93" i="17" s="1"/>
  <c r="M94" i="17"/>
  <c r="N94" i="17"/>
  <c r="O94" i="17"/>
  <c r="P94" i="17" s="1"/>
  <c r="M95" i="17"/>
  <c r="N95" i="17"/>
  <c r="O95" i="17"/>
  <c r="P95" i="17" s="1"/>
  <c r="M96" i="17"/>
  <c r="N96" i="17"/>
  <c r="O96" i="17"/>
  <c r="P96" i="17" s="1"/>
  <c r="M97" i="17"/>
  <c r="N97" i="17"/>
  <c r="O97" i="17"/>
  <c r="P97" i="17" s="1"/>
  <c r="M98" i="17"/>
  <c r="N98" i="17"/>
  <c r="O98" i="17"/>
  <c r="P98" i="17" s="1"/>
  <c r="M99" i="17"/>
  <c r="N99" i="17"/>
  <c r="O99" i="17"/>
  <c r="P99" i="17" s="1"/>
  <c r="M100" i="17"/>
  <c r="N100" i="17"/>
  <c r="O100" i="17"/>
  <c r="P100" i="17" s="1"/>
  <c r="M101" i="17"/>
  <c r="N101" i="17"/>
  <c r="O101" i="17"/>
  <c r="P101" i="17" s="1"/>
  <c r="M102" i="17"/>
  <c r="N102" i="17"/>
  <c r="O102" i="17"/>
  <c r="P102" i="17" s="1"/>
  <c r="M103" i="17"/>
  <c r="N103" i="17"/>
  <c r="O103" i="17"/>
  <c r="P103" i="17" s="1"/>
  <c r="M104" i="17"/>
  <c r="N104" i="17"/>
  <c r="O104" i="17"/>
  <c r="P104" i="17" s="1"/>
  <c r="M105" i="17"/>
  <c r="N105" i="17"/>
  <c r="O105" i="17"/>
  <c r="P105" i="17" s="1"/>
  <c r="M106" i="17"/>
  <c r="N106" i="17"/>
  <c r="O106" i="17"/>
  <c r="P106" i="17" s="1"/>
  <c r="M107" i="17"/>
  <c r="N107" i="17"/>
  <c r="O107" i="17"/>
  <c r="P107" i="17" s="1"/>
  <c r="M108" i="17"/>
  <c r="N108" i="17"/>
  <c r="O108" i="17"/>
  <c r="P108" i="17" s="1"/>
  <c r="M109" i="17"/>
  <c r="N109" i="17"/>
  <c r="O109" i="17"/>
  <c r="P109" i="17" s="1"/>
  <c r="M110" i="17"/>
  <c r="N110" i="17"/>
  <c r="O110" i="17"/>
  <c r="P110" i="17" s="1"/>
  <c r="M111" i="17"/>
  <c r="N111" i="17"/>
  <c r="O111" i="17"/>
  <c r="P111" i="17" s="1"/>
  <c r="M112" i="17"/>
  <c r="N112" i="17"/>
  <c r="O112" i="17"/>
  <c r="P112" i="17" s="1"/>
  <c r="M113" i="17"/>
  <c r="N113" i="17"/>
  <c r="O113" i="17"/>
  <c r="P113" i="17" s="1"/>
  <c r="M114" i="17"/>
  <c r="N114" i="17"/>
  <c r="O114" i="17"/>
  <c r="P114" i="17" s="1"/>
  <c r="M115" i="17"/>
  <c r="N115" i="17"/>
  <c r="O115" i="17"/>
  <c r="P115" i="17" s="1"/>
  <c r="M116" i="17"/>
  <c r="N116" i="17"/>
  <c r="O116" i="17"/>
  <c r="P116" i="17" s="1"/>
  <c r="M117" i="17"/>
  <c r="N117" i="17"/>
  <c r="O117" i="17"/>
  <c r="P117" i="17" s="1"/>
  <c r="M118" i="17"/>
  <c r="N118" i="17"/>
  <c r="O118" i="17"/>
  <c r="P118" i="17" s="1"/>
  <c r="M119" i="17"/>
  <c r="N119" i="17"/>
  <c r="O119" i="17"/>
  <c r="P119" i="17" s="1"/>
  <c r="M120" i="17"/>
  <c r="N120" i="17"/>
  <c r="O120" i="17"/>
  <c r="P120" i="17" s="1"/>
  <c r="M121" i="17"/>
  <c r="N121" i="17"/>
  <c r="O121" i="17"/>
  <c r="P121" i="17" s="1"/>
  <c r="M122" i="17"/>
  <c r="N122" i="17"/>
  <c r="O122" i="17"/>
  <c r="P122" i="17" s="1"/>
  <c r="M123" i="17"/>
  <c r="N123" i="17"/>
  <c r="O123" i="17"/>
  <c r="P123" i="17" s="1"/>
  <c r="M124" i="17"/>
  <c r="N124" i="17"/>
  <c r="O124" i="17"/>
  <c r="P124" i="17" s="1"/>
  <c r="M125" i="17"/>
  <c r="N125" i="17"/>
  <c r="O125" i="17"/>
  <c r="P125" i="17" s="1"/>
  <c r="M126" i="17"/>
  <c r="N126" i="17"/>
  <c r="O126" i="17"/>
  <c r="P126" i="17" s="1"/>
  <c r="M127" i="17"/>
  <c r="N127" i="17"/>
  <c r="O127" i="17"/>
  <c r="P127" i="17" s="1"/>
  <c r="M128" i="17"/>
  <c r="N128" i="17"/>
  <c r="O128" i="17"/>
  <c r="P128" i="17" s="1"/>
  <c r="M129" i="17"/>
  <c r="N129" i="17"/>
  <c r="O129" i="17"/>
  <c r="P129" i="17" s="1"/>
  <c r="M130" i="17"/>
  <c r="N130" i="17"/>
  <c r="O130" i="17"/>
  <c r="P130" i="17" s="1"/>
  <c r="M131" i="17"/>
  <c r="N131" i="17"/>
  <c r="O131" i="17"/>
  <c r="P131" i="17" s="1"/>
  <c r="M132" i="17"/>
  <c r="N132" i="17"/>
  <c r="O132" i="17"/>
  <c r="P132" i="17" s="1"/>
  <c r="M133" i="17"/>
  <c r="N133" i="17"/>
  <c r="O133" i="17"/>
  <c r="P133" i="17" s="1"/>
  <c r="M134" i="17"/>
  <c r="N134" i="17"/>
  <c r="O134" i="17"/>
  <c r="P134" i="17" s="1"/>
  <c r="M135" i="17"/>
  <c r="N135" i="17"/>
  <c r="O135" i="17"/>
  <c r="P135" i="17" s="1"/>
  <c r="M136" i="17"/>
  <c r="N136" i="17"/>
  <c r="O136" i="17"/>
  <c r="P136" i="17" s="1"/>
  <c r="M137" i="17"/>
  <c r="N137" i="17"/>
  <c r="O137" i="17"/>
  <c r="P137" i="17" s="1"/>
  <c r="M138" i="17"/>
  <c r="N138" i="17"/>
  <c r="O138" i="17"/>
  <c r="P138" i="17" s="1"/>
  <c r="M139" i="17"/>
  <c r="N139" i="17"/>
  <c r="O139" i="17"/>
  <c r="P139" i="17" s="1"/>
  <c r="M140" i="17"/>
  <c r="N140" i="17"/>
  <c r="O140" i="17"/>
  <c r="P140" i="17" s="1"/>
  <c r="M141" i="17"/>
  <c r="N141" i="17"/>
  <c r="O141" i="17"/>
  <c r="P141" i="17" s="1"/>
  <c r="M142" i="17"/>
  <c r="N142" i="17"/>
  <c r="O142" i="17"/>
  <c r="P142" i="17" s="1"/>
  <c r="M143" i="17"/>
  <c r="N143" i="17"/>
  <c r="O143" i="17"/>
  <c r="P143" i="17" s="1"/>
  <c r="M144" i="17"/>
  <c r="N144" i="17"/>
  <c r="O144" i="17"/>
  <c r="P144" i="17" s="1"/>
  <c r="M145" i="17"/>
  <c r="N145" i="17"/>
  <c r="O145" i="17"/>
  <c r="P145" i="17" s="1"/>
  <c r="M146" i="17"/>
  <c r="N146" i="17"/>
  <c r="O146" i="17"/>
  <c r="P146" i="17" s="1"/>
  <c r="M147" i="17"/>
  <c r="N147" i="17"/>
  <c r="O147" i="17"/>
  <c r="P147" i="17" s="1"/>
  <c r="M148" i="17"/>
  <c r="N148" i="17"/>
  <c r="O148" i="17"/>
  <c r="P148" i="17" s="1"/>
  <c r="M149" i="17"/>
  <c r="N149" i="17"/>
  <c r="O149" i="17"/>
  <c r="P149" i="17" s="1"/>
  <c r="M150" i="17"/>
  <c r="N150" i="17"/>
  <c r="O150" i="17"/>
  <c r="P150" i="17" s="1"/>
  <c r="M151" i="17"/>
  <c r="N151" i="17"/>
  <c r="O151" i="17"/>
  <c r="P151" i="17" s="1"/>
  <c r="M152" i="17"/>
  <c r="N152" i="17"/>
  <c r="O152" i="17"/>
  <c r="P152" i="17" s="1"/>
  <c r="M153" i="17"/>
  <c r="N153" i="17"/>
  <c r="O153" i="17"/>
  <c r="P153" i="17" s="1"/>
  <c r="M154" i="17"/>
  <c r="N154" i="17"/>
  <c r="O154" i="17"/>
  <c r="P154" i="17" s="1"/>
  <c r="M155" i="17"/>
  <c r="N155" i="17"/>
  <c r="O155" i="17"/>
  <c r="P155" i="17" s="1"/>
  <c r="M156" i="17"/>
  <c r="N156" i="17"/>
  <c r="O156" i="17"/>
  <c r="P156" i="17" s="1"/>
  <c r="M157" i="17"/>
  <c r="N157" i="17"/>
  <c r="O157" i="17"/>
  <c r="P157" i="17" s="1"/>
  <c r="M158" i="17"/>
  <c r="N158" i="17"/>
  <c r="O158" i="17"/>
  <c r="P158" i="17" s="1"/>
  <c r="M159" i="17"/>
  <c r="N159" i="17"/>
  <c r="O159" i="17"/>
  <c r="P159" i="17" s="1"/>
  <c r="M160" i="17"/>
  <c r="N160" i="17"/>
  <c r="O160" i="17"/>
  <c r="P160" i="17" s="1"/>
  <c r="M161" i="17"/>
  <c r="N161" i="17"/>
  <c r="O161" i="17"/>
  <c r="P161" i="17" s="1"/>
  <c r="M162" i="17"/>
  <c r="N162" i="17"/>
  <c r="O162" i="17"/>
  <c r="P162" i="17" s="1"/>
  <c r="M163" i="17"/>
  <c r="N163" i="17"/>
  <c r="O163" i="17"/>
  <c r="P163" i="17" s="1"/>
  <c r="M164" i="17"/>
  <c r="N164" i="17"/>
  <c r="O164" i="17"/>
  <c r="P164" i="17" s="1"/>
  <c r="M165" i="17"/>
  <c r="N165" i="17"/>
  <c r="O165" i="17"/>
  <c r="P165" i="17" s="1"/>
  <c r="M166" i="17"/>
  <c r="N166" i="17"/>
  <c r="O166" i="17"/>
  <c r="P166" i="17" s="1"/>
  <c r="M167" i="17"/>
  <c r="N167" i="17"/>
  <c r="O167" i="17"/>
  <c r="P167" i="17" s="1"/>
  <c r="M168" i="17"/>
  <c r="N168" i="17"/>
  <c r="O168" i="17"/>
  <c r="P168" i="17" s="1"/>
  <c r="M169" i="17"/>
  <c r="N169" i="17"/>
  <c r="O169" i="17"/>
  <c r="P169" i="17" s="1"/>
  <c r="M170" i="17"/>
  <c r="N170" i="17"/>
  <c r="O170" i="17"/>
  <c r="P170" i="17" s="1"/>
  <c r="M171" i="17"/>
  <c r="N171" i="17"/>
  <c r="O171" i="17"/>
  <c r="P171" i="17" s="1"/>
  <c r="M172" i="17"/>
  <c r="N172" i="17"/>
  <c r="O172" i="17"/>
  <c r="P172" i="17" s="1"/>
  <c r="M173" i="17"/>
  <c r="N173" i="17"/>
  <c r="O173" i="17"/>
  <c r="P173" i="17" s="1"/>
  <c r="M174" i="17"/>
  <c r="N174" i="17"/>
  <c r="O174" i="17"/>
  <c r="P174" i="17" s="1"/>
  <c r="M175" i="17"/>
  <c r="N175" i="17"/>
  <c r="O175" i="17"/>
  <c r="P175" i="17" s="1"/>
  <c r="M176" i="17"/>
  <c r="N176" i="17"/>
  <c r="O176" i="17"/>
  <c r="P176" i="17" s="1"/>
  <c r="M177" i="17"/>
  <c r="N177" i="17"/>
  <c r="O177" i="17"/>
  <c r="P177" i="17" s="1"/>
  <c r="M178" i="17"/>
  <c r="N178" i="17"/>
  <c r="O178" i="17"/>
  <c r="P178" i="17" s="1"/>
  <c r="M179" i="17"/>
  <c r="N179" i="17"/>
  <c r="O179" i="17"/>
  <c r="P179" i="17" s="1"/>
  <c r="M180" i="17"/>
  <c r="N180" i="17"/>
  <c r="O180" i="17"/>
  <c r="P180" i="17" s="1"/>
  <c r="M181" i="17"/>
  <c r="N181" i="17"/>
  <c r="O181" i="17"/>
  <c r="P181" i="17" s="1"/>
  <c r="M182" i="17"/>
  <c r="N182" i="17"/>
  <c r="O182" i="17"/>
  <c r="P182" i="17" s="1"/>
  <c r="M183" i="17"/>
  <c r="N183" i="17"/>
  <c r="O183" i="17"/>
  <c r="P183" i="17" s="1"/>
  <c r="M184" i="17"/>
  <c r="N184" i="17"/>
  <c r="O184" i="17"/>
  <c r="P184" i="17" s="1"/>
  <c r="M185" i="17"/>
  <c r="N185" i="17"/>
  <c r="O185" i="17"/>
  <c r="P185" i="17" s="1"/>
  <c r="M186" i="17"/>
  <c r="N186" i="17"/>
  <c r="O186" i="17"/>
  <c r="P186" i="17" s="1"/>
  <c r="M187" i="17"/>
  <c r="N187" i="17"/>
  <c r="O187" i="17"/>
  <c r="P187" i="17" s="1"/>
  <c r="M188" i="17"/>
  <c r="N188" i="17"/>
  <c r="O188" i="17"/>
  <c r="P188" i="17" s="1"/>
  <c r="M189" i="17"/>
  <c r="N189" i="17"/>
  <c r="O189" i="17"/>
  <c r="P189" i="17" s="1"/>
  <c r="M190" i="17"/>
  <c r="N190" i="17"/>
  <c r="O190" i="17"/>
  <c r="P190" i="17" s="1"/>
  <c r="M191" i="17"/>
  <c r="N191" i="17"/>
  <c r="O191" i="17"/>
  <c r="P191" i="17" s="1"/>
  <c r="M192" i="17"/>
  <c r="N192" i="17"/>
  <c r="O192" i="17"/>
  <c r="P192" i="17" s="1"/>
  <c r="M193" i="17"/>
  <c r="N193" i="17"/>
  <c r="O193" i="17"/>
  <c r="P193" i="17" s="1"/>
  <c r="M194" i="17"/>
  <c r="N194" i="17"/>
  <c r="O194" i="17"/>
  <c r="P194" i="17" s="1"/>
  <c r="M195" i="17"/>
  <c r="N195" i="17"/>
  <c r="O195" i="17"/>
  <c r="P195" i="17" s="1"/>
  <c r="M196" i="17"/>
  <c r="N196" i="17"/>
  <c r="O196" i="17"/>
  <c r="P196" i="17" s="1"/>
  <c r="M197" i="17"/>
  <c r="N197" i="17"/>
  <c r="O197" i="17"/>
  <c r="P197" i="17" s="1"/>
  <c r="M198" i="17"/>
  <c r="N198" i="17"/>
  <c r="O198" i="17"/>
  <c r="P198" i="17" s="1"/>
  <c r="M199" i="17"/>
  <c r="N199" i="17"/>
  <c r="O199" i="17"/>
  <c r="P199" i="17" s="1"/>
  <c r="M200" i="17"/>
  <c r="N200" i="17"/>
  <c r="O200" i="17"/>
  <c r="P200" i="17" s="1"/>
  <c r="M201" i="17"/>
  <c r="N201" i="17"/>
  <c r="O201" i="17"/>
  <c r="P201" i="17" s="1"/>
  <c r="M202" i="17"/>
  <c r="N202" i="17"/>
  <c r="O202" i="17"/>
  <c r="P202" i="17" s="1"/>
  <c r="M203" i="17"/>
  <c r="N203" i="17"/>
  <c r="O203" i="17"/>
  <c r="P203" i="17" s="1"/>
  <c r="M204" i="17"/>
  <c r="N204" i="17"/>
  <c r="O204" i="17"/>
  <c r="P204" i="17" s="1"/>
  <c r="M205" i="17"/>
  <c r="N205" i="17"/>
  <c r="O205" i="17"/>
  <c r="P205" i="17" s="1"/>
  <c r="M206" i="17"/>
  <c r="N206" i="17"/>
  <c r="O206" i="17"/>
  <c r="P206" i="17" s="1"/>
  <c r="M207" i="17"/>
  <c r="N207" i="17"/>
  <c r="O207" i="17"/>
  <c r="P207" i="17" s="1"/>
  <c r="M208" i="17"/>
  <c r="N208" i="17"/>
  <c r="O208" i="17"/>
  <c r="P208" i="17" s="1"/>
  <c r="M209" i="17"/>
  <c r="N209" i="17"/>
  <c r="O209" i="17"/>
  <c r="P209" i="17" s="1"/>
  <c r="M210" i="17"/>
  <c r="N210" i="17"/>
  <c r="O210" i="17"/>
  <c r="P210" i="17" s="1"/>
  <c r="M211" i="17"/>
  <c r="N211" i="17"/>
  <c r="O211" i="17"/>
  <c r="P211" i="17" s="1"/>
  <c r="M212" i="17"/>
  <c r="N212" i="17"/>
  <c r="O212" i="17"/>
  <c r="P212" i="17" s="1"/>
  <c r="M213" i="17"/>
  <c r="N213" i="17"/>
  <c r="O213" i="17"/>
  <c r="P213" i="17" s="1"/>
  <c r="M214" i="17"/>
  <c r="N214" i="17"/>
  <c r="O214" i="17"/>
  <c r="P214" i="17" s="1"/>
  <c r="M215" i="17"/>
  <c r="N215" i="17"/>
  <c r="O215" i="17"/>
  <c r="P215" i="17" s="1"/>
  <c r="M216" i="17"/>
  <c r="N216" i="17"/>
  <c r="O216" i="17"/>
  <c r="P216" i="17" s="1"/>
  <c r="M217" i="17"/>
  <c r="N217" i="17"/>
  <c r="O217" i="17"/>
  <c r="P217" i="17" s="1"/>
  <c r="M218" i="17"/>
  <c r="N218" i="17"/>
  <c r="O218" i="17"/>
  <c r="P218" i="17" s="1"/>
  <c r="M219" i="17"/>
  <c r="N219" i="17"/>
  <c r="O219" i="17"/>
  <c r="P219" i="17" s="1"/>
  <c r="M220" i="17"/>
  <c r="N220" i="17"/>
  <c r="O220" i="17"/>
  <c r="P220" i="17" s="1"/>
  <c r="M221" i="17"/>
  <c r="N221" i="17"/>
  <c r="O221" i="17"/>
  <c r="P221" i="17" s="1"/>
  <c r="M222" i="17"/>
  <c r="N222" i="17"/>
  <c r="O222" i="17"/>
  <c r="P222" i="17" s="1"/>
  <c r="M223" i="17"/>
  <c r="N223" i="17"/>
  <c r="O223" i="17"/>
  <c r="P223" i="17" s="1"/>
  <c r="M224" i="17"/>
  <c r="N224" i="17"/>
  <c r="O224" i="17"/>
  <c r="P224" i="17" s="1"/>
  <c r="M225" i="17"/>
  <c r="N225" i="17"/>
  <c r="O225" i="17"/>
  <c r="P225" i="17" s="1"/>
  <c r="M226" i="17"/>
  <c r="N226" i="17"/>
  <c r="O226" i="17"/>
  <c r="P226" i="17" s="1"/>
  <c r="M227" i="17"/>
  <c r="N227" i="17"/>
  <c r="O227" i="17"/>
  <c r="P227" i="17" s="1"/>
  <c r="M228" i="17"/>
  <c r="N228" i="17"/>
  <c r="O228" i="17"/>
  <c r="P228" i="17" s="1"/>
  <c r="M229" i="17"/>
  <c r="N229" i="17"/>
  <c r="O229" i="17"/>
  <c r="P229" i="17" s="1"/>
  <c r="M230" i="17"/>
  <c r="N230" i="17"/>
  <c r="O230" i="17"/>
  <c r="P230" i="17" s="1"/>
  <c r="M231" i="17"/>
  <c r="N231" i="17"/>
  <c r="O231" i="17"/>
  <c r="P231" i="17" s="1"/>
  <c r="M232" i="17"/>
  <c r="N232" i="17"/>
  <c r="O232" i="17"/>
  <c r="P232" i="17" s="1"/>
  <c r="M233" i="17"/>
  <c r="N233" i="17"/>
  <c r="O233" i="17"/>
  <c r="P233" i="17" s="1"/>
  <c r="M234" i="17"/>
  <c r="N234" i="17"/>
  <c r="O234" i="17"/>
  <c r="P234" i="17" s="1"/>
  <c r="M235" i="17"/>
  <c r="N235" i="17"/>
  <c r="O235" i="17"/>
  <c r="P235" i="17" s="1"/>
  <c r="M236" i="17"/>
  <c r="N236" i="17"/>
  <c r="O236" i="17"/>
  <c r="P236" i="17" s="1"/>
  <c r="M237" i="17"/>
  <c r="N237" i="17"/>
  <c r="O237" i="17"/>
  <c r="P237" i="17" s="1"/>
  <c r="M238" i="17"/>
  <c r="N238" i="17"/>
  <c r="O238" i="17"/>
  <c r="P238" i="17" s="1"/>
  <c r="M239" i="17"/>
  <c r="N239" i="17"/>
  <c r="O239" i="17"/>
  <c r="P239" i="17" s="1"/>
  <c r="M240" i="17"/>
  <c r="N240" i="17"/>
  <c r="O240" i="17"/>
  <c r="P240" i="17" s="1"/>
  <c r="M241" i="17"/>
  <c r="N241" i="17"/>
  <c r="O241" i="17"/>
  <c r="P241" i="17" s="1"/>
  <c r="M242" i="17"/>
  <c r="N242" i="17"/>
  <c r="O242" i="17"/>
  <c r="P242" i="17" s="1"/>
  <c r="M243" i="17"/>
  <c r="N243" i="17"/>
  <c r="O243" i="17"/>
  <c r="P243" i="17" s="1"/>
  <c r="M244" i="17"/>
  <c r="N244" i="17"/>
  <c r="O244" i="17"/>
  <c r="P244" i="17" s="1"/>
  <c r="M245" i="17"/>
  <c r="N245" i="17"/>
  <c r="O245" i="17"/>
  <c r="P245" i="17" s="1"/>
  <c r="M246" i="17"/>
  <c r="N246" i="17"/>
  <c r="O246" i="17"/>
  <c r="P246" i="17" s="1"/>
  <c r="M247" i="17"/>
  <c r="N247" i="17"/>
  <c r="O247" i="17"/>
  <c r="P247" i="17" s="1"/>
  <c r="M248" i="17"/>
  <c r="N248" i="17"/>
  <c r="O248" i="17"/>
  <c r="P248" i="17" s="1"/>
  <c r="M249" i="17"/>
  <c r="N249" i="17"/>
  <c r="O249" i="17"/>
  <c r="P249" i="17" s="1"/>
  <c r="M250" i="17"/>
  <c r="N250" i="17"/>
  <c r="O250" i="17"/>
  <c r="P250" i="17" s="1"/>
  <c r="M251" i="17"/>
  <c r="N251" i="17"/>
  <c r="O251" i="17"/>
  <c r="P251" i="17" s="1"/>
  <c r="M252" i="17"/>
  <c r="N252" i="17"/>
  <c r="O252" i="17"/>
  <c r="P252" i="17" s="1"/>
  <c r="M253" i="17"/>
  <c r="N253" i="17"/>
  <c r="O253" i="17"/>
  <c r="P253" i="17" s="1"/>
  <c r="M254" i="17"/>
  <c r="N254" i="17"/>
  <c r="O254" i="17"/>
  <c r="P254" i="17" s="1"/>
  <c r="M255" i="17"/>
  <c r="N255" i="17"/>
  <c r="O255" i="17"/>
  <c r="P255" i="17" s="1"/>
  <c r="M256" i="17"/>
  <c r="N256" i="17"/>
  <c r="O256" i="17"/>
  <c r="P256" i="17" s="1"/>
  <c r="M257" i="17"/>
  <c r="N257" i="17"/>
  <c r="O257" i="17"/>
  <c r="P257" i="17" s="1"/>
  <c r="M258" i="17"/>
  <c r="N258" i="17"/>
  <c r="O258" i="17"/>
  <c r="P258" i="17" s="1"/>
  <c r="M259" i="17"/>
  <c r="N259" i="17"/>
  <c r="O259" i="17"/>
  <c r="P259" i="17" s="1"/>
  <c r="M260" i="17"/>
  <c r="N260" i="17"/>
  <c r="O260" i="17"/>
  <c r="P260" i="17" s="1"/>
  <c r="M261" i="17"/>
  <c r="N261" i="17"/>
  <c r="O261" i="17"/>
  <c r="P261" i="17" s="1"/>
  <c r="M262" i="17"/>
  <c r="N262" i="17"/>
  <c r="O262" i="17"/>
  <c r="P262" i="17" s="1"/>
  <c r="M263" i="17"/>
  <c r="N263" i="17"/>
  <c r="O263" i="17"/>
  <c r="P263" i="17" s="1"/>
  <c r="M264" i="17"/>
  <c r="N264" i="17"/>
  <c r="O264" i="17"/>
  <c r="P264" i="17" s="1"/>
  <c r="M265" i="17"/>
  <c r="N265" i="17"/>
  <c r="O265" i="17"/>
  <c r="P265" i="17" s="1"/>
  <c r="M266" i="17"/>
  <c r="N266" i="17"/>
  <c r="O266" i="17"/>
  <c r="P266" i="17" s="1"/>
  <c r="M267" i="17"/>
  <c r="N267" i="17"/>
  <c r="O267" i="17"/>
  <c r="P267" i="17" s="1"/>
  <c r="M268" i="17"/>
  <c r="N268" i="17"/>
  <c r="O268" i="17"/>
  <c r="P268" i="17" s="1"/>
  <c r="M269" i="17"/>
  <c r="N269" i="17"/>
  <c r="O269" i="17"/>
  <c r="P269" i="17" s="1"/>
  <c r="M270" i="17"/>
  <c r="N270" i="17"/>
  <c r="O270" i="17"/>
  <c r="P270" i="17" s="1"/>
  <c r="M271" i="17"/>
  <c r="N271" i="17"/>
  <c r="O271" i="17"/>
  <c r="P271" i="17" s="1"/>
  <c r="M272" i="17"/>
  <c r="N272" i="17"/>
  <c r="O272" i="17"/>
  <c r="P272" i="17" s="1"/>
  <c r="M273" i="17"/>
  <c r="N273" i="17"/>
  <c r="O273" i="17"/>
  <c r="P273" i="17" s="1"/>
  <c r="M274" i="17"/>
  <c r="N274" i="17"/>
  <c r="O274" i="17"/>
  <c r="P274" i="17" s="1"/>
  <c r="M275" i="17"/>
  <c r="N275" i="17"/>
  <c r="O275" i="17"/>
  <c r="P275" i="17" s="1"/>
  <c r="M276" i="17"/>
  <c r="N276" i="17"/>
  <c r="O276" i="17"/>
  <c r="P276" i="17" s="1"/>
  <c r="M277" i="17"/>
  <c r="N277" i="17"/>
  <c r="O277" i="17"/>
  <c r="P277" i="17" s="1"/>
  <c r="M278" i="17"/>
  <c r="N278" i="17"/>
  <c r="O278" i="17"/>
  <c r="P278" i="17" s="1"/>
  <c r="M279" i="17"/>
  <c r="N279" i="17"/>
  <c r="O279" i="17"/>
  <c r="P279" i="17" s="1"/>
  <c r="M280" i="17"/>
  <c r="N280" i="17"/>
  <c r="O280" i="17"/>
  <c r="P280" i="17" s="1"/>
  <c r="M281" i="17"/>
  <c r="N281" i="17"/>
  <c r="O281" i="17"/>
  <c r="P281" i="17" s="1"/>
  <c r="M282" i="17"/>
  <c r="N282" i="17"/>
  <c r="O282" i="17"/>
  <c r="P282" i="17" s="1"/>
  <c r="M283" i="17"/>
  <c r="N283" i="17"/>
  <c r="O283" i="17"/>
  <c r="P283" i="17" s="1"/>
  <c r="M284" i="17"/>
  <c r="N284" i="17"/>
  <c r="O284" i="17"/>
  <c r="P284" i="17" s="1"/>
  <c r="M285" i="17"/>
  <c r="N285" i="17"/>
  <c r="O285" i="17"/>
  <c r="P285" i="17" s="1"/>
  <c r="M286" i="17"/>
  <c r="N286" i="17"/>
  <c r="O286" i="17"/>
  <c r="P286" i="17" s="1"/>
  <c r="M287" i="17"/>
  <c r="N287" i="17"/>
  <c r="O287" i="17"/>
  <c r="P287" i="17" s="1"/>
  <c r="M288" i="17"/>
  <c r="N288" i="17"/>
  <c r="O288" i="17"/>
  <c r="P288" i="17" s="1"/>
  <c r="M289" i="17"/>
  <c r="N289" i="17"/>
  <c r="O289" i="17"/>
  <c r="P289" i="17" s="1"/>
  <c r="M290" i="17"/>
  <c r="N290" i="17"/>
  <c r="O290" i="17"/>
  <c r="P290" i="17" s="1"/>
  <c r="M291" i="17"/>
  <c r="N291" i="17"/>
  <c r="O291" i="17"/>
  <c r="P291" i="17" s="1"/>
  <c r="M292" i="17"/>
  <c r="N292" i="17"/>
  <c r="O292" i="17"/>
  <c r="P292" i="17" s="1"/>
  <c r="M293" i="17"/>
  <c r="N293" i="17"/>
  <c r="O293" i="17"/>
  <c r="P293" i="17" s="1"/>
  <c r="M294" i="17"/>
  <c r="N294" i="17"/>
  <c r="O294" i="17"/>
  <c r="P294" i="17" s="1"/>
  <c r="M295" i="17"/>
  <c r="N295" i="17"/>
  <c r="O295" i="17"/>
  <c r="P295" i="17" s="1"/>
  <c r="M296" i="17"/>
  <c r="N296" i="17"/>
  <c r="O296" i="17"/>
  <c r="P296" i="17" s="1"/>
  <c r="M297" i="17"/>
  <c r="N297" i="17"/>
  <c r="O297" i="17"/>
  <c r="P297" i="17" s="1"/>
  <c r="M298" i="17"/>
  <c r="N298" i="17"/>
  <c r="O298" i="17"/>
  <c r="P298" i="17" s="1"/>
  <c r="M299" i="17"/>
  <c r="N299" i="17"/>
  <c r="O299" i="17"/>
  <c r="P299" i="17" s="1"/>
  <c r="M300" i="17"/>
  <c r="N300" i="17"/>
  <c r="O300" i="17"/>
  <c r="P300" i="17" s="1"/>
  <c r="M301" i="17"/>
  <c r="N301" i="17"/>
  <c r="O301" i="17"/>
  <c r="P301" i="17" s="1"/>
  <c r="M302" i="17"/>
  <c r="N302" i="17"/>
  <c r="O302" i="17"/>
  <c r="P302" i="17" s="1"/>
  <c r="M303" i="17"/>
  <c r="N303" i="17"/>
  <c r="O303" i="17"/>
  <c r="P303" i="17" s="1"/>
  <c r="M304" i="17"/>
  <c r="N304" i="17"/>
  <c r="O304" i="17"/>
  <c r="P304" i="17" s="1"/>
  <c r="M305" i="17"/>
  <c r="N305" i="17"/>
  <c r="O305" i="17"/>
  <c r="P305" i="17" s="1"/>
  <c r="M306" i="17"/>
  <c r="N306" i="17"/>
  <c r="O306" i="17"/>
  <c r="P306" i="17" s="1"/>
  <c r="M307" i="17"/>
  <c r="N307" i="17"/>
  <c r="O307" i="17"/>
  <c r="P307" i="17" s="1"/>
  <c r="M308" i="17"/>
  <c r="N308" i="17"/>
  <c r="O308" i="17"/>
  <c r="P308" i="17" s="1"/>
  <c r="M309" i="17"/>
  <c r="N309" i="17"/>
  <c r="O309" i="17"/>
  <c r="P309" i="17" s="1"/>
  <c r="M310" i="17"/>
  <c r="N310" i="17"/>
  <c r="O310" i="17"/>
  <c r="P310" i="17" s="1"/>
  <c r="M311" i="17"/>
  <c r="N311" i="17"/>
  <c r="O311" i="17"/>
  <c r="P311" i="17" s="1"/>
  <c r="M312" i="17"/>
  <c r="N312" i="17"/>
  <c r="O312" i="17"/>
  <c r="P312" i="17" s="1"/>
  <c r="M313" i="17"/>
  <c r="N313" i="17"/>
  <c r="O313" i="17"/>
  <c r="P313" i="17" s="1"/>
  <c r="M314" i="17"/>
  <c r="N314" i="17"/>
  <c r="O314" i="17"/>
  <c r="P314" i="17" s="1"/>
  <c r="M315" i="17"/>
  <c r="N315" i="17"/>
  <c r="O315" i="17"/>
  <c r="P315" i="17" s="1"/>
  <c r="M316" i="17"/>
  <c r="N316" i="17"/>
  <c r="O316" i="17"/>
  <c r="P316" i="17" s="1"/>
  <c r="M317" i="17"/>
  <c r="N317" i="17"/>
  <c r="O317" i="17"/>
  <c r="P317" i="17" s="1"/>
  <c r="M318" i="17"/>
  <c r="N318" i="17"/>
  <c r="O318" i="17"/>
  <c r="P318" i="17" s="1"/>
  <c r="M319" i="17"/>
  <c r="N319" i="17"/>
  <c r="O319" i="17"/>
  <c r="P319" i="17" s="1"/>
  <c r="M320" i="17"/>
  <c r="N320" i="17"/>
  <c r="O320" i="17"/>
  <c r="P320" i="17" s="1"/>
  <c r="M321" i="17"/>
  <c r="N321" i="17"/>
  <c r="O321" i="17"/>
  <c r="P321" i="17" s="1"/>
  <c r="M322" i="17"/>
  <c r="N322" i="17"/>
  <c r="O322" i="17"/>
  <c r="P322" i="17" s="1"/>
  <c r="M323" i="17"/>
  <c r="N323" i="17"/>
  <c r="O323" i="17"/>
  <c r="P323" i="17" s="1"/>
  <c r="M324" i="17"/>
  <c r="N324" i="17"/>
  <c r="O324" i="17"/>
  <c r="P324" i="17" s="1"/>
  <c r="M325" i="17"/>
  <c r="N325" i="17"/>
  <c r="O325" i="17"/>
  <c r="P325" i="17" s="1"/>
  <c r="M326" i="17"/>
  <c r="N326" i="17"/>
  <c r="O326" i="17"/>
  <c r="P326" i="17" s="1"/>
  <c r="M327" i="17"/>
  <c r="N327" i="17"/>
  <c r="O327" i="17"/>
  <c r="P327" i="17" s="1"/>
  <c r="M328" i="17"/>
  <c r="N328" i="17"/>
  <c r="O328" i="17"/>
  <c r="P328" i="17" s="1"/>
  <c r="M329" i="17"/>
  <c r="N329" i="17"/>
  <c r="O329" i="17"/>
  <c r="P329" i="17" s="1"/>
  <c r="M330" i="17"/>
  <c r="N330" i="17"/>
  <c r="O330" i="17"/>
  <c r="P330" i="17" s="1"/>
  <c r="M331" i="17"/>
  <c r="N331" i="17"/>
  <c r="O331" i="17"/>
  <c r="P331" i="17" s="1"/>
  <c r="M332" i="17"/>
  <c r="N332" i="17"/>
  <c r="O332" i="17"/>
  <c r="P332" i="17" s="1"/>
  <c r="M333" i="17"/>
  <c r="N333" i="17"/>
  <c r="O333" i="17"/>
  <c r="P333" i="17" s="1"/>
  <c r="M334" i="17"/>
  <c r="N334" i="17"/>
  <c r="O334" i="17"/>
  <c r="P334" i="17" s="1"/>
  <c r="M335" i="17"/>
  <c r="N335" i="17"/>
  <c r="O335" i="17"/>
  <c r="P335" i="17" s="1"/>
  <c r="M336" i="17"/>
  <c r="N336" i="17"/>
  <c r="O336" i="17"/>
  <c r="P336" i="17" s="1"/>
  <c r="M337" i="17"/>
  <c r="N337" i="17"/>
  <c r="O337" i="17"/>
  <c r="P337" i="17" s="1"/>
  <c r="M338" i="17"/>
  <c r="N338" i="17"/>
  <c r="O338" i="17"/>
  <c r="P338" i="17" s="1"/>
  <c r="M339" i="17"/>
  <c r="N339" i="17"/>
  <c r="O339" i="17"/>
  <c r="P339" i="17" s="1"/>
  <c r="M340" i="17"/>
  <c r="N340" i="17"/>
  <c r="O340" i="17"/>
  <c r="P340" i="17" s="1"/>
  <c r="M341" i="17"/>
  <c r="N341" i="17"/>
  <c r="O341" i="17"/>
  <c r="P341" i="17" s="1"/>
  <c r="M342" i="17"/>
  <c r="N342" i="17"/>
  <c r="O342" i="17"/>
  <c r="P342" i="17" s="1"/>
  <c r="M343" i="17"/>
  <c r="N343" i="17"/>
  <c r="O343" i="17"/>
  <c r="P343" i="17" s="1"/>
  <c r="M344" i="17"/>
  <c r="N344" i="17"/>
  <c r="O344" i="17"/>
  <c r="P344" i="17" s="1"/>
  <c r="M345" i="17"/>
  <c r="N345" i="17"/>
  <c r="O345" i="17"/>
  <c r="P345" i="17" s="1"/>
  <c r="M346" i="17"/>
  <c r="N346" i="17"/>
  <c r="O346" i="17"/>
  <c r="P346" i="17" s="1"/>
  <c r="M347" i="17"/>
  <c r="N347" i="17"/>
  <c r="O347" i="17"/>
  <c r="P347" i="17" s="1"/>
  <c r="M348" i="17"/>
  <c r="N348" i="17"/>
  <c r="O348" i="17"/>
  <c r="P348" i="17" s="1"/>
  <c r="M349" i="17"/>
  <c r="N349" i="17"/>
  <c r="O349" i="17"/>
  <c r="P349" i="17" s="1"/>
  <c r="M350" i="17"/>
  <c r="N350" i="17"/>
  <c r="O350" i="17"/>
  <c r="P350" i="17" s="1"/>
  <c r="M351" i="17"/>
  <c r="N351" i="17"/>
  <c r="O351" i="17"/>
  <c r="P351" i="17" s="1"/>
  <c r="M352" i="17"/>
  <c r="N352" i="17"/>
  <c r="O352" i="17"/>
  <c r="P352" i="17" s="1"/>
  <c r="M353" i="17"/>
  <c r="N353" i="17"/>
  <c r="O353" i="17"/>
  <c r="P353" i="17" s="1"/>
  <c r="M354" i="17"/>
  <c r="N354" i="17"/>
  <c r="O354" i="17"/>
  <c r="P354" i="17" s="1"/>
  <c r="M355" i="17"/>
  <c r="N355" i="17"/>
  <c r="O355" i="17"/>
  <c r="P355" i="17" s="1"/>
  <c r="M356" i="17"/>
  <c r="N356" i="17"/>
  <c r="O356" i="17"/>
  <c r="P356" i="17" s="1"/>
  <c r="M357" i="17"/>
  <c r="N357" i="17"/>
  <c r="O357" i="17"/>
  <c r="P357" i="17" s="1"/>
  <c r="M358" i="17"/>
  <c r="N358" i="17"/>
  <c r="O358" i="17"/>
  <c r="P358" i="17" s="1"/>
  <c r="M359" i="17"/>
  <c r="N359" i="17"/>
  <c r="O359" i="17"/>
  <c r="P359" i="17" s="1"/>
  <c r="M360" i="17"/>
  <c r="N360" i="17"/>
  <c r="O360" i="17"/>
  <c r="P360" i="17" s="1"/>
  <c r="M361" i="17"/>
  <c r="N361" i="17"/>
  <c r="O361" i="17"/>
  <c r="P361" i="17" s="1"/>
  <c r="M362" i="17"/>
  <c r="N362" i="17"/>
  <c r="O362" i="17"/>
  <c r="P362" i="17" s="1"/>
  <c r="M363" i="17"/>
  <c r="N363" i="17"/>
  <c r="O363" i="17"/>
  <c r="P363" i="17" s="1"/>
  <c r="M364" i="17"/>
  <c r="N364" i="17"/>
  <c r="O364" i="17"/>
  <c r="P364" i="17" s="1"/>
  <c r="M365" i="17"/>
  <c r="N365" i="17"/>
  <c r="O365" i="17"/>
  <c r="P365" i="17" s="1"/>
  <c r="M366" i="17"/>
  <c r="N366" i="17"/>
  <c r="O366" i="17"/>
  <c r="P366" i="17" s="1"/>
  <c r="M367" i="17"/>
  <c r="N367" i="17"/>
  <c r="O367" i="17"/>
  <c r="P367" i="17" s="1"/>
  <c r="M368" i="17"/>
  <c r="N368" i="17"/>
  <c r="O368" i="17"/>
  <c r="P368" i="17" s="1"/>
  <c r="M369" i="17"/>
  <c r="N369" i="17"/>
  <c r="O369" i="17"/>
  <c r="P369" i="17" s="1"/>
  <c r="M370" i="17"/>
  <c r="N370" i="17"/>
  <c r="O370" i="17"/>
  <c r="P370" i="17" s="1"/>
  <c r="M371" i="17"/>
  <c r="N371" i="17"/>
  <c r="O371" i="17"/>
  <c r="P371" i="17" s="1"/>
  <c r="M372" i="17"/>
  <c r="N372" i="17"/>
  <c r="O372" i="17"/>
  <c r="P372" i="17" s="1"/>
  <c r="M373" i="17"/>
  <c r="N373" i="17"/>
  <c r="O373" i="17"/>
  <c r="P373" i="17" s="1"/>
  <c r="M374" i="17"/>
  <c r="N374" i="17"/>
  <c r="O374" i="17"/>
  <c r="P374" i="17" s="1"/>
  <c r="M375" i="17"/>
  <c r="N375" i="17"/>
  <c r="O375" i="17"/>
  <c r="P375" i="17" s="1"/>
  <c r="M376" i="17"/>
  <c r="N376" i="17"/>
  <c r="O376" i="17"/>
  <c r="P376" i="17" s="1"/>
  <c r="M377" i="17"/>
  <c r="N377" i="17"/>
  <c r="O377" i="17"/>
  <c r="P377" i="17" s="1"/>
  <c r="M378" i="17"/>
  <c r="N378" i="17"/>
  <c r="O378" i="17"/>
  <c r="P378" i="17" s="1"/>
  <c r="M379" i="17"/>
  <c r="N379" i="17"/>
  <c r="O379" i="17"/>
  <c r="P379" i="17" s="1"/>
  <c r="M380" i="17"/>
  <c r="N380" i="17"/>
  <c r="O380" i="17"/>
  <c r="P380" i="17" s="1"/>
  <c r="M381" i="17"/>
  <c r="N381" i="17"/>
  <c r="O381" i="17"/>
  <c r="P381" i="17" s="1"/>
  <c r="M382" i="17"/>
  <c r="N382" i="17"/>
  <c r="O382" i="17"/>
  <c r="P382" i="17" s="1"/>
  <c r="M383" i="17"/>
  <c r="N383" i="17"/>
  <c r="O383" i="17"/>
  <c r="P383" i="17" s="1"/>
  <c r="M384" i="17"/>
  <c r="N384" i="17"/>
  <c r="O384" i="17"/>
  <c r="P384" i="17" s="1"/>
  <c r="M385" i="17"/>
  <c r="N385" i="17"/>
  <c r="O385" i="17"/>
  <c r="P385" i="17" s="1"/>
  <c r="M386" i="17"/>
  <c r="N386" i="17"/>
  <c r="O386" i="17"/>
  <c r="P386" i="17" s="1"/>
  <c r="M387" i="17"/>
  <c r="N387" i="17"/>
  <c r="O387" i="17"/>
  <c r="P387" i="17" s="1"/>
  <c r="M388" i="17"/>
  <c r="N388" i="17"/>
  <c r="O388" i="17"/>
  <c r="P388" i="17" s="1"/>
  <c r="M389" i="17"/>
  <c r="N389" i="17"/>
  <c r="O389" i="17"/>
  <c r="P389" i="17" s="1"/>
  <c r="M390" i="17"/>
  <c r="N390" i="17"/>
  <c r="O390" i="17"/>
  <c r="P390" i="17" s="1"/>
  <c r="M391" i="17"/>
  <c r="N391" i="17"/>
  <c r="O391" i="17"/>
  <c r="P391" i="17" s="1"/>
  <c r="M392" i="17"/>
  <c r="N392" i="17"/>
  <c r="O392" i="17"/>
  <c r="P392" i="17" s="1"/>
  <c r="M393" i="17"/>
  <c r="N393" i="17"/>
  <c r="O393" i="17"/>
  <c r="P393" i="17" s="1"/>
  <c r="M394" i="17"/>
  <c r="N394" i="17"/>
  <c r="O394" i="17"/>
  <c r="P394" i="17" s="1"/>
  <c r="M395" i="17"/>
  <c r="N395" i="17"/>
  <c r="O395" i="17"/>
  <c r="P395" i="17" s="1"/>
  <c r="M396" i="17"/>
  <c r="N396" i="17"/>
  <c r="O396" i="17"/>
  <c r="P396" i="17" s="1"/>
  <c r="M397" i="17"/>
  <c r="N397" i="17"/>
  <c r="O397" i="17"/>
  <c r="P397" i="17" s="1"/>
  <c r="M398" i="17"/>
  <c r="N398" i="17"/>
  <c r="O398" i="17"/>
  <c r="P398" i="17" s="1"/>
  <c r="M399" i="17"/>
  <c r="N399" i="17"/>
  <c r="O399" i="17"/>
  <c r="P399" i="17" s="1"/>
  <c r="M400" i="17"/>
  <c r="N400" i="17"/>
  <c r="O400" i="17"/>
  <c r="P400" i="17" s="1"/>
  <c r="M401" i="17"/>
  <c r="N401" i="17"/>
  <c r="O401" i="17"/>
  <c r="P401" i="17" s="1"/>
  <c r="M402" i="17"/>
  <c r="N402" i="17"/>
  <c r="O402" i="17"/>
  <c r="P402" i="17" s="1"/>
  <c r="M403" i="17"/>
  <c r="N403" i="17"/>
  <c r="O403" i="17"/>
  <c r="P403" i="17" s="1"/>
  <c r="M404" i="17"/>
  <c r="N404" i="17"/>
  <c r="O404" i="17"/>
  <c r="P404" i="17" s="1"/>
  <c r="M405" i="17"/>
  <c r="N405" i="17"/>
  <c r="O405" i="17"/>
  <c r="P405" i="17" s="1"/>
  <c r="M406" i="17"/>
  <c r="N406" i="17"/>
  <c r="O406" i="17"/>
  <c r="P406" i="17" s="1"/>
  <c r="M407" i="17"/>
  <c r="N407" i="17"/>
  <c r="O407" i="17"/>
  <c r="P407" i="17" s="1"/>
  <c r="M408" i="17"/>
  <c r="N408" i="17"/>
  <c r="O408" i="17"/>
  <c r="P408" i="17" s="1"/>
  <c r="M409" i="17"/>
  <c r="N409" i="17"/>
  <c r="O409" i="17"/>
  <c r="P409" i="17" s="1"/>
  <c r="M410" i="17"/>
  <c r="N410" i="17"/>
  <c r="O410" i="17"/>
  <c r="P410" i="17" s="1"/>
  <c r="M411" i="17"/>
  <c r="N411" i="17"/>
  <c r="O411" i="17"/>
  <c r="P411" i="17" s="1"/>
  <c r="M412" i="17"/>
  <c r="N412" i="17"/>
  <c r="O412" i="17"/>
  <c r="P412" i="17" s="1"/>
  <c r="M413" i="17"/>
  <c r="N413" i="17"/>
  <c r="O413" i="17"/>
  <c r="P413" i="17" s="1"/>
  <c r="M414" i="17"/>
  <c r="N414" i="17"/>
  <c r="O414" i="17"/>
  <c r="P414" i="17" s="1"/>
  <c r="M415" i="17"/>
  <c r="N415" i="17"/>
  <c r="O415" i="17"/>
  <c r="P415" i="17" s="1"/>
  <c r="M416" i="17"/>
  <c r="N416" i="17"/>
  <c r="O416" i="17"/>
  <c r="P416" i="17" s="1"/>
  <c r="M417" i="17"/>
  <c r="N417" i="17"/>
  <c r="O417" i="17"/>
  <c r="P417" i="17" s="1"/>
  <c r="M418" i="17"/>
  <c r="N418" i="17"/>
  <c r="O418" i="17"/>
  <c r="P418" i="17" s="1"/>
  <c r="M419" i="17"/>
  <c r="N419" i="17"/>
  <c r="O419" i="17"/>
  <c r="P419" i="17" s="1"/>
  <c r="M420" i="17"/>
  <c r="N420" i="17"/>
  <c r="O420" i="17"/>
  <c r="P420" i="17" s="1"/>
  <c r="M421" i="17"/>
  <c r="N421" i="17"/>
  <c r="O421" i="17"/>
  <c r="P421" i="17" s="1"/>
  <c r="M422" i="17"/>
  <c r="N422" i="17"/>
  <c r="O422" i="17"/>
  <c r="P422" i="17" s="1"/>
  <c r="M423" i="17"/>
  <c r="N423" i="17"/>
  <c r="O423" i="17"/>
  <c r="P423" i="17" s="1"/>
  <c r="M424" i="17"/>
  <c r="N424" i="17"/>
  <c r="O424" i="17"/>
  <c r="P424" i="17" s="1"/>
  <c r="M425" i="17"/>
  <c r="N425" i="17"/>
  <c r="O425" i="17"/>
  <c r="P425" i="17" s="1"/>
  <c r="M426" i="17"/>
  <c r="N426" i="17"/>
  <c r="O426" i="17"/>
  <c r="P426" i="17" s="1"/>
  <c r="M427" i="17"/>
  <c r="N427" i="17"/>
  <c r="O427" i="17"/>
  <c r="P427" i="17" s="1"/>
  <c r="M428" i="17"/>
  <c r="N428" i="17"/>
  <c r="O428" i="17"/>
  <c r="P428" i="17" s="1"/>
  <c r="M429" i="17"/>
  <c r="N429" i="17"/>
  <c r="O429" i="17"/>
  <c r="P429" i="17" s="1"/>
  <c r="M430" i="17"/>
  <c r="N430" i="17"/>
  <c r="O430" i="17"/>
  <c r="P430" i="17" s="1"/>
  <c r="M431" i="17"/>
  <c r="N431" i="17"/>
  <c r="O431" i="17"/>
  <c r="P431" i="17" s="1"/>
  <c r="M432" i="17"/>
  <c r="N432" i="17"/>
  <c r="O432" i="17"/>
  <c r="P432" i="17" s="1"/>
  <c r="M433" i="17"/>
  <c r="N433" i="17"/>
  <c r="O433" i="17"/>
  <c r="P433" i="17" s="1"/>
  <c r="M434" i="17"/>
  <c r="N434" i="17"/>
  <c r="O434" i="17"/>
  <c r="P434" i="17" s="1"/>
  <c r="M435" i="17"/>
  <c r="N435" i="17"/>
  <c r="O435" i="17"/>
  <c r="P435" i="17" s="1"/>
  <c r="M436" i="17"/>
  <c r="N436" i="17"/>
  <c r="O436" i="17"/>
  <c r="P436" i="17" s="1"/>
  <c r="M437" i="17"/>
  <c r="N437" i="17"/>
  <c r="O437" i="17"/>
  <c r="P437" i="17" s="1"/>
  <c r="M438" i="17"/>
  <c r="N438" i="17"/>
  <c r="O438" i="17"/>
  <c r="P438" i="17" s="1"/>
  <c r="M439" i="17"/>
  <c r="N439" i="17"/>
  <c r="O439" i="17"/>
  <c r="P439" i="17" s="1"/>
  <c r="M440" i="17"/>
  <c r="N440" i="17"/>
  <c r="O440" i="17"/>
  <c r="P440" i="17" s="1"/>
  <c r="M441" i="17"/>
  <c r="N441" i="17"/>
  <c r="O441" i="17"/>
  <c r="P441" i="17" s="1"/>
  <c r="M442" i="17"/>
  <c r="N442" i="17"/>
  <c r="O442" i="17"/>
  <c r="P442" i="17" s="1"/>
  <c r="M443" i="17"/>
  <c r="N443" i="17"/>
  <c r="O443" i="17"/>
  <c r="P443" i="17" s="1"/>
  <c r="M444" i="17"/>
  <c r="N444" i="17"/>
  <c r="O444" i="17"/>
  <c r="P444" i="17" s="1"/>
  <c r="M445" i="17"/>
  <c r="N445" i="17"/>
  <c r="O445" i="17"/>
  <c r="P445" i="17" s="1"/>
  <c r="M446" i="17"/>
  <c r="N446" i="17"/>
  <c r="O446" i="17"/>
  <c r="P446" i="17" s="1"/>
  <c r="M447" i="17"/>
  <c r="N447" i="17"/>
  <c r="O447" i="17"/>
  <c r="P447" i="17" s="1"/>
  <c r="M448" i="17"/>
  <c r="N448" i="17"/>
  <c r="O448" i="17"/>
  <c r="P448" i="17" s="1"/>
  <c r="M449" i="17"/>
  <c r="N449" i="17"/>
  <c r="O449" i="17"/>
  <c r="P449" i="17" s="1"/>
  <c r="M450" i="17"/>
  <c r="N450" i="17"/>
  <c r="O450" i="17"/>
  <c r="P450" i="17" s="1"/>
  <c r="M451" i="17"/>
  <c r="N451" i="17"/>
  <c r="O451" i="17"/>
  <c r="P451" i="17" s="1"/>
  <c r="M452" i="17"/>
  <c r="N452" i="17"/>
  <c r="O452" i="17"/>
  <c r="P452" i="17" s="1"/>
  <c r="M453" i="17"/>
  <c r="N453" i="17"/>
  <c r="O453" i="17"/>
  <c r="P453" i="17" s="1"/>
  <c r="M454" i="17"/>
  <c r="N454" i="17"/>
  <c r="O454" i="17"/>
  <c r="P454" i="17" s="1"/>
  <c r="M455" i="17"/>
  <c r="N455" i="17"/>
  <c r="O455" i="17"/>
  <c r="P455" i="17" s="1"/>
  <c r="M456" i="17"/>
  <c r="N456" i="17"/>
  <c r="O456" i="17"/>
  <c r="P456" i="17" s="1"/>
  <c r="M457" i="17"/>
  <c r="N457" i="17"/>
  <c r="O457" i="17"/>
  <c r="P457" i="17" s="1"/>
  <c r="M458" i="17"/>
  <c r="N458" i="17"/>
  <c r="O458" i="17"/>
  <c r="P458" i="17" s="1"/>
  <c r="M459" i="17"/>
  <c r="N459" i="17"/>
  <c r="O459" i="17"/>
  <c r="P459" i="17" s="1"/>
  <c r="M460" i="17"/>
  <c r="N460" i="17"/>
  <c r="O460" i="17"/>
  <c r="P460" i="17" s="1"/>
  <c r="M461" i="17"/>
  <c r="N461" i="17"/>
  <c r="O461" i="17"/>
  <c r="P461" i="17" s="1"/>
  <c r="M462" i="17"/>
  <c r="N462" i="17"/>
  <c r="O462" i="17"/>
  <c r="P462" i="17" s="1"/>
  <c r="M463" i="17"/>
  <c r="N463" i="17"/>
  <c r="O463" i="17"/>
  <c r="P463" i="17" s="1"/>
  <c r="M464" i="17"/>
  <c r="N464" i="17"/>
  <c r="O464" i="17"/>
  <c r="P464" i="17" s="1"/>
  <c r="M465" i="17"/>
  <c r="N465" i="17"/>
  <c r="O465" i="17"/>
  <c r="P465" i="17" s="1"/>
  <c r="M466" i="17"/>
  <c r="N466" i="17"/>
  <c r="O466" i="17"/>
  <c r="P466" i="17" s="1"/>
  <c r="M467" i="17"/>
  <c r="N467" i="17"/>
  <c r="O467" i="17"/>
  <c r="P467" i="17" s="1"/>
  <c r="M468" i="17"/>
  <c r="N468" i="17"/>
  <c r="O468" i="17"/>
  <c r="P468" i="17" s="1"/>
  <c r="M469" i="17"/>
  <c r="N469" i="17"/>
  <c r="O469" i="17"/>
  <c r="P469" i="17" s="1"/>
  <c r="M470" i="17"/>
  <c r="N470" i="17"/>
  <c r="O470" i="17"/>
  <c r="P470" i="17" s="1"/>
  <c r="M471" i="17"/>
  <c r="N471" i="17"/>
  <c r="O471" i="17"/>
  <c r="P471" i="17" s="1"/>
  <c r="M472" i="17"/>
  <c r="N472" i="17"/>
  <c r="O472" i="17"/>
  <c r="P472" i="17" s="1"/>
  <c r="M473" i="17"/>
  <c r="N473" i="17"/>
  <c r="O473" i="17"/>
  <c r="P473" i="17" s="1"/>
  <c r="M474" i="17"/>
  <c r="N474" i="17"/>
  <c r="O474" i="17"/>
  <c r="P474" i="17" s="1"/>
  <c r="M475" i="17"/>
  <c r="N475" i="17"/>
  <c r="O475" i="17"/>
  <c r="P475" i="17" s="1"/>
  <c r="M476" i="17"/>
  <c r="N476" i="17"/>
  <c r="O476" i="17"/>
  <c r="P476" i="17" s="1"/>
  <c r="M477" i="17"/>
  <c r="N477" i="17"/>
  <c r="O477" i="17"/>
  <c r="P477" i="17" s="1"/>
  <c r="M478" i="17"/>
  <c r="N478" i="17"/>
  <c r="O478" i="17"/>
  <c r="P478" i="17" s="1"/>
  <c r="M479" i="17"/>
  <c r="N479" i="17"/>
  <c r="O479" i="17"/>
  <c r="P479" i="17" s="1"/>
  <c r="M480" i="17"/>
  <c r="N480" i="17"/>
  <c r="O480" i="17"/>
  <c r="P480" i="17" s="1"/>
  <c r="M481" i="17"/>
  <c r="N481" i="17"/>
  <c r="O481" i="17"/>
  <c r="P481" i="17" s="1"/>
  <c r="M482" i="17"/>
  <c r="N482" i="17"/>
  <c r="O482" i="17"/>
  <c r="P482" i="17" s="1"/>
  <c r="M483" i="17"/>
  <c r="N483" i="17"/>
  <c r="O483" i="17"/>
  <c r="P483" i="17" s="1"/>
  <c r="M484" i="17"/>
  <c r="N484" i="17"/>
  <c r="O484" i="17"/>
  <c r="P484" i="17" s="1"/>
  <c r="M485" i="17"/>
  <c r="N485" i="17"/>
  <c r="O485" i="17"/>
  <c r="P485" i="17" s="1"/>
  <c r="M486" i="17"/>
  <c r="N486" i="17"/>
  <c r="O486" i="17"/>
  <c r="P486" i="17" s="1"/>
  <c r="M487" i="17"/>
  <c r="N487" i="17"/>
  <c r="O487" i="17"/>
  <c r="P487" i="17" s="1"/>
  <c r="M488" i="17"/>
  <c r="N488" i="17"/>
  <c r="O488" i="17"/>
  <c r="P488" i="17" s="1"/>
  <c r="M489" i="17"/>
  <c r="N489" i="17"/>
  <c r="O489" i="17"/>
  <c r="P489" i="17" s="1"/>
  <c r="M490" i="17"/>
  <c r="N490" i="17"/>
  <c r="O490" i="17"/>
  <c r="P490" i="17" s="1"/>
  <c r="M491" i="17"/>
  <c r="N491" i="17"/>
  <c r="O491" i="17"/>
  <c r="P491" i="17" s="1"/>
  <c r="M492" i="17"/>
  <c r="N492" i="17"/>
  <c r="O492" i="17"/>
  <c r="P492" i="17" s="1"/>
  <c r="M493" i="17"/>
  <c r="N493" i="17"/>
  <c r="O493" i="17"/>
  <c r="P493" i="17" s="1"/>
  <c r="M494" i="17"/>
  <c r="N494" i="17"/>
  <c r="O494" i="17"/>
  <c r="P494" i="17" s="1"/>
  <c r="M495" i="17"/>
  <c r="N495" i="17"/>
  <c r="O495" i="17"/>
  <c r="P495" i="17" s="1"/>
  <c r="M496" i="17"/>
  <c r="N496" i="17"/>
  <c r="O496" i="17"/>
  <c r="P496" i="17" s="1"/>
  <c r="M497" i="17"/>
  <c r="N497" i="17"/>
  <c r="O497" i="17"/>
  <c r="P497" i="17" s="1"/>
  <c r="M498" i="17"/>
  <c r="N498" i="17"/>
  <c r="O498" i="17"/>
  <c r="P498" i="17" s="1"/>
  <c r="M499" i="17"/>
  <c r="N499" i="17"/>
  <c r="O499" i="17"/>
  <c r="P499" i="17" s="1"/>
  <c r="M500" i="17"/>
  <c r="N500" i="17"/>
  <c r="O500" i="17"/>
  <c r="P500" i="17" s="1"/>
  <c r="M501" i="17"/>
  <c r="N501" i="17"/>
  <c r="O501" i="17"/>
  <c r="P501" i="17" s="1"/>
  <c r="M502" i="17"/>
  <c r="N502" i="17"/>
  <c r="O502" i="17"/>
  <c r="P502" i="17" s="1"/>
  <c r="M503" i="17"/>
  <c r="N503" i="17"/>
  <c r="O503" i="17"/>
  <c r="P503" i="17" s="1"/>
  <c r="M504" i="17"/>
  <c r="N504" i="17"/>
  <c r="O504" i="17"/>
  <c r="P504" i="17" s="1"/>
  <c r="M505" i="17"/>
  <c r="N505" i="17"/>
  <c r="O505" i="17"/>
  <c r="P505" i="17" s="1"/>
  <c r="M506" i="17"/>
  <c r="N506" i="17"/>
  <c r="O506" i="17"/>
  <c r="P506" i="17" s="1"/>
  <c r="M507" i="17"/>
  <c r="N507" i="17"/>
  <c r="O507" i="17"/>
  <c r="P507" i="17" s="1"/>
  <c r="M508" i="17"/>
  <c r="N508" i="17"/>
  <c r="O508" i="17"/>
  <c r="P508" i="17" s="1"/>
  <c r="M509" i="17"/>
  <c r="N509" i="17"/>
  <c r="O509" i="17"/>
  <c r="P509" i="17" s="1"/>
  <c r="M510" i="17"/>
  <c r="N510" i="17"/>
  <c r="O510" i="17"/>
  <c r="P510" i="17" s="1"/>
  <c r="M511" i="17"/>
  <c r="N511" i="17"/>
  <c r="O511" i="17"/>
  <c r="P511" i="17" s="1"/>
  <c r="M512" i="17"/>
  <c r="N512" i="17"/>
  <c r="O512" i="17"/>
  <c r="P512" i="17" s="1"/>
  <c r="M513" i="17"/>
  <c r="N513" i="17"/>
  <c r="O513" i="17"/>
  <c r="P513" i="17" s="1"/>
  <c r="M514" i="17"/>
  <c r="N514" i="17"/>
  <c r="O514" i="17"/>
  <c r="P514" i="17" s="1"/>
  <c r="M515" i="17"/>
  <c r="N515" i="17"/>
  <c r="O515" i="17"/>
  <c r="P515" i="17" s="1"/>
  <c r="M516" i="17"/>
  <c r="N516" i="17"/>
  <c r="O516" i="17"/>
  <c r="P516" i="17" s="1"/>
  <c r="M517" i="17"/>
  <c r="N517" i="17"/>
  <c r="O517" i="17"/>
  <c r="P517" i="17" s="1"/>
  <c r="M518" i="17"/>
  <c r="N518" i="17"/>
  <c r="O518" i="17"/>
  <c r="P518" i="17" s="1"/>
  <c r="M519" i="17"/>
  <c r="N519" i="17"/>
  <c r="O519" i="17"/>
  <c r="P519" i="17" s="1"/>
  <c r="M520" i="17"/>
  <c r="N520" i="17"/>
  <c r="O520" i="17"/>
  <c r="P520" i="17" s="1"/>
  <c r="M521" i="17"/>
  <c r="N521" i="17"/>
  <c r="O521" i="17"/>
  <c r="P521" i="17" s="1"/>
  <c r="M522" i="17"/>
  <c r="N522" i="17"/>
  <c r="O522" i="17"/>
  <c r="P522" i="17" s="1"/>
  <c r="M523" i="17"/>
  <c r="N523" i="17"/>
  <c r="O523" i="17"/>
  <c r="P523" i="17" s="1"/>
  <c r="M524" i="17"/>
  <c r="N524" i="17"/>
  <c r="O524" i="17"/>
  <c r="P524" i="17" s="1"/>
  <c r="M525" i="17"/>
  <c r="N525" i="17"/>
  <c r="O525" i="17"/>
  <c r="P525" i="17" s="1"/>
  <c r="M526" i="17"/>
  <c r="N526" i="17"/>
  <c r="O526" i="17"/>
  <c r="P526" i="17" s="1"/>
  <c r="M527" i="17"/>
  <c r="N527" i="17"/>
  <c r="O527" i="17"/>
  <c r="P527" i="17" s="1"/>
  <c r="M528" i="17"/>
  <c r="N528" i="17"/>
  <c r="O528" i="17"/>
  <c r="P528" i="17" s="1"/>
  <c r="M529" i="17"/>
  <c r="N529" i="17"/>
  <c r="O529" i="17"/>
  <c r="P529" i="17" s="1"/>
  <c r="M530" i="17"/>
  <c r="N530" i="17"/>
  <c r="O530" i="17"/>
  <c r="P530" i="17" s="1"/>
  <c r="M531" i="17"/>
  <c r="N531" i="17"/>
  <c r="O531" i="17"/>
  <c r="P531" i="17" s="1"/>
  <c r="M532" i="17"/>
  <c r="N532" i="17"/>
  <c r="O532" i="17"/>
  <c r="P532" i="17" s="1"/>
  <c r="M533" i="17"/>
  <c r="N533" i="17"/>
  <c r="O533" i="17"/>
  <c r="P533" i="17" s="1"/>
  <c r="M534" i="17"/>
  <c r="N534" i="17"/>
  <c r="O534" i="17"/>
  <c r="P534" i="17" s="1"/>
  <c r="M535" i="17"/>
  <c r="N535" i="17"/>
  <c r="O535" i="17"/>
  <c r="P535" i="17" s="1"/>
  <c r="M536" i="17"/>
  <c r="N536" i="17"/>
  <c r="O536" i="17"/>
  <c r="P536" i="17" s="1"/>
  <c r="M537" i="17"/>
  <c r="N537" i="17"/>
  <c r="O537" i="17"/>
  <c r="P537" i="17" s="1"/>
  <c r="M538" i="17"/>
  <c r="N538" i="17"/>
  <c r="O538" i="17"/>
  <c r="P538" i="17" s="1"/>
  <c r="M539" i="17"/>
  <c r="N539" i="17"/>
  <c r="O539" i="17"/>
  <c r="P539" i="17" s="1"/>
  <c r="M540" i="17"/>
  <c r="N540" i="17"/>
  <c r="O540" i="17"/>
  <c r="P540" i="17" s="1"/>
  <c r="M541" i="17"/>
  <c r="N541" i="17"/>
  <c r="O541" i="17"/>
  <c r="P541" i="17" s="1"/>
  <c r="M542" i="17"/>
  <c r="N542" i="17"/>
  <c r="O542" i="17"/>
  <c r="P542" i="17" s="1"/>
  <c r="M543" i="17"/>
  <c r="N543" i="17"/>
  <c r="O543" i="17"/>
  <c r="P543" i="17" s="1"/>
  <c r="M544" i="17"/>
  <c r="N544" i="17"/>
  <c r="O544" i="17"/>
  <c r="P544" i="17" s="1"/>
  <c r="M545" i="17"/>
  <c r="N545" i="17"/>
  <c r="O545" i="17"/>
  <c r="P545" i="17" s="1"/>
  <c r="M546" i="17"/>
  <c r="N546" i="17"/>
  <c r="O546" i="17"/>
  <c r="P546" i="17" s="1"/>
  <c r="M547" i="17"/>
  <c r="N547" i="17"/>
  <c r="O547" i="17"/>
  <c r="P547" i="17" s="1"/>
  <c r="M548" i="17"/>
  <c r="N548" i="17"/>
  <c r="O548" i="17"/>
  <c r="P548" i="17" s="1"/>
  <c r="M549" i="17"/>
  <c r="N549" i="17"/>
  <c r="O549" i="17"/>
  <c r="P549" i="17" s="1"/>
  <c r="M550" i="17"/>
  <c r="N550" i="17"/>
  <c r="O550" i="17"/>
  <c r="P550" i="17" s="1"/>
  <c r="M551" i="17"/>
  <c r="N551" i="17"/>
  <c r="O551" i="17"/>
  <c r="P551" i="17" s="1"/>
  <c r="M552" i="17"/>
  <c r="N552" i="17"/>
  <c r="O552" i="17"/>
  <c r="P552" i="17" s="1"/>
  <c r="M553" i="17"/>
  <c r="N553" i="17"/>
  <c r="O553" i="17"/>
  <c r="P553" i="17" s="1"/>
  <c r="M554" i="17"/>
  <c r="N554" i="17"/>
  <c r="O554" i="17"/>
  <c r="P554" i="17" s="1"/>
  <c r="M555" i="17"/>
  <c r="N555" i="17"/>
  <c r="O555" i="17"/>
  <c r="P555" i="17" s="1"/>
  <c r="M556" i="17"/>
  <c r="N556" i="17"/>
  <c r="O556" i="17"/>
  <c r="P556" i="17" s="1"/>
  <c r="M557" i="17"/>
  <c r="N557" i="17"/>
  <c r="O557" i="17"/>
  <c r="P557" i="17" s="1"/>
  <c r="M558" i="17"/>
  <c r="N558" i="17"/>
  <c r="O558" i="17"/>
  <c r="P558" i="17" s="1"/>
  <c r="M559" i="17"/>
  <c r="N559" i="17"/>
  <c r="O559" i="17"/>
  <c r="P559" i="17" s="1"/>
  <c r="M560" i="17"/>
  <c r="N560" i="17"/>
  <c r="O560" i="17"/>
  <c r="P560" i="17" s="1"/>
  <c r="M561" i="17"/>
  <c r="N561" i="17"/>
  <c r="O561" i="17"/>
  <c r="P561" i="17" s="1"/>
  <c r="M562" i="17"/>
  <c r="N562" i="17"/>
  <c r="O562" i="17"/>
  <c r="P562" i="17" s="1"/>
  <c r="M563" i="17"/>
  <c r="N563" i="17"/>
  <c r="O563" i="17"/>
  <c r="P563" i="17" s="1"/>
  <c r="M564" i="17"/>
  <c r="N564" i="17"/>
  <c r="O564" i="17"/>
  <c r="P564" i="17" s="1"/>
  <c r="M565" i="17"/>
  <c r="N565" i="17"/>
  <c r="O565" i="17"/>
  <c r="P565" i="17" s="1"/>
  <c r="M566" i="17"/>
  <c r="N566" i="17"/>
  <c r="O566" i="17"/>
  <c r="P566" i="17" s="1"/>
  <c r="M567" i="17"/>
  <c r="N567" i="17"/>
  <c r="O567" i="17"/>
  <c r="P567" i="17" s="1"/>
  <c r="M568" i="17"/>
  <c r="N568" i="17"/>
  <c r="O568" i="17"/>
  <c r="P568" i="17" s="1"/>
  <c r="M569" i="17"/>
  <c r="N569" i="17"/>
  <c r="O569" i="17"/>
  <c r="P569" i="17" s="1"/>
  <c r="M570" i="17"/>
  <c r="N570" i="17"/>
  <c r="O570" i="17"/>
  <c r="P570" i="17" s="1"/>
  <c r="M571" i="17"/>
  <c r="N571" i="17"/>
  <c r="O571" i="17"/>
  <c r="P571" i="17" s="1"/>
  <c r="M572" i="17"/>
  <c r="N572" i="17"/>
  <c r="O572" i="17"/>
  <c r="P572" i="17" s="1"/>
  <c r="M573" i="17"/>
  <c r="N573" i="17"/>
  <c r="O573" i="17"/>
  <c r="P573" i="17" s="1"/>
  <c r="M574" i="17"/>
  <c r="N574" i="17"/>
  <c r="O574" i="17"/>
  <c r="P574" i="17" s="1"/>
  <c r="M575" i="17"/>
  <c r="N575" i="17"/>
  <c r="O575" i="17"/>
  <c r="P575" i="17" s="1"/>
  <c r="M576" i="17"/>
  <c r="N576" i="17"/>
  <c r="O576" i="17"/>
  <c r="P576" i="17" s="1"/>
  <c r="M577" i="17"/>
  <c r="N577" i="17"/>
  <c r="O577" i="17"/>
  <c r="P577" i="17" s="1"/>
  <c r="M578" i="17"/>
  <c r="N578" i="17"/>
  <c r="O578" i="17"/>
  <c r="P578" i="17" s="1"/>
  <c r="M579" i="17"/>
  <c r="N579" i="17"/>
  <c r="O579" i="17"/>
  <c r="P579" i="17" s="1"/>
  <c r="M580" i="17"/>
  <c r="N580" i="17"/>
  <c r="O580" i="17"/>
  <c r="P580" i="17" s="1"/>
  <c r="M581" i="17"/>
  <c r="N581" i="17"/>
  <c r="O581" i="17"/>
  <c r="P581" i="17" s="1"/>
  <c r="M582" i="17"/>
  <c r="N582" i="17"/>
  <c r="O582" i="17"/>
  <c r="P582" i="17" s="1"/>
  <c r="M583" i="17"/>
  <c r="N583" i="17"/>
  <c r="O583" i="17"/>
  <c r="P583" i="17" s="1"/>
  <c r="M584" i="17"/>
  <c r="N584" i="17"/>
  <c r="O584" i="17"/>
  <c r="P584" i="17" s="1"/>
  <c r="M585" i="17"/>
  <c r="N585" i="17"/>
  <c r="O585" i="17"/>
  <c r="P585" i="17" s="1"/>
  <c r="M586" i="17"/>
  <c r="N586" i="17"/>
  <c r="O586" i="17"/>
  <c r="P586" i="17" s="1"/>
  <c r="M587" i="17"/>
  <c r="N587" i="17"/>
  <c r="O587" i="17"/>
  <c r="P587" i="17" s="1"/>
  <c r="M588" i="17"/>
  <c r="N588" i="17"/>
  <c r="O588" i="17"/>
  <c r="P588" i="17" s="1"/>
  <c r="M589" i="17"/>
  <c r="N589" i="17"/>
  <c r="O589" i="17"/>
  <c r="P589" i="17" s="1"/>
  <c r="M590" i="17"/>
  <c r="N590" i="17"/>
  <c r="O590" i="17"/>
  <c r="P590" i="17" s="1"/>
  <c r="M591" i="17"/>
  <c r="N591" i="17"/>
  <c r="O591" i="17"/>
  <c r="P591" i="17" s="1"/>
  <c r="M592" i="17"/>
  <c r="N592" i="17"/>
  <c r="O592" i="17"/>
  <c r="P592" i="17" s="1"/>
  <c r="M593" i="17"/>
  <c r="N593" i="17"/>
  <c r="O593" i="17"/>
  <c r="P593" i="17" s="1"/>
  <c r="M594" i="17"/>
  <c r="N594" i="17"/>
  <c r="O594" i="17"/>
  <c r="P594" i="17" s="1"/>
  <c r="M595" i="17"/>
  <c r="N595" i="17"/>
  <c r="O595" i="17"/>
  <c r="P595" i="17" s="1"/>
  <c r="M596" i="17"/>
  <c r="N596" i="17"/>
  <c r="O596" i="17"/>
  <c r="P596" i="17" s="1"/>
  <c r="M597" i="17"/>
  <c r="N597" i="17"/>
  <c r="O597" i="17"/>
  <c r="P597" i="17" s="1"/>
  <c r="M598" i="17"/>
  <c r="N598" i="17"/>
  <c r="O598" i="17"/>
  <c r="P598" i="17" s="1"/>
  <c r="M599" i="17"/>
  <c r="N599" i="17"/>
  <c r="O599" i="17"/>
  <c r="P599" i="17" s="1"/>
  <c r="M600" i="17"/>
  <c r="N600" i="17"/>
  <c r="O600" i="17"/>
  <c r="P600" i="17" s="1"/>
  <c r="M601" i="17"/>
  <c r="N601" i="17"/>
  <c r="O601" i="17"/>
  <c r="P601" i="17" s="1"/>
  <c r="M602" i="17"/>
  <c r="N602" i="17"/>
  <c r="O602" i="17"/>
  <c r="P602" i="17" s="1"/>
  <c r="M603" i="17"/>
  <c r="N603" i="17"/>
  <c r="O603" i="17"/>
  <c r="P603" i="17" s="1"/>
  <c r="M604" i="17"/>
  <c r="N604" i="17"/>
  <c r="O604" i="17"/>
  <c r="P604" i="17" s="1"/>
  <c r="M605" i="17"/>
  <c r="N605" i="17"/>
  <c r="O605" i="17"/>
  <c r="P605" i="17" s="1"/>
  <c r="M606" i="17"/>
  <c r="N606" i="17"/>
  <c r="O606" i="17"/>
  <c r="P606" i="17" s="1"/>
  <c r="M607" i="17"/>
  <c r="N607" i="17"/>
  <c r="O607" i="17"/>
  <c r="P607" i="17" s="1"/>
  <c r="M608" i="17"/>
  <c r="N608" i="17"/>
  <c r="O608" i="17"/>
  <c r="P608" i="17" s="1"/>
  <c r="M609" i="17"/>
  <c r="N609" i="17"/>
  <c r="O609" i="17"/>
  <c r="P609" i="17" s="1"/>
  <c r="M610" i="17"/>
  <c r="N610" i="17"/>
  <c r="O610" i="17"/>
  <c r="P610" i="17" s="1"/>
  <c r="M611" i="17"/>
  <c r="N611" i="17"/>
  <c r="O611" i="17"/>
  <c r="P611" i="17" s="1"/>
  <c r="M612" i="17"/>
  <c r="N612" i="17"/>
  <c r="O612" i="17"/>
  <c r="P612" i="17" s="1"/>
  <c r="M613" i="17"/>
  <c r="N613" i="17"/>
  <c r="O613" i="17"/>
  <c r="P613" i="17" s="1"/>
  <c r="M614" i="17"/>
  <c r="N614" i="17"/>
  <c r="O614" i="17"/>
  <c r="P614" i="17" s="1"/>
  <c r="M615" i="17"/>
  <c r="N615" i="17"/>
  <c r="O615" i="17"/>
  <c r="P615" i="17" s="1"/>
  <c r="M616" i="17"/>
  <c r="N616" i="17"/>
  <c r="O616" i="17"/>
  <c r="P616" i="17" s="1"/>
  <c r="M617" i="17"/>
  <c r="N617" i="17"/>
  <c r="O617" i="17"/>
  <c r="P617" i="17" s="1"/>
  <c r="M618" i="17"/>
  <c r="N618" i="17"/>
  <c r="O618" i="17"/>
  <c r="P618" i="17" s="1"/>
  <c r="M619" i="17"/>
  <c r="N619" i="17"/>
  <c r="O619" i="17"/>
  <c r="P619" i="17" s="1"/>
  <c r="M620" i="17"/>
  <c r="N620" i="17"/>
  <c r="O620" i="17"/>
  <c r="P620" i="17" s="1"/>
  <c r="M621" i="17"/>
  <c r="N621" i="17"/>
  <c r="O621" i="17"/>
  <c r="P621" i="17" s="1"/>
  <c r="M622" i="17"/>
  <c r="N622" i="17"/>
  <c r="O622" i="17"/>
  <c r="P622" i="17" s="1"/>
  <c r="M623" i="17"/>
  <c r="N623" i="17"/>
  <c r="O623" i="17"/>
  <c r="P623" i="17" s="1"/>
  <c r="M624" i="17"/>
  <c r="N624" i="17"/>
  <c r="O624" i="17"/>
  <c r="P624" i="17" s="1"/>
  <c r="M625" i="17"/>
  <c r="N625" i="17"/>
  <c r="O625" i="17"/>
  <c r="P625" i="17" s="1"/>
  <c r="M626" i="17"/>
  <c r="N626" i="17"/>
  <c r="O626" i="17"/>
  <c r="P626" i="17" s="1"/>
  <c r="M627" i="17"/>
  <c r="N627" i="17"/>
  <c r="O627" i="17"/>
  <c r="P627" i="17" s="1"/>
  <c r="M628" i="17"/>
  <c r="N628" i="17"/>
  <c r="O628" i="17"/>
  <c r="P628" i="17" s="1"/>
  <c r="M629" i="17"/>
  <c r="N629" i="17"/>
  <c r="O629" i="17"/>
  <c r="P629" i="17" s="1"/>
  <c r="M630" i="17"/>
  <c r="N630" i="17"/>
  <c r="O630" i="17"/>
  <c r="P630" i="17" s="1"/>
  <c r="M631" i="17"/>
  <c r="N631" i="17"/>
  <c r="O631" i="17"/>
  <c r="P631" i="17" s="1"/>
  <c r="M632" i="17"/>
  <c r="N632" i="17"/>
  <c r="O632" i="17"/>
  <c r="P632" i="17" s="1"/>
  <c r="M633" i="17"/>
  <c r="N633" i="17"/>
  <c r="O633" i="17"/>
  <c r="P633" i="17" s="1"/>
  <c r="M634" i="17"/>
  <c r="N634" i="17"/>
  <c r="O634" i="17"/>
  <c r="P634" i="17" s="1"/>
  <c r="M635" i="17"/>
  <c r="N635" i="17"/>
  <c r="O635" i="17"/>
  <c r="P635" i="17" s="1"/>
  <c r="M636" i="17"/>
  <c r="N636" i="17"/>
  <c r="O636" i="17"/>
  <c r="P636" i="17" s="1"/>
  <c r="M637" i="17"/>
  <c r="N637" i="17"/>
  <c r="O637" i="17"/>
  <c r="P637" i="17" s="1"/>
  <c r="M638" i="17"/>
  <c r="N638" i="17"/>
  <c r="O638" i="17"/>
  <c r="P638" i="17" s="1"/>
  <c r="M639" i="17"/>
  <c r="N639" i="17"/>
  <c r="O639" i="17"/>
  <c r="P639" i="17" s="1"/>
  <c r="M640" i="17"/>
  <c r="N640" i="17"/>
  <c r="O640" i="17"/>
  <c r="P640" i="17" s="1"/>
  <c r="M641" i="17"/>
  <c r="N641" i="17"/>
  <c r="O641" i="17"/>
  <c r="P641" i="17" s="1"/>
  <c r="M642" i="17"/>
  <c r="N642" i="17"/>
  <c r="O642" i="17"/>
  <c r="P642" i="17" s="1"/>
  <c r="M643" i="17"/>
  <c r="N643" i="17"/>
  <c r="O643" i="17"/>
  <c r="P643" i="17" s="1"/>
  <c r="M644" i="17"/>
  <c r="N644" i="17"/>
  <c r="O644" i="17"/>
  <c r="P644" i="17" s="1"/>
  <c r="M645" i="17"/>
  <c r="N645" i="17"/>
  <c r="O645" i="17"/>
  <c r="P645" i="17" s="1"/>
  <c r="M646" i="17"/>
  <c r="N646" i="17"/>
  <c r="O646" i="17"/>
  <c r="P646" i="17" s="1"/>
  <c r="M647" i="17"/>
  <c r="N647" i="17"/>
  <c r="O647" i="17"/>
  <c r="P647" i="17" s="1"/>
  <c r="M648" i="17"/>
  <c r="N648" i="17"/>
  <c r="O648" i="17"/>
  <c r="P648" i="17" s="1"/>
  <c r="M649" i="17"/>
  <c r="N649" i="17"/>
  <c r="O649" i="17"/>
  <c r="P649" i="17" s="1"/>
  <c r="M650" i="17"/>
  <c r="N650" i="17"/>
  <c r="O650" i="17"/>
  <c r="P650" i="17" s="1"/>
  <c r="M651" i="17"/>
  <c r="N651" i="17"/>
  <c r="O651" i="17"/>
  <c r="P651" i="17" s="1"/>
  <c r="M652" i="17"/>
  <c r="N652" i="17"/>
  <c r="O652" i="17"/>
  <c r="P652" i="17" s="1"/>
  <c r="M653" i="17"/>
  <c r="N653" i="17"/>
  <c r="O653" i="17"/>
  <c r="P653" i="17" s="1"/>
  <c r="M654" i="17"/>
  <c r="N654" i="17"/>
  <c r="O654" i="17"/>
  <c r="P654" i="17" s="1"/>
  <c r="M655" i="17"/>
  <c r="N655" i="17"/>
  <c r="O655" i="17"/>
  <c r="P655" i="17" s="1"/>
  <c r="M656" i="17"/>
  <c r="N656" i="17"/>
  <c r="O656" i="17"/>
  <c r="P656" i="17" s="1"/>
  <c r="M657" i="17"/>
  <c r="N657" i="17"/>
  <c r="O657" i="17"/>
  <c r="P657" i="17" s="1"/>
  <c r="M658" i="17"/>
  <c r="N658" i="17"/>
  <c r="O658" i="17"/>
  <c r="P658" i="17" s="1"/>
  <c r="M659" i="17"/>
  <c r="N659" i="17"/>
  <c r="O659" i="17"/>
  <c r="P659" i="17" s="1"/>
  <c r="M660" i="17"/>
  <c r="N660" i="17"/>
  <c r="O660" i="17"/>
  <c r="P660" i="17" s="1"/>
  <c r="M661" i="17"/>
  <c r="N661" i="17"/>
  <c r="O661" i="17"/>
  <c r="P661" i="17" s="1"/>
  <c r="M662" i="17"/>
  <c r="N662" i="17"/>
  <c r="O662" i="17"/>
  <c r="P662" i="17" s="1"/>
  <c r="M663" i="17"/>
  <c r="N663" i="17"/>
  <c r="O663" i="17"/>
  <c r="P663" i="17" s="1"/>
  <c r="M664" i="17"/>
  <c r="N664" i="17"/>
  <c r="O664" i="17"/>
  <c r="P664" i="17" s="1"/>
  <c r="M665" i="17"/>
  <c r="N665" i="17"/>
  <c r="O665" i="17"/>
  <c r="P665" i="17" s="1"/>
  <c r="M666" i="17"/>
  <c r="N666" i="17"/>
  <c r="O666" i="17"/>
  <c r="P666" i="17" s="1"/>
  <c r="M667" i="17"/>
  <c r="N667" i="17"/>
  <c r="O667" i="17"/>
  <c r="P667" i="17" s="1"/>
  <c r="M668" i="17"/>
  <c r="N668" i="17"/>
  <c r="O668" i="17"/>
  <c r="P668" i="17" s="1"/>
  <c r="M669" i="17"/>
  <c r="N669" i="17"/>
  <c r="O669" i="17"/>
  <c r="P669" i="17" s="1"/>
  <c r="M670" i="17"/>
  <c r="N670" i="17"/>
  <c r="O670" i="17"/>
  <c r="P670" i="17" s="1"/>
  <c r="M671" i="17"/>
  <c r="N671" i="17"/>
  <c r="O671" i="17"/>
  <c r="P671" i="17" s="1"/>
  <c r="M672" i="17"/>
  <c r="N672" i="17"/>
  <c r="O672" i="17"/>
  <c r="P672" i="17" s="1"/>
  <c r="M673" i="17"/>
  <c r="N673" i="17"/>
  <c r="O673" i="17"/>
  <c r="P673" i="17" s="1"/>
  <c r="M674" i="17"/>
  <c r="N674" i="17"/>
  <c r="O674" i="17"/>
  <c r="P674" i="17" s="1"/>
  <c r="M675" i="17"/>
  <c r="N675" i="17"/>
  <c r="O675" i="17"/>
  <c r="P675" i="17" s="1"/>
  <c r="M676" i="17"/>
  <c r="N676" i="17"/>
  <c r="O676" i="17"/>
  <c r="P676" i="17" s="1"/>
  <c r="M677" i="17"/>
  <c r="N677" i="17"/>
  <c r="O677" i="17"/>
  <c r="P677" i="17" s="1"/>
  <c r="M678" i="17"/>
  <c r="N678" i="17"/>
  <c r="O678" i="17"/>
  <c r="P678" i="17" s="1"/>
  <c r="M679" i="17"/>
  <c r="N679" i="17"/>
  <c r="O679" i="17"/>
  <c r="P679" i="17" s="1"/>
  <c r="M680" i="17"/>
  <c r="N680" i="17"/>
  <c r="O680" i="17"/>
  <c r="P680" i="17" s="1"/>
  <c r="M681" i="17"/>
  <c r="N681" i="17"/>
  <c r="O681" i="17"/>
  <c r="P681" i="17" s="1"/>
  <c r="M682" i="17"/>
  <c r="N682" i="17"/>
  <c r="O682" i="17"/>
  <c r="P682" i="17" s="1"/>
  <c r="M683" i="17"/>
  <c r="N683" i="17"/>
  <c r="O683" i="17"/>
  <c r="P683" i="17" s="1"/>
  <c r="M684" i="17"/>
  <c r="N684" i="17"/>
  <c r="O684" i="17"/>
  <c r="P684" i="17" s="1"/>
  <c r="M685" i="17"/>
  <c r="N685" i="17"/>
  <c r="O685" i="17"/>
  <c r="P685" i="17" s="1"/>
  <c r="M686" i="17"/>
  <c r="N686" i="17"/>
  <c r="O686" i="17"/>
  <c r="P686" i="17" s="1"/>
  <c r="M687" i="17"/>
  <c r="N687" i="17"/>
  <c r="O687" i="17"/>
  <c r="P687" i="17" s="1"/>
  <c r="M688" i="17"/>
  <c r="N688" i="17"/>
  <c r="O688" i="17"/>
  <c r="P688" i="17" s="1"/>
  <c r="M689" i="17"/>
  <c r="N689" i="17"/>
  <c r="O689" i="17"/>
  <c r="P689" i="17" s="1"/>
  <c r="M690" i="17"/>
  <c r="N690" i="17"/>
  <c r="O690" i="17"/>
  <c r="P690" i="17" s="1"/>
  <c r="M691" i="17"/>
  <c r="N691" i="17"/>
  <c r="O691" i="17"/>
  <c r="P691" i="17" s="1"/>
  <c r="M692" i="17"/>
  <c r="N692" i="17"/>
  <c r="O692" i="17"/>
  <c r="P692" i="17" s="1"/>
  <c r="M693" i="17"/>
  <c r="N693" i="17"/>
  <c r="O693" i="17"/>
  <c r="P693" i="17" s="1"/>
  <c r="M694" i="17"/>
  <c r="N694" i="17"/>
  <c r="O694" i="17"/>
  <c r="P694" i="17" s="1"/>
  <c r="M695" i="17"/>
  <c r="N695" i="17"/>
  <c r="O695" i="17"/>
  <c r="P695" i="17" s="1"/>
  <c r="M696" i="17"/>
  <c r="N696" i="17"/>
  <c r="O696" i="17"/>
  <c r="P696" i="17" s="1"/>
  <c r="M697" i="17"/>
  <c r="N697" i="17"/>
  <c r="O697" i="17"/>
  <c r="P697" i="17" s="1"/>
  <c r="M698" i="17"/>
  <c r="N698" i="17"/>
  <c r="O698" i="17"/>
  <c r="P698" i="17" s="1"/>
  <c r="M699" i="17"/>
  <c r="N699" i="17"/>
  <c r="O699" i="17"/>
  <c r="P699" i="17" s="1"/>
  <c r="M700" i="17"/>
  <c r="N700" i="17"/>
  <c r="O700" i="17"/>
  <c r="P700" i="17" s="1"/>
  <c r="M701" i="17"/>
  <c r="N701" i="17"/>
  <c r="O701" i="17"/>
  <c r="P701" i="17" s="1"/>
  <c r="M702" i="17"/>
  <c r="N702" i="17"/>
  <c r="O702" i="17"/>
  <c r="P702" i="17" s="1"/>
  <c r="M703" i="17"/>
  <c r="N703" i="17"/>
  <c r="O703" i="17"/>
  <c r="P703" i="17" s="1"/>
  <c r="M704" i="17"/>
  <c r="N704" i="17"/>
  <c r="O704" i="17"/>
  <c r="P704" i="17" s="1"/>
  <c r="M705" i="17"/>
  <c r="N705" i="17"/>
  <c r="O705" i="17"/>
  <c r="P705" i="17" s="1"/>
  <c r="M706" i="17"/>
  <c r="N706" i="17"/>
  <c r="O706" i="17"/>
  <c r="P706" i="17" s="1"/>
  <c r="M707" i="17"/>
  <c r="N707" i="17"/>
  <c r="O707" i="17"/>
  <c r="P707" i="17" s="1"/>
  <c r="M708" i="17"/>
  <c r="N708" i="17"/>
  <c r="O708" i="17"/>
  <c r="P708" i="17" s="1"/>
  <c r="M709" i="17"/>
  <c r="N709" i="17"/>
  <c r="O709" i="17"/>
  <c r="P709" i="17" s="1"/>
  <c r="M710" i="17"/>
  <c r="N710" i="17"/>
  <c r="O710" i="17"/>
  <c r="P710" i="17" s="1"/>
  <c r="M711" i="17"/>
  <c r="N711" i="17"/>
  <c r="O711" i="17"/>
  <c r="P711" i="17" s="1"/>
  <c r="M712" i="17"/>
  <c r="N712" i="17"/>
  <c r="O712" i="17"/>
  <c r="P712" i="17" s="1"/>
  <c r="M713" i="17"/>
  <c r="N713" i="17"/>
  <c r="O713" i="17"/>
  <c r="P713" i="17" s="1"/>
  <c r="M714" i="17"/>
  <c r="N714" i="17"/>
  <c r="O714" i="17"/>
  <c r="P714" i="17" s="1"/>
  <c r="M715" i="17"/>
  <c r="N715" i="17"/>
  <c r="O715" i="17"/>
  <c r="P715" i="17" s="1"/>
  <c r="M716" i="17"/>
  <c r="N716" i="17"/>
  <c r="O716" i="17"/>
  <c r="P716" i="17" s="1"/>
  <c r="M717" i="17"/>
  <c r="N717" i="17"/>
  <c r="O717" i="17"/>
  <c r="P717" i="17" s="1"/>
  <c r="M718" i="17"/>
  <c r="N718" i="17"/>
  <c r="O718" i="17"/>
  <c r="P718" i="17" s="1"/>
  <c r="M719" i="17"/>
  <c r="N719" i="17"/>
  <c r="O719" i="17"/>
  <c r="P719" i="17" s="1"/>
  <c r="M720" i="17"/>
  <c r="N720" i="17"/>
  <c r="O720" i="17"/>
  <c r="P720" i="17" s="1"/>
  <c r="M721" i="17"/>
  <c r="N721" i="17"/>
  <c r="O721" i="17"/>
  <c r="P721" i="17" s="1"/>
  <c r="M722" i="17"/>
  <c r="N722" i="17"/>
  <c r="O722" i="17"/>
  <c r="P722" i="17" s="1"/>
  <c r="M723" i="17"/>
  <c r="N723" i="17"/>
  <c r="O723" i="17"/>
  <c r="P723" i="17" s="1"/>
  <c r="M724" i="17"/>
  <c r="N724" i="17"/>
  <c r="O724" i="17"/>
  <c r="P724" i="17" s="1"/>
  <c r="M725" i="17"/>
  <c r="N725" i="17"/>
  <c r="O725" i="17"/>
  <c r="P725" i="17" s="1"/>
  <c r="M726" i="17"/>
  <c r="N726" i="17"/>
  <c r="O726" i="17"/>
  <c r="P726" i="17" s="1"/>
  <c r="M727" i="17"/>
  <c r="N727" i="17"/>
  <c r="O727" i="17"/>
  <c r="P727" i="17" s="1"/>
  <c r="M728" i="17"/>
  <c r="N728" i="17"/>
  <c r="O728" i="17"/>
  <c r="P728" i="17" s="1"/>
  <c r="M729" i="17"/>
  <c r="N729" i="17"/>
  <c r="O729" i="17"/>
  <c r="P729" i="17" s="1"/>
  <c r="M730" i="17"/>
  <c r="N730" i="17"/>
  <c r="O730" i="17"/>
  <c r="P730" i="17" s="1"/>
  <c r="M731" i="17"/>
  <c r="N731" i="17"/>
  <c r="O731" i="17"/>
  <c r="P731" i="17" s="1"/>
  <c r="M732" i="17"/>
  <c r="N732" i="17"/>
  <c r="O732" i="17"/>
  <c r="P732" i="17" s="1"/>
  <c r="M733" i="17"/>
  <c r="N733" i="17"/>
  <c r="O733" i="17"/>
  <c r="P733" i="17" s="1"/>
  <c r="M734" i="17"/>
  <c r="N734" i="17"/>
  <c r="O734" i="17"/>
  <c r="P734" i="17" s="1"/>
  <c r="M735" i="17"/>
  <c r="N735" i="17"/>
  <c r="O735" i="17"/>
  <c r="P735" i="17" s="1"/>
  <c r="M736" i="17"/>
  <c r="N736" i="17"/>
  <c r="O736" i="17"/>
  <c r="P736" i="17" s="1"/>
  <c r="M737" i="17"/>
  <c r="N737" i="17"/>
  <c r="O737" i="17"/>
  <c r="P737" i="17" s="1"/>
  <c r="M738" i="17"/>
  <c r="N738" i="17"/>
  <c r="O738" i="17"/>
  <c r="P738" i="17" s="1"/>
  <c r="M739" i="17"/>
  <c r="N739" i="17"/>
  <c r="O739" i="17"/>
  <c r="P739" i="17" s="1"/>
  <c r="M740" i="17"/>
  <c r="N740" i="17"/>
  <c r="O740" i="17"/>
  <c r="P740" i="17" s="1"/>
  <c r="M741" i="17"/>
  <c r="N741" i="17"/>
  <c r="O741" i="17"/>
  <c r="P741" i="17" s="1"/>
  <c r="M742" i="17"/>
  <c r="N742" i="17"/>
  <c r="O742" i="17"/>
  <c r="P742" i="17" s="1"/>
  <c r="M743" i="17"/>
  <c r="N743" i="17"/>
  <c r="O743" i="17"/>
  <c r="P743" i="17" s="1"/>
  <c r="M744" i="17"/>
  <c r="N744" i="17"/>
  <c r="O744" i="17"/>
  <c r="P744" i="17" s="1"/>
  <c r="M745" i="17"/>
  <c r="N745" i="17"/>
  <c r="O745" i="17"/>
  <c r="P745" i="17" s="1"/>
  <c r="M746" i="17"/>
  <c r="N746" i="17"/>
  <c r="O746" i="17"/>
  <c r="P746" i="17" s="1"/>
  <c r="M747" i="17"/>
  <c r="N747" i="17"/>
  <c r="O747" i="17"/>
  <c r="P747" i="17" s="1"/>
  <c r="M748" i="17"/>
  <c r="N748" i="17"/>
  <c r="O748" i="17"/>
  <c r="P748" i="17" s="1"/>
  <c r="M749" i="17"/>
  <c r="N749" i="17"/>
  <c r="O749" i="17"/>
  <c r="P749" i="17" s="1"/>
  <c r="M750" i="17"/>
  <c r="N750" i="17"/>
  <c r="O750" i="17"/>
  <c r="P750" i="17" s="1"/>
  <c r="M751" i="17"/>
  <c r="N751" i="17"/>
  <c r="O751" i="17"/>
  <c r="P751" i="17" s="1"/>
  <c r="M752" i="17"/>
  <c r="N752" i="17"/>
  <c r="O752" i="17"/>
  <c r="P752" i="17" s="1"/>
  <c r="M753" i="17"/>
  <c r="N753" i="17"/>
  <c r="O753" i="17"/>
  <c r="P753" i="17" s="1"/>
  <c r="M754" i="17"/>
  <c r="N754" i="17"/>
  <c r="O754" i="17"/>
  <c r="P754" i="17" s="1"/>
  <c r="M755" i="17"/>
  <c r="N755" i="17"/>
  <c r="O755" i="17"/>
  <c r="P755" i="17" s="1"/>
  <c r="M756" i="17"/>
  <c r="N756" i="17"/>
  <c r="O756" i="17"/>
  <c r="P756" i="17" s="1"/>
  <c r="M757" i="17"/>
  <c r="N757" i="17"/>
  <c r="O757" i="17"/>
  <c r="P757" i="17" s="1"/>
  <c r="M758" i="17"/>
  <c r="N758" i="17"/>
  <c r="O758" i="17"/>
  <c r="P758" i="17" s="1"/>
  <c r="M759" i="17"/>
  <c r="N759" i="17"/>
  <c r="O759" i="17"/>
  <c r="P759" i="17" s="1"/>
  <c r="M760" i="17"/>
  <c r="N760" i="17"/>
  <c r="O760" i="17"/>
  <c r="P760" i="17" s="1"/>
  <c r="M761" i="17"/>
  <c r="N761" i="17"/>
  <c r="O761" i="17"/>
  <c r="P761" i="17" s="1"/>
  <c r="M762" i="17"/>
  <c r="N762" i="17"/>
  <c r="O762" i="17"/>
  <c r="P762" i="17" s="1"/>
  <c r="M763" i="17"/>
  <c r="N763" i="17"/>
  <c r="O763" i="17"/>
  <c r="P763" i="17" s="1"/>
  <c r="M764" i="17"/>
  <c r="N764" i="17"/>
  <c r="O764" i="17"/>
  <c r="P764" i="17" s="1"/>
  <c r="M765" i="17"/>
  <c r="N765" i="17"/>
  <c r="O765" i="17"/>
  <c r="P765" i="17" s="1"/>
  <c r="M766" i="17"/>
  <c r="N766" i="17"/>
  <c r="O766" i="17"/>
  <c r="P766" i="17" s="1"/>
  <c r="M767" i="17"/>
  <c r="N767" i="17"/>
  <c r="O767" i="17"/>
  <c r="P767" i="17" s="1"/>
  <c r="M768" i="17"/>
  <c r="N768" i="17"/>
  <c r="O768" i="17"/>
  <c r="P768" i="17" s="1"/>
  <c r="M769" i="17"/>
  <c r="N769" i="17"/>
  <c r="O769" i="17"/>
  <c r="P769" i="17" s="1"/>
  <c r="M770" i="17"/>
  <c r="N770" i="17"/>
  <c r="O770" i="17"/>
  <c r="P770" i="17" s="1"/>
  <c r="M771" i="17"/>
  <c r="N771" i="17"/>
  <c r="O771" i="17"/>
  <c r="P771" i="17" s="1"/>
  <c r="M772" i="17"/>
  <c r="N772" i="17"/>
  <c r="O772" i="17"/>
  <c r="P772" i="17" s="1"/>
  <c r="M773" i="17"/>
  <c r="N773" i="17"/>
  <c r="O773" i="17"/>
  <c r="P773" i="17" s="1"/>
  <c r="M774" i="17"/>
  <c r="N774" i="17"/>
  <c r="O774" i="17"/>
  <c r="P774" i="17" s="1"/>
  <c r="M775" i="17"/>
  <c r="N775" i="17"/>
  <c r="O775" i="17"/>
  <c r="P775" i="17" s="1"/>
  <c r="M776" i="17"/>
  <c r="N776" i="17"/>
  <c r="O776" i="17"/>
  <c r="P776" i="17" s="1"/>
  <c r="M777" i="17"/>
  <c r="N777" i="17"/>
  <c r="O777" i="17"/>
  <c r="P777" i="17" s="1"/>
  <c r="M778" i="17"/>
  <c r="N778" i="17"/>
  <c r="O778" i="17"/>
  <c r="P778" i="17" s="1"/>
  <c r="M779" i="17"/>
  <c r="N779" i="17"/>
  <c r="O779" i="17"/>
  <c r="P779" i="17" s="1"/>
  <c r="M780" i="17"/>
  <c r="N780" i="17"/>
  <c r="O780" i="17"/>
  <c r="P780" i="17" s="1"/>
  <c r="M781" i="17"/>
  <c r="N781" i="17"/>
  <c r="O781" i="17"/>
  <c r="P781" i="17" s="1"/>
  <c r="M782" i="17"/>
  <c r="N782" i="17"/>
  <c r="O782" i="17"/>
  <c r="P782" i="17" s="1"/>
  <c r="M783" i="17"/>
  <c r="N783" i="17"/>
  <c r="O783" i="17"/>
  <c r="P783" i="17" s="1"/>
  <c r="M784" i="17"/>
  <c r="N784" i="17"/>
  <c r="O784" i="17"/>
  <c r="P784" i="17" s="1"/>
  <c r="M785" i="17"/>
  <c r="N785" i="17"/>
  <c r="O785" i="17"/>
  <c r="P785" i="17" s="1"/>
  <c r="M786" i="17"/>
  <c r="N786" i="17"/>
  <c r="O786" i="17"/>
  <c r="P786" i="17" s="1"/>
  <c r="M787" i="17"/>
  <c r="N787" i="17"/>
  <c r="O787" i="17"/>
  <c r="P787" i="17" s="1"/>
  <c r="M788" i="17"/>
  <c r="N788" i="17"/>
  <c r="O788" i="17"/>
  <c r="P788" i="17" s="1"/>
  <c r="M789" i="17"/>
  <c r="N789" i="17"/>
  <c r="O789" i="17"/>
  <c r="P789" i="17" s="1"/>
  <c r="M790" i="17"/>
  <c r="N790" i="17"/>
  <c r="O790" i="17"/>
  <c r="P790" i="17" s="1"/>
  <c r="M791" i="17"/>
  <c r="N791" i="17"/>
  <c r="O791" i="17"/>
  <c r="P791" i="17" s="1"/>
  <c r="M792" i="17"/>
  <c r="N792" i="17"/>
  <c r="O792" i="17"/>
  <c r="P792" i="17" s="1"/>
  <c r="M793" i="17"/>
  <c r="N793" i="17"/>
  <c r="O793" i="17"/>
  <c r="P793" i="17" s="1"/>
  <c r="M794" i="17"/>
  <c r="N794" i="17"/>
  <c r="O794" i="17"/>
  <c r="P794" i="17" s="1"/>
  <c r="M795" i="17"/>
  <c r="N795" i="17"/>
  <c r="O795" i="17"/>
  <c r="P795" i="17" s="1"/>
  <c r="M796" i="17"/>
  <c r="N796" i="17"/>
  <c r="O796" i="17"/>
  <c r="P796" i="17" s="1"/>
  <c r="M797" i="17"/>
  <c r="N797" i="17"/>
  <c r="O797" i="17"/>
  <c r="P797" i="17" s="1"/>
  <c r="M798" i="17"/>
  <c r="N798" i="17"/>
  <c r="O798" i="17"/>
  <c r="P798" i="17" s="1"/>
  <c r="M799" i="17"/>
  <c r="N799" i="17"/>
  <c r="O799" i="17"/>
  <c r="P799" i="17" s="1"/>
  <c r="M800" i="17"/>
  <c r="N800" i="17"/>
  <c r="O800" i="17"/>
  <c r="P800" i="17" s="1"/>
  <c r="M801" i="17"/>
  <c r="N801" i="17"/>
  <c r="O801" i="17"/>
  <c r="P801" i="17" s="1"/>
  <c r="M802" i="17"/>
  <c r="N802" i="17"/>
  <c r="O802" i="17"/>
  <c r="P802" i="17" s="1"/>
  <c r="M803" i="17"/>
  <c r="N803" i="17"/>
  <c r="O803" i="17"/>
  <c r="P803" i="17" s="1"/>
  <c r="M804" i="17"/>
  <c r="N804" i="17"/>
  <c r="O804" i="17"/>
  <c r="P804" i="17" s="1"/>
  <c r="M805" i="17"/>
  <c r="N805" i="17"/>
  <c r="O805" i="17"/>
  <c r="P805" i="17" s="1"/>
  <c r="M806" i="17"/>
  <c r="N806" i="17"/>
  <c r="O806" i="17"/>
  <c r="P806" i="17" s="1"/>
  <c r="M807" i="17"/>
  <c r="N807" i="17"/>
  <c r="O807" i="17"/>
  <c r="P807" i="17" s="1"/>
  <c r="M808" i="17"/>
  <c r="N808" i="17"/>
  <c r="O808" i="17"/>
  <c r="P808" i="17" s="1"/>
  <c r="M809" i="17"/>
  <c r="N809" i="17"/>
  <c r="O809" i="17"/>
  <c r="P809" i="17" s="1"/>
  <c r="M810" i="17"/>
  <c r="N810" i="17"/>
  <c r="O810" i="17"/>
  <c r="P810" i="17" s="1"/>
  <c r="M811" i="17"/>
  <c r="N811" i="17"/>
  <c r="O811" i="17"/>
  <c r="P811" i="17" s="1"/>
  <c r="M812" i="17"/>
  <c r="N812" i="17"/>
  <c r="O812" i="17"/>
  <c r="P812" i="17" s="1"/>
  <c r="M813" i="17"/>
  <c r="N813" i="17"/>
  <c r="O813" i="17"/>
  <c r="P813" i="17" s="1"/>
  <c r="M814" i="17"/>
  <c r="N814" i="17"/>
  <c r="O814" i="17"/>
  <c r="P814" i="17" s="1"/>
  <c r="M815" i="17"/>
  <c r="N815" i="17"/>
  <c r="O815" i="17"/>
  <c r="P815" i="17" s="1"/>
  <c r="M816" i="17"/>
  <c r="N816" i="17"/>
  <c r="O816" i="17"/>
  <c r="P816" i="17" s="1"/>
  <c r="M817" i="17"/>
  <c r="N817" i="17"/>
  <c r="O817" i="17"/>
  <c r="P817" i="17" s="1"/>
  <c r="M818" i="17"/>
  <c r="N818" i="17"/>
  <c r="O818" i="17"/>
  <c r="P818" i="17" s="1"/>
  <c r="M819" i="17"/>
  <c r="N819" i="17"/>
  <c r="O819" i="17"/>
  <c r="P819" i="17" s="1"/>
  <c r="M820" i="17"/>
  <c r="N820" i="17"/>
  <c r="O820" i="17"/>
  <c r="P820" i="17" s="1"/>
  <c r="M821" i="17"/>
  <c r="N821" i="17"/>
  <c r="O821" i="17"/>
  <c r="P821" i="17" s="1"/>
  <c r="M822" i="17"/>
  <c r="N822" i="17"/>
  <c r="O822" i="17"/>
  <c r="P822" i="17" s="1"/>
  <c r="M823" i="17"/>
  <c r="N823" i="17"/>
  <c r="O823" i="17"/>
  <c r="P823" i="17" s="1"/>
  <c r="M824" i="17"/>
  <c r="N824" i="17"/>
  <c r="O824" i="17"/>
  <c r="P824" i="17" s="1"/>
  <c r="M825" i="17"/>
  <c r="N825" i="17"/>
  <c r="O825" i="17"/>
  <c r="P825" i="17" s="1"/>
  <c r="M826" i="17"/>
  <c r="N826" i="17"/>
  <c r="O826" i="17"/>
  <c r="P826" i="17" s="1"/>
  <c r="M827" i="17"/>
  <c r="N827" i="17"/>
  <c r="O827" i="17"/>
  <c r="P827" i="17" s="1"/>
  <c r="M828" i="17"/>
  <c r="N828" i="17"/>
  <c r="O828" i="17"/>
  <c r="P828" i="17" s="1"/>
  <c r="M829" i="17"/>
  <c r="N829" i="17"/>
  <c r="O829" i="17"/>
  <c r="P829" i="17" s="1"/>
  <c r="M830" i="17"/>
  <c r="N830" i="17"/>
  <c r="O830" i="17"/>
  <c r="P830" i="17" s="1"/>
  <c r="M831" i="17"/>
  <c r="N831" i="17"/>
  <c r="O831" i="17"/>
  <c r="P831" i="17" s="1"/>
  <c r="M832" i="17"/>
  <c r="N832" i="17"/>
  <c r="O832" i="17"/>
  <c r="P832" i="17" s="1"/>
  <c r="M833" i="17"/>
  <c r="N833" i="17"/>
  <c r="O833" i="17"/>
  <c r="P833" i="17" s="1"/>
  <c r="M834" i="17"/>
  <c r="N834" i="17"/>
  <c r="O834" i="17"/>
  <c r="P834" i="17" s="1"/>
  <c r="M835" i="17"/>
  <c r="N835" i="17"/>
  <c r="O835" i="17"/>
  <c r="P835" i="17" s="1"/>
  <c r="M836" i="17"/>
  <c r="N836" i="17"/>
  <c r="O836" i="17"/>
  <c r="P836" i="17" s="1"/>
  <c r="M837" i="17"/>
  <c r="N837" i="17"/>
  <c r="O837" i="17"/>
  <c r="P837" i="17" s="1"/>
  <c r="M838" i="17"/>
  <c r="N838" i="17"/>
  <c r="O838" i="17"/>
  <c r="P838" i="17" s="1"/>
  <c r="M839" i="17"/>
  <c r="N839" i="17"/>
  <c r="O839" i="17"/>
  <c r="P839" i="17" s="1"/>
  <c r="M840" i="17"/>
  <c r="N840" i="17"/>
  <c r="O840" i="17"/>
  <c r="P840" i="17" s="1"/>
  <c r="M841" i="17"/>
  <c r="N841" i="17"/>
  <c r="O841" i="17"/>
  <c r="P841" i="17" s="1"/>
  <c r="M842" i="17"/>
  <c r="N842" i="17"/>
  <c r="O842" i="17"/>
  <c r="P842" i="17" s="1"/>
  <c r="M843" i="17"/>
  <c r="N843" i="17"/>
  <c r="O843" i="17"/>
  <c r="P843" i="17" s="1"/>
  <c r="M844" i="17"/>
  <c r="N844" i="17"/>
  <c r="O844" i="17"/>
  <c r="P844" i="17" s="1"/>
  <c r="M845" i="17"/>
  <c r="N845" i="17"/>
  <c r="O845" i="17"/>
  <c r="P845" i="17" s="1"/>
  <c r="M846" i="17"/>
  <c r="N846" i="17"/>
  <c r="O846" i="17"/>
  <c r="P846" i="17" s="1"/>
  <c r="M847" i="17"/>
  <c r="N847" i="17"/>
  <c r="O847" i="17"/>
  <c r="P847" i="17" s="1"/>
  <c r="M848" i="17"/>
  <c r="N848" i="17"/>
  <c r="O848" i="17"/>
  <c r="P848" i="17" s="1"/>
  <c r="M849" i="17"/>
  <c r="N849" i="17"/>
  <c r="O849" i="17"/>
  <c r="P849" i="17" s="1"/>
  <c r="M850" i="17"/>
  <c r="N850" i="17"/>
  <c r="O850" i="17"/>
  <c r="P850" i="17" s="1"/>
  <c r="M851" i="17"/>
  <c r="N851" i="17"/>
  <c r="O851" i="17"/>
  <c r="P851" i="17" s="1"/>
  <c r="M852" i="17"/>
  <c r="N852" i="17"/>
  <c r="O852" i="17"/>
  <c r="P852" i="17" s="1"/>
  <c r="M853" i="17"/>
  <c r="N853" i="17"/>
  <c r="O853" i="17"/>
  <c r="P853" i="17" s="1"/>
  <c r="M854" i="17"/>
  <c r="N854" i="17"/>
  <c r="O854" i="17"/>
  <c r="P854" i="17" s="1"/>
  <c r="M855" i="17"/>
  <c r="N855" i="17"/>
  <c r="O855" i="17"/>
  <c r="P855" i="17" s="1"/>
  <c r="M856" i="17"/>
  <c r="N856" i="17"/>
  <c r="O856" i="17"/>
  <c r="P856" i="17" s="1"/>
  <c r="M857" i="17"/>
  <c r="N857" i="17"/>
  <c r="O857" i="17"/>
  <c r="P857" i="17" s="1"/>
  <c r="M858" i="17"/>
  <c r="N858" i="17"/>
  <c r="O858" i="17"/>
  <c r="P858" i="17" s="1"/>
  <c r="M859" i="17"/>
  <c r="N859" i="17"/>
  <c r="O859" i="17"/>
  <c r="P859" i="17" s="1"/>
  <c r="M860" i="17"/>
  <c r="N860" i="17"/>
  <c r="O860" i="17"/>
  <c r="P860" i="17" s="1"/>
  <c r="M861" i="17"/>
  <c r="N861" i="17"/>
  <c r="O861" i="17"/>
  <c r="P861" i="17" s="1"/>
  <c r="M862" i="17"/>
  <c r="N862" i="17"/>
  <c r="O862" i="17"/>
  <c r="P862" i="17" s="1"/>
  <c r="M863" i="17"/>
  <c r="N863" i="17"/>
  <c r="O863" i="17"/>
  <c r="P863" i="17" s="1"/>
  <c r="M864" i="17"/>
  <c r="N864" i="17"/>
  <c r="O864" i="17"/>
  <c r="P864" i="17" s="1"/>
  <c r="M865" i="17"/>
  <c r="N865" i="17"/>
  <c r="O865" i="17"/>
  <c r="P865" i="17" s="1"/>
  <c r="M866" i="17"/>
  <c r="N866" i="17"/>
  <c r="O866" i="17"/>
  <c r="P866" i="17" s="1"/>
  <c r="M867" i="17"/>
  <c r="N867" i="17"/>
  <c r="O867" i="17"/>
  <c r="P867" i="17" s="1"/>
  <c r="M868" i="17"/>
  <c r="N868" i="17"/>
  <c r="O868" i="17"/>
  <c r="P868" i="17" s="1"/>
  <c r="M869" i="17"/>
  <c r="N869" i="17"/>
  <c r="O869" i="17"/>
  <c r="P869" i="17" s="1"/>
  <c r="M870" i="17"/>
  <c r="N870" i="17"/>
  <c r="O870" i="17"/>
  <c r="P870" i="17" s="1"/>
  <c r="M871" i="17"/>
  <c r="N871" i="17"/>
  <c r="O871" i="17"/>
  <c r="P871" i="17" s="1"/>
  <c r="M872" i="17"/>
  <c r="N872" i="17"/>
  <c r="O872" i="17"/>
  <c r="P872" i="17" s="1"/>
  <c r="M873" i="17"/>
  <c r="N873" i="17"/>
  <c r="O873" i="17"/>
  <c r="P873" i="17" s="1"/>
  <c r="M874" i="17"/>
  <c r="N874" i="17"/>
  <c r="O874" i="17"/>
  <c r="P874" i="17" s="1"/>
  <c r="M875" i="17"/>
  <c r="N875" i="17"/>
  <c r="O875" i="17"/>
  <c r="P875" i="17" s="1"/>
  <c r="M876" i="17"/>
  <c r="N876" i="17"/>
  <c r="O876" i="17"/>
  <c r="P876" i="17" s="1"/>
  <c r="M877" i="17"/>
  <c r="N877" i="17"/>
  <c r="O877" i="17"/>
  <c r="P877" i="17" s="1"/>
  <c r="M878" i="17"/>
  <c r="N878" i="17"/>
  <c r="O878" i="17"/>
  <c r="P878" i="17" s="1"/>
  <c r="M879" i="17"/>
  <c r="N879" i="17"/>
  <c r="O879" i="17"/>
  <c r="P879" i="17" s="1"/>
  <c r="M880" i="17"/>
  <c r="N880" i="17"/>
  <c r="O880" i="17"/>
  <c r="P880" i="17" s="1"/>
  <c r="M881" i="17"/>
  <c r="N881" i="17"/>
  <c r="O881" i="17"/>
  <c r="P881" i="17" s="1"/>
  <c r="M882" i="17"/>
  <c r="N882" i="17"/>
  <c r="O882" i="17"/>
  <c r="P882" i="17" s="1"/>
  <c r="M883" i="17"/>
  <c r="N883" i="17"/>
  <c r="O883" i="17"/>
  <c r="P883" i="17" s="1"/>
  <c r="M884" i="17"/>
  <c r="N884" i="17"/>
  <c r="O884" i="17"/>
  <c r="P884" i="17" s="1"/>
  <c r="M885" i="17"/>
  <c r="N885" i="17"/>
  <c r="O885" i="17"/>
  <c r="P885" i="17" s="1"/>
  <c r="M886" i="17"/>
  <c r="N886" i="17"/>
  <c r="O886" i="17"/>
  <c r="P886" i="17" s="1"/>
  <c r="M887" i="17"/>
  <c r="N887" i="17"/>
  <c r="O887" i="17"/>
  <c r="P887" i="17" s="1"/>
  <c r="M888" i="17"/>
  <c r="N888" i="17"/>
  <c r="O888" i="17"/>
  <c r="P888" i="17" s="1"/>
  <c r="M889" i="17"/>
  <c r="N889" i="17"/>
  <c r="O889" i="17"/>
  <c r="P889" i="17" s="1"/>
  <c r="M890" i="17"/>
  <c r="N890" i="17"/>
  <c r="O890" i="17"/>
  <c r="P890" i="17" s="1"/>
  <c r="M891" i="17"/>
  <c r="N891" i="17"/>
  <c r="O891" i="17"/>
  <c r="P891" i="17" s="1"/>
  <c r="M892" i="17"/>
  <c r="N892" i="17"/>
  <c r="O892" i="17"/>
  <c r="P892" i="17" s="1"/>
  <c r="M893" i="17"/>
  <c r="N893" i="17"/>
  <c r="O893" i="17"/>
  <c r="P893" i="17" s="1"/>
  <c r="M894" i="17"/>
  <c r="N894" i="17"/>
  <c r="O894" i="17"/>
  <c r="P894" i="17" s="1"/>
  <c r="M895" i="17"/>
  <c r="N895" i="17"/>
  <c r="O895" i="17"/>
  <c r="P895" i="17" s="1"/>
  <c r="M896" i="17"/>
  <c r="N896" i="17"/>
  <c r="O896" i="17"/>
  <c r="P896" i="17" s="1"/>
  <c r="M897" i="17"/>
  <c r="N897" i="17"/>
  <c r="O897" i="17"/>
  <c r="P897" i="17" s="1"/>
  <c r="M898" i="17"/>
  <c r="N898" i="17"/>
  <c r="O898" i="17"/>
  <c r="P898" i="17" s="1"/>
  <c r="M899" i="17"/>
  <c r="N899" i="17"/>
  <c r="O899" i="17"/>
  <c r="P899" i="17" s="1"/>
  <c r="M900" i="17"/>
  <c r="N900" i="17"/>
  <c r="O900" i="17"/>
  <c r="P900" i="17" s="1"/>
  <c r="M901" i="17"/>
  <c r="N901" i="17"/>
  <c r="O901" i="17"/>
  <c r="P901" i="17" s="1"/>
  <c r="M902" i="17"/>
  <c r="N902" i="17"/>
  <c r="O902" i="17"/>
  <c r="P902" i="17" s="1"/>
  <c r="M903" i="17"/>
  <c r="N903" i="17"/>
  <c r="O903" i="17"/>
  <c r="P903" i="17" s="1"/>
  <c r="M904" i="17"/>
  <c r="N904" i="17"/>
  <c r="O904" i="17"/>
  <c r="P904" i="17" s="1"/>
  <c r="M905" i="17"/>
  <c r="N905" i="17"/>
  <c r="O905" i="17"/>
  <c r="P905" i="17" s="1"/>
  <c r="M906" i="17"/>
  <c r="N906" i="17"/>
  <c r="O906" i="17"/>
  <c r="P906" i="17" s="1"/>
  <c r="M907" i="17"/>
  <c r="N907" i="17"/>
  <c r="O907" i="17"/>
  <c r="P907" i="17" s="1"/>
  <c r="M908" i="17"/>
  <c r="N908" i="17"/>
  <c r="O908" i="17"/>
  <c r="P908" i="17" s="1"/>
  <c r="M909" i="17"/>
  <c r="N909" i="17"/>
  <c r="O909" i="17"/>
  <c r="P909" i="17" s="1"/>
  <c r="M910" i="17"/>
  <c r="N910" i="17"/>
  <c r="O910" i="17"/>
  <c r="P910" i="17" s="1"/>
  <c r="M911" i="17"/>
  <c r="N911" i="17"/>
  <c r="O911" i="17"/>
  <c r="P911" i="17" s="1"/>
  <c r="M912" i="17"/>
  <c r="N912" i="17"/>
  <c r="O912" i="17"/>
  <c r="P912" i="17" s="1"/>
  <c r="M913" i="17"/>
  <c r="N913" i="17"/>
  <c r="O913" i="17"/>
  <c r="P913" i="17" s="1"/>
  <c r="M914" i="17"/>
  <c r="N914" i="17"/>
  <c r="O914" i="17"/>
  <c r="P914" i="17" s="1"/>
  <c r="M915" i="17"/>
  <c r="N915" i="17"/>
  <c r="O915" i="17"/>
  <c r="P915" i="17" s="1"/>
  <c r="M916" i="17"/>
  <c r="N916" i="17"/>
  <c r="O916" i="17"/>
  <c r="P916" i="17" s="1"/>
  <c r="M917" i="17"/>
  <c r="N917" i="17"/>
  <c r="O917" i="17"/>
  <c r="P917" i="17" s="1"/>
  <c r="M918" i="17"/>
  <c r="N918" i="17"/>
  <c r="O918" i="17"/>
  <c r="P918" i="17" s="1"/>
  <c r="M919" i="17"/>
  <c r="N919" i="17"/>
  <c r="O919" i="17"/>
  <c r="P919" i="17" s="1"/>
  <c r="M920" i="17"/>
  <c r="N920" i="17"/>
  <c r="O920" i="17"/>
  <c r="P920" i="17" s="1"/>
  <c r="M921" i="17"/>
  <c r="N921" i="17"/>
  <c r="O921" i="17"/>
  <c r="P921" i="17" s="1"/>
  <c r="M922" i="17"/>
  <c r="N922" i="17"/>
  <c r="O922" i="17"/>
  <c r="P922" i="17" s="1"/>
  <c r="M923" i="17"/>
  <c r="N923" i="17"/>
  <c r="O923" i="17"/>
  <c r="P923" i="17" s="1"/>
  <c r="M924" i="17"/>
  <c r="N924" i="17"/>
  <c r="O924" i="17"/>
  <c r="P924" i="17" s="1"/>
  <c r="M925" i="17"/>
  <c r="N925" i="17"/>
  <c r="O925" i="17"/>
  <c r="P925" i="17" s="1"/>
  <c r="M926" i="17"/>
  <c r="N926" i="17"/>
  <c r="O926" i="17"/>
  <c r="P926" i="17" s="1"/>
  <c r="M927" i="17"/>
  <c r="N927" i="17"/>
  <c r="O927" i="17"/>
  <c r="P927" i="17" s="1"/>
  <c r="M928" i="17"/>
  <c r="N928" i="17"/>
  <c r="O928" i="17"/>
  <c r="P928" i="17" s="1"/>
  <c r="M929" i="17"/>
  <c r="N929" i="17"/>
  <c r="O929" i="17"/>
  <c r="P929" i="17" s="1"/>
  <c r="M930" i="17"/>
  <c r="N930" i="17"/>
  <c r="O930" i="17"/>
  <c r="P930" i="17" s="1"/>
  <c r="M931" i="17"/>
  <c r="N931" i="17"/>
  <c r="O931" i="17"/>
  <c r="P931" i="17" s="1"/>
  <c r="M932" i="17"/>
  <c r="N932" i="17"/>
  <c r="O932" i="17"/>
  <c r="P932" i="17" s="1"/>
  <c r="M933" i="17"/>
  <c r="N933" i="17"/>
  <c r="O933" i="17"/>
  <c r="P933" i="17" s="1"/>
  <c r="M934" i="17"/>
  <c r="N934" i="17"/>
  <c r="O934" i="17"/>
  <c r="P934" i="17" s="1"/>
  <c r="M935" i="17"/>
  <c r="N935" i="17"/>
  <c r="O935" i="17"/>
  <c r="P935" i="17" s="1"/>
  <c r="M936" i="17"/>
  <c r="N936" i="17"/>
  <c r="O936" i="17"/>
  <c r="P936" i="17" s="1"/>
  <c r="M937" i="17"/>
  <c r="N937" i="17"/>
  <c r="O937" i="17"/>
  <c r="P937" i="17" s="1"/>
  <c r="M938" i="17"/>
  <c r="N938" i="17"/>
  <c r="O938" i="17"/>
  <c r="P938" i="17" s="1"/>
  <c r="M939" i="17"/>
  <c r="N939" i="17"/>
  <c r="O939" i="17"/>
  <c r="P939" i="17" s="1"/>
  <c r="M940" i="17"/>
  <c r="N940" i="17"/>
  <c r="O940" i="17"/>
  <c r="P940" i="17" s="1"/>
  <c r="M941" i="17"/>
  <c r="N941" i="17"/>
  <c r="O941" i="17"/>
  <c r="P941" i="17" s="1"/>
  <c r="M942" i="17"/>
  <c r="N942" i="17"/>
  <c r="O942" i="17"/>
  <c r="P942" i="17" s="1"/>
  <c r="M943" i="17"/>
  <c r="N943" i="17"/>
  <c r="O943" i="17"/>
  <c r="P943" i="17" s="1"/>
  <c r="M944" i="17"/>
  <c r="N944" i="17"/>
  <c r="O944" i="17"/>
  <c r="P944" i="17" s="1"/>
  <c r="M945" i="17"/>
  <c r="N945" i="17"/>
  <c r="O945" i="17"/>
  <c r="P945" i="17" s="1"/>
  <c r="M946" i="17"/>
  <c r="N946" i="17"/>
  <c r="O946" i="17"/>
  <c r="P946" i="17" s="1"/>
  <c r="M947" i="17"/>
  <c r="N947" i="17"/>
  <c r="O947" i="17"/>
  <c r="P947" i="17" s="1"/>
  <c r="M948" i="17"/>
  <c r="N948" i="17"/>
  <c r="O948" i="17"/>
  <c r="P948" i="17" s="1"/>
  <c r="M949" i="17"/>
  <c r="N949" i="17"/>
  <c r="O949" i="17"/>
  <c r="P949" i="17" s="1"/>
  <c r="M950" i="17"/>
  <c r="N950" i="17"/>
  <c r="O950" i="17"/>
  <c r="P950" i="17" s="1"/>
  <c r="M951" i="17"/>
  <c r="N951" i="17"/>
  <c r="O951" i="17"/>
  <c r="P951" i="17" s="1"/>
  <c r="M952" i="17"/>
  <c r="N952" i="17"/>
  <c r="O952" i="17"/>
  <c r="P952" i="17" s="1"/>
  <c r="M953" i="17"/>
  <c r="N953" i="17"/>
  <c r="O953" i="17"/>
  <c r="P953" i="17" s="1"/>
  <c r="M954" i="17"/>
  <c r="N954" i="17"/>
  <c r="O954" i="17"/>
  <c r="P954" i="17" s="1"/>
  <c r="M955" i="17"/>
  <c r="N955" i="17"/>
  <c r="O955" i="17"/>
  <c r="P955" i="17" s="1"/>
  <c r="M956" i="17"/>
  <c r="N956" i="17"/>
  <c r="O956" i="17"/>
  <c r="P956" i="17" s="1"/>
  <c r="M957" i="17"/>
  <c r="N957" i="17"/>
  <c r="O957" i="17"/>
  <c r="P957" i="17" s="1"/>
  <c r="M958" i="17"/>
  <c r="N958" i="17"/>
  <c r="O958" i="17"/>
  <c r="P958" i="17" s="1"/>
  <c r="M959" i="17"/>
  <c r="N959" i="17"/>
  <c r="O959" i="17"/>
  <c r="P959" i="17" s="1"/>
  <c r="M960" i="17"/>
  <c r="N960" i="17"/>
  <c r="O960" i="17"/>
  <c r="P960" i="17" s="1"/>
  <c r="M961" i="17"/>
  <c r="N961" i="17"/>
  <c r="O961" i="17"/>
  <c r="P961" i="17" s="1"/>
  <c r="M962" i="17"/>
  <c r="N962" i="17"/>
  <c r="O962" i="17"/>
  <c r="P962" i="17" s="1"/>
  <c r="M963" i="17"/>
  <c r="N963" i="17"/>
  <c r="O963" i="17"/>
  <c r="P963" i="17" s="1"/>
  <c r="M964" i="17"/>
  <c r="N964" i="17"/>
  <c r="O964" i="17"/>
  <c r="P964" i="17" s="1"/>
  <c r="M965" i="17"/>
  <c r="N965" i="17"/>
  <c r="O965" i="17"/>
  <c r="P965" i="17" s="1"/>
  <c r="M966" i="17"/>
  <c r="N966" i="17"/>
  <c r="O966" i="17"/>
  <c r="P966" i="17" s="1"/>
  <c r="M967" i="17"/>
  <c r="N967" i="17"/>
  <c r="O967" i="17"/>
  <c r="P967" i="17" s="1"/>
  <c r="M968" i="17"/>
  <c r="N968" i="17"/>
  <c r="O968" i="17"/>
  <c r="P968" i="17" s="1"/>
  <c r="M969" i="17"/>
  <c r="N969" i="17"/>
  <c r="O969" i="17"/>
  <c r="P969" i="17" s="1"/>
  <c r="M970" i="17"/>
  <c r="N970" i="17"/>
  <c r="O970" i="17"/>
  <c r="P970" i="17" s="1"/>
  <c r="M971" i="17"/>
  <c r="N971" i="17"/>
  <c r="O971" i="17"/>
  <c r="P971" i="17" s="1"/>
  <c r="M972" i="17"/>
  <c r="N972" i="17"/>
  <c r="O972" i="17"/>
  <c r="P972" i="17" s="1"/>
  <c r="M973" i="17"/>
  <c r="N973" i="17"/>
  <c r="O973" i="17"/>
  <c r="P973" i="17" s="1"/>
  <c r="M974" i="17"/>
  <c r="N974" i="17"/>
  <c r="O974" i="17"/>
  <c r="P974" i="17" s="1"/>
  <c r="M975" i="17"/>
  <c r="N975" i="17"/>
  <c r="O975" i="17"/>
  <c r="P975" i="17" s="1"/>
  <c r="M976" i="17"/>
  <c r="N976" i="17"/>
  <c r="O976" i="17"/>
  <c r="P976" i="17" s="1"/>
  <c r="M977" i="17"/>
  <c r="N977" i="17"/>
  <c r="O977" i="17"/>
  <c r="P977" i="17" s="1"/>
  <c r="M978" i="17"/>
  <c r="N978" i="17"/>
  <c r="O978" i="17"/>
  <c r="P978" i="17" s="1"/>
  <c r="M979" i="17"/>
  <c r="N979" i="17"/>
  <c r="O979" i="17"/>
  <c r="P979" i="17" s="1"/>
  <c r="M980" i="17"/>
  <c r="N980" i="17"/>
  <c r="O980" i="17"/>
  <c r="P980" i="17" s="1"/>
  <c r="M981" i="17"/>
  <c r="N981" i="17"/>
  <c r="O981" i="17"/>
  <c r="P981" i="17" s="1"/>
  <c r="M982" i="17"/>
  <c r="N982" i="17"/>
  <c r="O982" i="17"/>
  <c r="P982" i="17" s="1"/>
  <c r="M983" i="17"/>
  <c r="N983" i="17"/>
  <c r="O983" i="17"/>
  <c r="P983" i="17" s="1"/>
  <c r="M984" i="17"/>
  <c r="N984" i="17"/>
  <c r="O984" i="17"/>
  <c r="P984" i="17" s="1"/>
  <c r="M985" i="17"/>
  <c r="N985" i="17"/>
  <c r="O985" i="17"/>
  <c r="P985" i="17" s="1"/>
  <c r="M986" i="17"/>
  <c r="N986" i="17"/>
  <c r="O986" i="17"/>
  <c r="P986" i="17" s="1"/>
  <c r="M987" i="17"/>
  <c r="N987" i="17"/>
  <c r="O987" i="17"/>
  <c r="P987" i="17" s="1"/>
  <c r="M988" i="17"/>
  <c r="N988" i="17"/>
  <c r="O988" i="17"/>
  <c r="P988" i="17" s="1"/>
  <c r="M989" i="17"/>
  <c r="N989" i="17"/>
  <c r="O989" i="17"/>
  <c r="P989" i="17" s="1"/>
  <c r="M990" i="17"/>
  <c r="N990" i="17"/>
  <c r="O990" i="17"/>
  <c r="P990" i="17" s="1"/>
  <c r="M991" i="17"/>
  <c r="N991" i="17"/>
  <c r="O991" i="17"/>
  <c r="P991" i="17" s="1"/>
  <c r="M992" i="17"/>
  <c r="N992" i="17"/>
  <c r="O992" i="17"/>
  <c r="P992" i="17" s="1"/>
  <c r="M993" i="17"/>
  <c r="N993" i="17"/>
  <c r="O993" i="17"/>
  <c r="P993" i="17" s="1"/>
  <c r="M994" i="17"/>
  <c r="N994" i="17"/>
  <c r="O994" i="17"/>
  <c r="P994" i="17" s="1"/>
  <c r="M995" i="17"/>
  <c r="N995" i="17"/>
  <c r="O995" i="17"/>
  <c r="P995" i="17" s="1"/>
  <c r="M996" i="17"/>
  <c r="N996" i="17"/>
  <c r="O996" i="17"/>
  <c r="P996" i="17" s="1"/>
  <c r="M997" i="17"/>
  <c r="N997" i="17"/>
  <c r="O997" i="17"/>
  <c r="P997" i="17" s="1"/>
  <c r="M998" i="17"/>
  <c r="N998" i="17"/>
  <c r="O998" i="17"/>
  <c r="P998" i="17" s="1"/>
  <c r="M999" i="17"/>
  <c r="N999" i="17"/>
  <c r="O999" i="17"/>
  <c r="P999" i="17" s="1"/>
  <c r="M1000" i="17"/>
  <c r="N1000" i="17"/>
  <c r="O1000" i="17"/>
  <c r="P1000" i="17" s="1"/>
  <c r="M1001" i="17"/>
  <c r="N1001" i="17"/>
  <c r="O1001" i="17"/>
  <c r="P1001" i="17" s="1"/>
  <c r="M3" i="17"/>
  <c r="N3" i="17"/>
  <c r="O3" i="17"/>
  <c r="P3" i="17" s="1"/>
  <c r="M2" i="17"/>
  <c r="N2" i="17"/>
  <c r="O2" i="17"/>
  <c r="P2" i="17" s="1"/>
  <c r="L2" i="17"/>
  <c r="Q2" i="17" s="1" a="1"/>
  <c r="Q2" i="17" s="1"/>
  <c r="K3" i="17" a="1"/>
  <c r="K3" i="17"/>
  <c r="K4" i="17" a="1"/>
  <c r="K4" i="17"/>
  <c r="K5" i="17" a="1"/>
  <c r="K5" i="17"/>
  <c r="K6" i="17" a="1"/>
  <c r="K6" i="17"/>
  <c r="K7" i="17" a="1"/>
  <c r="K7" i="17"/>
  <c r="K8" i="17" a="1"/>
  <c r="K8" i="17"/>
  <c r="K9" i="17" a="1"/>
  <c r="K9" i="17"/>
  <c r="K10" i="17" a="1"/>
  <c r="K10" i="17"/>
  <c r="K11" i="17" a="1"/>
  <c r="K11" i="17"/>
  <c r="K12" i="17" a="1"/>
  <c r="K12" i="17"/>
  <c r="K13" i="17" a="1"/>
  <c r="K13" i="17"/>
  <c r="K14" i="17" a="1"/>
  <c r="K14" i="17"/>
  <c r="K15" i="17" a="1"/>
  <c r="K15" i="17"/>
  <c r="K16" i="17" a="1"/>
  <c r="K16" i="17"/>
  <c r="K17" i="17" a="1"/>
  <c r="K17" i="17"/>
  <c r="K18" i="17" a="1"/>
  <c r="K18" i="17"/>
  <c r="K19" i="17" a="1"/>
  <c r="K19" i="17"/>
  <c r="K20" i="17" a="1"/>
  <c r="K20" i="17"/>
  <c r="K21" i="17" a="1"/>
  <c r="K21" i="17"/>
  <c r="K22" i="17" a="1"/>
  <c r="K22" i="17"/>
  <c r="K23" i="17" a="1"/>
  <c r="K23" i="17"/>
  <c r="K24" i="17" a="1"/>
  <c r="K24" i="17"/>
  <c r="K25" i="17" a="1"/>
  <c r="K25" i="17"/>
  <c r="K26" i="17" a="1"/>
  <c r="K26" i="17"/>
  <c r="K27" i="17" a="1"/>
  <c r="K27" i="17"/>
  <c r="K28" i="17" a="1"/>
  <c r="K28" i="17"/>
  <c r="K29" i="17" a="1"/>
  <c r="K29" i="17"/>
  <c r="K30" i="17" a="1"/>
  <c r="K30" i="17"/>
  <c r="K31" i="17" a="1"/>
  <c r="K31" i="17"/>
  <c r="K32" i="17" a="1"/>
  <c r="K32" i="17"/>
  <c r="K33" i="17" a="1"/>
  <c r="K33" i="17"/>
  <c r="K34" i="17" a="1"/>
  <c r="K34" i="17"/>
  <c r="K35" i="17" a="1"/>
  <c r="K35" i="17"/>
  <c r="K36" i="17" a="1"/>
  <c r="K36" i="17"/>
  <c r="K37" i="17" a="1"/>
  <c r="K37" i="17"/>
  <c r="K38" i="17" a="1"/>
  <c r="K38" i="17"/>
  <c r="K39" i="17" a="1"/>
  <c r="K39" i="17"/>
  <c r="K40" i="17" a="1"/>
  <c r="K40" i="17"/>
  <c r="K41" i="17" a="1"/>
  <c r="K41" i="17"/>
  <c r="K42" i="17" a="1"/>
  <c r="K42" i="17"/>
  <c r="K43" i="17" a="1"/>
  <c r="K43" i="17"/>
  <c r="K44" i="17" a="1"/>
  <c r="K44" i="17"/>
  <c r="K45" i="17" a="1"/>
  <c r="K45" i="17"/>
  <c r="K46" i="17" a="1"/>
  <c r="K46" i="17"/>
  <c r="K47" i="17" a="1"/>
  <c r="K47" i="17"/>
  <c r="K48" i="17" a="1"/>
  <c r="K48" i="17"/>
  <c r="K49" i="17" a="1"/>
  <c r="K49" i="17"/>
  <c r="K50" i="17" a="1"/>
  <c r="K50" i="17"/>
  <c r="K51" i="17" a="1"/>
  <c r="K51" i="17"/>
  <c r="K52" i="17" a="1"/>
  <c r="K52" i="17"/>
  <c r="K53" i="17" a="1"/>
  <c r="K53" i="17"/>
  <c r="K54" i="17" a="1"/>
  <c r="K54" i="17"/>
  <c r="K55" i="17" a="1"/>
  <c r="K55" i="17"/>
  <c r="K56" i="17" a="1"/>
  <c r="K56" i="17"/>
  <c r="K57" i="17" a="1"/>
  <c r="K57" i="17"/>
  <c r="K58" i="17" a="1"/>
  <c r="K58" i="17"/>
  <c r="K59" i="17" a="1"/>
  <c r="K59" i="17"/>
  <c r="K60" i="17" a="1"/>
  <c r="K60" i="17"/>
  <c r="K61" i="17" a="1"/>
  <c r="K61" i="17"/>
  <c r="K62" i="17" a="1"/>
  <c r="K62" i="17"/>
  <c r="K63" i="17" a="1"/>
  <c r="K63" i="17"/>
  <c r="K64" i="17" a="1"/>
  <c r="K64" i="17"/>
  <c r="K65" i="17" a="1"/>
  <c r="K65" i="17"/>
  <c r="K66" i="17" a="1"/>
  <c r="K66" i="17"/>
  <c r="K67" i="17" a="1"/>
  <c r="K67" i="17"/>
  <c r="K68" i="17" a="1"/>
  <c r="K68" i="17"/>
  <c r="K69" i="17" a="1"/>
  <c r="K69" i="17"/>
  <c r="K70" i="17" a="1"/>
  <c r="K70" i="17"/>
  <c r="K71" i="17" a="1"/>
  <c r="K71" i="17"/>
  <c r="K72" i="17" a="1"/>
  <c r="K72" i="17"/>
  <c r="K73" i="17" a="1"/>
  <c r="K73" i="17"/>
  <c r="K74" i="17" a="1"/>
  <c r="K74" i="17"/>
  <c r="K75" i="17" a="1"/>
  <c r="K75" i="17"/>
  <c r="K76" i="17" a="1"/>
  <c r="K76" i="17"/>
  <c r="K77" i="17" a="1"/>
  <c r="K77" i="17"/>
  <c r="K78" i="17" a="1"/>
  <c r="K78" i="17"/>
  <c r="K79" i="17" a="1"/>
  <c r="K79" i="17"/>
  <c r="K80" i="17" a="1"/>
  <c r="K80" i="17"/>
  <c r="K81" i="17" a="1"/>
  <c r="K81" i="17"/>
  <c r="K82" i="17" a="1"/>
  <c r="K82" i="17"/>
  <c r="K83" i="17" a="1"/>
  <c r="K83" i="17"/>
  <c r="K84" i="17" a="1"/>
  <c r="K84" i="17"/>
  <c r="K85" i="17" a="1"/>
  <c r="K85" i="17"/>
  <c r="K86" i="17" a="1"/>
  <c r="K86" i="17"/>
  <c r="K87" i="17" a="1"/>
  <c r="K87" i="17"/>
  <c r="K88" i="17" a="1"/>
  <c r="K88" i="17"/>
  <c r="K89" i="17" a="1"/>
  <c r="K89" i="17"/>
  <c r="K90" i="17" a="1"/>
  <c r="K90" i="17"/>
  <c r="K91" i="17" a="1"/>
  <c r="K91" i="17"/>
  <c r="K92" i="17" a="1"/>
  <c r="K92" i="17"/>
  <c r="K93" i="17" a="1"/>
  <c r="K93" i="17"/>
  <c r="K94" i="17" a="1"/>
  <c r="K94" i="17"/>
  <c r="K95" i="17" a="1"/>
  <c r="K95" i="17"/>
  <c r="K96" i="17" a="1"/>
  <c r="K96" i="17"/>
  <c r="K97" i="17" a="1"/>
  <c r="K97" i="17"/>
  <c r="K98" i="17" a="1"/>
  <c r="K98" i="17"/>
  <c r="K99" i="17" a="1"/>
  <c r="K99" i="17"/>
  <c r="K100" i="17" a="1"/>
  <c r="K100" i="17"/>
  <c r="K101" i="17" a="1"/>
  <c r="K101" i="17"/>
  <c r="K102" i="17" a="1"/>
  <c r="K102" i="17"/>
  <c r="K103" i="17" a="1"/>
  <c r="K103" i="17"/>
  <c r="K104" i="17" a="1"/>
  <c r="K104" i="17"/>
  <c r="K105" i="17" a="1"/>
  <c r="K105" i="17"/>
  <c r="K106" i="17" a="1"/>
  <c r="K106" i="17"/>
  <c r="K107" i="17" a="1"/>
  <c r="K107" i="17"/>
  <c r="K108" i="17" a="1"/>
  <c r="K108" i="17"/>
  <c r="K109" i="17" a="1"/>
  <c r="K109" i="17"/>
  <c r="K110" i="17" a="1"/>
  <c r="K110" i="17"/>
  <c r="K111" i="17" a="1"/>
  <c r="K111" i="17"/>
  <c r="K112" i="17" a="1"/>
  <c r="K112" i="17"/>
  <c r="K113" i="17" a="1"/>
  <c r="K113" i="17"/>
  <c r="K114" i="17" a="1"/>
  <c r="K114" i="17"/>
  <c r="K115" i="17" a="1"/>
  <c r="K115" i="17"/>
  <c r="K116" i="17" a="1"/>
  <c r="K116" i="17"/>
  <c r="K117" i="17" a="1"/>
  <c r="K117" i="17"/>
  <c r="K118" i="17" a="1"/>
  <c r="K118" i="17"/>
  <c r="K119" i="17" a="1"/>
  <c r="K119" i="17"/>
  <c r="K120" i="17" a="1"/>
  <c r="K120" i="17"/>
  <c r="K121" i="17" a="1"/>
  <c r="K121" i="17"/>
  <c r="K122" i="17" a="1"/>
  <c r="K122" i="17"/>
  <c r="K123" i="17" a="1"/>
  <c r="K123" i="17"/>
  <c r="K124" i="17" a="1"/>
  <c r="K124" i="17"/>
  <c r="K125" i="17" a="1"/>
  <c r="K125" i="17"/>
  <c r="K126" i="17" a="1"/>
  <c r="K126" i="17"/>
  <c r="K127" i="17" a="1"/>
  <c r="K127" i="17"/>
  <c r="K128" i="17" a="1"/>
  <c r="K128" i="17"/>
  <c r="K129" i="17" a="1"/>
  <c r="K129" i="17"/>
  <c r="K130" i="17" a="1"/>
  <c r="K130" i="17"/>
  <c r="K131" i="17" a="1"/>
  <c r="K131" i="17"/>
  <c r="K132" i="17" a="1"/>
  <c r="K132" i="17"/>
  <c r="K133" i="17" a="1"/>
  <c r="K133" i="17"/>
  <c r="K134" i="17" a="1"/>
  <c r="K134" i="17"/>
  <c r="K135" i="17" a="1"/>
  <c r="K135" i="17"/>
  <c r="K136" i="17" a="1"/>
  <c r="K136" i="17"/>
  <c r="K137" i="17" a="1"/>
  <c r="K137" i="17"/>
  <c r="K138" i="17" a="1"/>
  <c r="K138" i="17"/>
  <c r="K139" i="17" a="1"/>
  <c r="K139" i="17"/>
  <c r="K140" i="17" a="1"/>
  <c r="K140" i="17"/>
  <c r="K141" i="17" a="1"/>
  <c r="K141" i="17"/>
  <c r="K142" i="17" a="1"/>
  <c r="K142" i="17"/>
  <c r="K143" i="17" a="1"/>
  <c r="K143" i="17"/>
  <c r="K144" i="17" a="1"/>
  <c r="K144" i="17"/>
  <c r="K145" i="17" a="1"/>
  <c r="K145" i="17"/>
  <c r="K146" i="17" a="1"/>
  <c r="K146" i="17"/>
  <c r="K147" i="17" a="1"/>
  <c r="K147" i="17"/>
  <c r="K148" i="17" a="1"/>
  <c r="K148" i="17"/>
  <c r="K149" i="17" a="1"/>
  <c r="K149" i="17"/>
  <c r="K150" i="17" a="1"/>
  <c r="K150" i="17"/>
  <c r="K151" i="17" a="1"/>
  <c r="K151" i="17"/>
  <c r="K152" i="17" a="1"/>
  <c r="K152" i="17"/>
  <c r="K153" i="17" a="1"/>
  <c r="K153" i="17"/>
  <c r="K154" i="17" a="1"/>
  <c r="K154" i="17"/>
  <c r="K155" i="17" a="1"/>
  <c r="K155" i="17"/>
  <c r="K156" i="17" a="1"/>
  <c r="K156" i="17"/>
  <c r="K157" i="17" a="1"/>
  <c r="K157" i="17"/>
  <c r="K158" i="17" a="1"/>
  <c r="K158" i="17"/>
  <c r="K159" i="17" a="1"/>
  <c r="K159" i="17"/>
  <c r="K160" i="17" a="1"/>
  <c r="K160" i="17"/>
  <c r="K161" i="17" a="1"/>
  <c r="K161" i="17"/>
  <c r="K162" i="17" a="1"/>
  <c r="K162" i="17"/>
  <c r="K163" i="17" a="1"/>
  <c r="K163" i="17"/>
  <c r="K164" i="17" a="1"/>
  <c r="K164" i="17"/>
  <c r="K165" i="17" a="1"/>
  <c r="K165" i="17"/>
  <c r="K166" i="17" a="1"/>
  <c r="K166" i="17"/>
  <c r="K167" i="17" a="1"/>
  <c r="K167" i="17"/>
  <c r="K168" i="17" a="1"/>
  <c r="K168" i="17"/>
  <c r="K169" i="17" a="1"/>
  <c r="K169" i="17"/>
  <c r="K170" i="17" a="1"/>
  <c r="K170" i="17"/>
  <c r="K171" i="17" a="1"/>
  <c r="K171" i="17"/>
  <c r="K172" i="17" a="1"/>
  <c r="K172" i="17"/>
  <c r="K173" i="17" a="1"/>
  <c r="K173" i="17"/>
  <c r="K174" i="17" a="1"/>
  <c r="K174" i="17"/>
  <c r="K175" i="17" a="1"/>
  <c r="K175" i="17"/>
  <c r="K176" i="17" a="1"/>
  <c r="K176" i="17"/>
  <c r="K177" i="17" a="1"/>
  <c r="K177" i="17"/>
  <c r="K178" i="17" a="1"/>
  <c r="K178" i="17"/>
  <c r="K179" i="17" a="1"/>
  <c r="K179" i="17"/>
  <c r="K180" i="17" a="1"/>
  <c r="K180" i="17"/>
  <c r="K181" i="17" a="1"/>
  <c r="K181" i="17"/>
  <c r="K182" i="17" a="1"/>
  <c r="K182" i="17"/>
  <c r="K183" i="17" a="1"/>
  <c r="K183" i="17"/>
  <c r="K184" i="17" a="1"/>
  <c r="K184" i="17"/>
  <c r="K185" i="17" a="1"/>
  <c r="K185" i="17"/>
  <c r="K186" i="17" a="1"/>
  <c r="K186" i="17"/>
  <c r="K187" i="17" a="1"/>
  <c r="K187" i="17"/>
  <c r="K188" i="17" a="1"/>
  <c r="K188" i="17"/>
  <c r="K189" i="17" a="1"/>
  <c r="K189" i="17"/>
  <c r="K190" i="17" a="1"/>
  <c r="K190" i="17"/>
  <c r="K191" i="17" a="1"/>
  <c r="K191" i="17"/>
  <c r="K192" i="17" a="1"/>
  <c r="K192" i="17"/>
  <c r="K193" i="17" a="1"/>
  <c r="K193" i="17"/>
  <c r="K194" i="17" a="1"/>
  <c r="K194" i="17"/>
  <c r="K195" i="17" a="1"/>
  <c r="K195" i="17"/>
  <c r="K196" i="17" a="1"/>
  <c r="K196" i="17"/>
  <c r="K197" i="17" a="1"/>
  <c r="K197" i="17"/>
  <c r="K198" i="17" a="1"/>
  <c r="K198" i="17"/>
  <c r="K199" i="17" a="1"/>
  <c r="K199" i="17"/>
  <c r="K200" i="17" a="1"/>
  <c r="K200" i="17"/>
  <c r="K201" i="17" a="1"/>
  <c r="K201" i="17"/>
  <c r="K202" i="17" a="1"/>
  <c r="K202" i="17"/>
  <c r="K203" i="17" a="1"/>
  <c r="K203" i="17"/>
  <c r="K204" i="17" a="1"/>
  <c r="K204" i="17"/>
  <c r="K205" i="17" a="1"/>
  <c r="K205" i="17"/>
  <c r="K206" i="17" a="1"/>
  <c r="K206" i="17"/>
  <c r="K207" i="17" a="1"/>
  <c r="K207" i="17"/>
  <c r="K208" i="17" a="1"/>
  <c r="K208" i="17"/>
  <c r="K209" i="17" a="1"/>
  <c r="K209" i="17"/>
  <c r="K210" i="17" a="1"/>
  <c r="K210" i="17"/>
  <c r="K211" i="17" a="1"/>
  <c r="K211" i="17"/>
  <c r="K212" i="17" a="1"/>
  <c r="K212" i="17"/>
  <c r="K213" i="17" a="1"/>
  <c r="K213" i="17"/>
  <c r="K214" i="17" a="1"/>
  <c r="K214" i="17"/>
  <c r="K215" i="17" a="1"/>
  <c r="K215" i="17"/>
  <c r="K216" i="17" a="1"/>
  <c r="K216" i="17"/>
  <c r="K217" i="17" a="1"/>
  <c r="K217" i="17"/>
  <c r="K218" i="17" a="1"/>
  <c r="K218" i="17"/>
  <c r="K219" i="17" a="1"/>
  <c r="K219" i="17"/>
  <c r="K220" i="17" a="1"/>
  <c r="K220" i="17"/>
  <c r="K221" i="17" a="1"/>
  <c r="K221" i="17"/>
  <c r="K222" i="17" a="1"/>
  <c r="K222" i="17"/>
  <c r="K223" i="17" a="1"/>
  <c r="K223" i="17"/>
  <c r="K224" i="17" a="1"/>
  <c r="K224" i="17"/>
  <c r="K225" i="17" a="1"/>
  <c r="K225" i="17"/>
  <c r="K226" i="17" a="1"/>
  <c r="K226" i="17"/>
  <c r="K227" i="17" a="1"/>
  <c r="K227" i="17"/>
  <c r="K228" i="17" a="1"/>
  <c r="K228" i="17"/>
  <c r="K229" i="17" a="1"/>
  <c r="K229" i="17"/>
  <c r="K230" i="17" a="1"/>
  <c r="K230" i="17"/>
  <c r="K231" i="17" a="1"/>
  <c r="K231" i="17"/>
  <c r="K232" i="17" a="1"/>
  <c r="K232" i="17"/>
  <c r="K233" i="17" a="1"/>
  <c r="K233" i="17"/>
  <c r="K234" i="17" a="1"/>
  <c r="K234" i="17"/>
  <c r="K235" i="17" a="1"/>
  <c r="K235" i="17"/>
  <c r="K236" i="17" a="1"/>
  <c r="K236" i="17"/>
  <c r="K237" i="17" a="1"/>
  <c r="K237" i="17"/>
  <c r="K238" i="17" a="1"/>
  <c r="K238" i="17"/>
  <c r="K239" i="17" a="1"/>
  <c r="K239" i="17"/>
  <c r="K240" i="17" a="1"/>
  <c r="K240" i="17"/>
  <c r="K241" i="17" a="1"/>
  <c r="K241" i="17"/>
  <c r="K242" i="17" a="1"/>
  <c r="K242" i="17"/>
  <c r="K243" i="17" a="1"/>
  <c r="K243" i="17"/>
  <c r="K244" i="17" a="1"/>
  <c r="K244" i="17"/>
  <c r="K245" i="17" a="1"/>
  <c r="K245" i="17"/>
  <c r="K246" i="17" a="1"/>
  <c r="K246" i="17"/>
  <c r="K247" i="17" a="1"/>
  <c r="K247" i="17"/>
  <c r="K248" i="17" a="1"/>
  <c r="K248" i="17"/>
  <c r="K249" i="17" a="1"/>
  <c r="K249" i="17"/>
  <c r="K250" i="17" a="1"/>
  <c r="K250" i="17"/>
  <c r="K251" i="17" a="1"/>
  <c r="K251" i="17"/>
  <c r="K252" i="17" a="1"/>
  <c r="K252" i="17"/>
  <c r="K253" i="17" a="1"/>
  <c r="K253" i="17"/>
  <c r="K254" i="17" a="1"/>
  <c r="K254" i="17"/>
  <c r="K255" i="17" a="1"/>
  <c r="K255" i="17"/>
  <c r="K256" i="17" a="1"/>
  <c r="K256" i="17"/>
  <c r="K257" i="17" a="1"/>
  <c r="K257" i="17"/>
  <c r="K258" i="17" a="1"/>
  <c r="K258" i="17"/>
  <c r="K259" i="17" a="1"/>
  <c r="K259" i="17"/>
  <c r="K260" i="17" a="1"/>
  <c r="K260" i="17"/>
  <c r="K261" i="17" a="1"/>
  <c r="K261" i="17"/>
  <c r="K262" i="17" a="1"/>
  <c r="K262" i="17"/>
  <c r="K263" i="17" a="1"/>
  <c r="K263" i="17"/>
  <c r="K264" i="17" a="1"/>
  <c r="K264" i="17"/>
  <c r="K265" i="17" a="1"/>
  <c r="K265" i="17"/>
  <c r="K266" i="17" a="1"/>
  <c r="K266" i="17"/>
  <c r="K267" i="17" a="1"/>
  <c r="K267" i="17"/>
  <c r="K268" i="17" a="1"/>
  <c r="K268" i="17"/>
  <c r="K269" i="17" a="1"/>
  <c r="K269" i="17"/>
  <c r="K270" i="17" a="1"/>
  <c r="K270" i="17"/>
  <c r="K271" i="17" a="1"/>
  <c r="K271" i="17"/>
  <c r="K272" i="17" a="1"/>
  <c r="K272" i="17"/>
  <c r="K273" i="17" a="1"/>
  <c r="K273" i="17"/>
  <c r="K274" i="17" a="1"/>
  <c r="K274" i="17"/>
  <c r="K275" i="17" a="1"/>
  <c r="K275" i="17"/>
  <c r="K276" i="17" a="1"/>
  <c r="K276" i="17"/>
  <c r="K277" i="17" a="1"/>
  <c r="K277" i="17"/>
  <c r="K278" i="17" a="1"/>
  <c r="K278" i="17"/>
  <c r="K279" i="17" a="1"/>
  <c r="K279" i="17"/>
  <c r="K280" i="17" a="1"/>
  <c r="K280" i="17"/>
  <c r="K281" i="17" a="1"/>
  <c r="K281" i="17"/>
  <c r="K282" i="17" a="1"/>
  <c r="K282" i="17"/>
  <c r="K283" i="17" a="1"/>
  <c r="K283" i="17"/>
  <c r="K284" i="17" a="1"/>
  <c r="K284" i="17"/>
  <c r="K285" i="17" a="1"/>
  <c r="K285" i="17"/>
  <c r="K286" i="17" a="1"/>
  <c r="K286" i="17"/>
  <c r="K287" i="17" a="1"/>
  <c r="K287" i="17"/>
  <c r="K288" i="17" a="1"/>
  <c r="K288" i="17"/>
  <c r="K289" i="17" a="1"/>
  <c r="K289" i="17"/>
  <c r="K290" i="17" a="1"/>
  <c r="K290" i="17"/>
  <c r="K291" i="17" a="1"/>
  <c r="K291" i="17"/>
  <c r="K292" i="17" a="1"/>
  <c r="K292" i="17"/>
  <c r="K293" i="17" a="1"/>
  <c r="K293" i="17"/>
  <c r="K294" i="17" a="1"/>
  <c r="K294" i="17"/>
  <c r="K295" i="17" a="1"/>
  <c r="K295" i="17"/>
  <c r="K296" i="17" a="1"/>
  <c r="K296" i="17"/>
  <c r="K297" i="17" a="1"/>
  <c r="K297" i="17"/>
  <c r="K298" i="17" a="1"/>
  <c r="K298" i="17"/>
  <c r="K299" i="17" a="1"/>
  <c r="K299" i="17"/>
  <c r="K300" i="17" a="1"/>
  <c r="K300" i="17"/>
  <c r="K301" i="17" a="1"/>
  <c r="K301" i="17"/>
  <c r="K302" i="17" a="1"/>
  <c r="K302" i="17"/>
  <c r="K303" i="17" a="1"/>
  <c r="K303" i="17"/>
  <c r="K304" i="17" a="1"/>
  <c r="K304" i="17"/>
  <c r="K305" i="17" a="1"/>
  <c r="K305" i="17"/>
  <c r="K306" i="17" a="1"/>
  <c r="K306" i="17"/>
  <c r="K307" i="17" a="1"/>
  <c r="K307" i="17"/>
  <c r="K308" i="17" a="1"/>
  <c r="K308" i="17"/>
  <c r="K309" i="17" a="1"/>
  <c r="K309" i="17"/>
  <c r="K310" i="17" a="1"/>
  <c r="K310" i="17"/>
  <c r="K311" i="17" a="1"/>
  <c r="K311" i="17"/>
  <c r="K312" i="17" a="1"/>
  <c r="K312" i="17"/>
  <c r="K313" i="17" a="1"/>
  <c r="K313" i="17"/>
  <c r="K314" i="17" a="1"/>
  <c r="K314" i="17"/>
  <c r="K315" i="17" a="1"/>
  <c r="K315" i="17"/>
  <c r="K316" i="17" a="1"/>
  <c r="K316" i="17"/>
  <c r="K317" i="17" a="1"/>
  <c r="K317" i="17"/>
  <c r="K318" i="17" a="1"/>
  <c r="K318" i="17"/>
  <c r="K319" i="17" a="1"/>
  <c r="K319" i="17"/>
  <c r="K320" i="17" a="1"/>
  <c r="K320" i="17"/>
  <c r="K321" i="17" a="1"/>
  <c r="K321" i="17"/>
  <c r="K322" i="17" a="1"/>
  <c r="K322" i="17"/>
  <c r="K323" i="17" a="1"/>
  <c r="K323" i="17"/>
  <c r="K324" i="17" a="1"/>
  <c r="K324" i="17"/>
  <c r="K325" i="17" a="1"/>
  <c r="K325" i="17"/>
  <c r="K326" i="17" a="1"/>
  <c r="K326" i="17"/>
  <c r="K327" i="17" a="1"/>
  <c r="K327" i="17"/>
  <c r="K328" i="17" a="1"/>
  <c r="K328" i="17"/>
  <c r="K329" i="17" a="1"/>
  <c r="K329" i="17"/>
  <c r="K330" i="17" a="1"/>
  <c r="K330" i="17"/>
  <c r="K331" i="17" a="1"/>
  <c r="K331" i="17"/>
  <c r="K332" i="17" a="1"/>
  <c r="K332" i="17"/>
  <c r="K333" i="17" a="1"/>
  <c r="K333" i="17"/>
  <c r="K334" i="17" a="1"/>
  <c r="K334" i="17"/>
  <c r="K335" i="17" a="1"/>
  <c r="K335" i="17"/>
  <c r="K336" i="17" a="1"/>
  <c r="K336" i="17"/>
  <c r="K337" i="17" a="1"/>
  <c r="K337" i="17"/>
  <c r="K338" i="17" a="1"/>
  <c r="K338" i="17"/>
  <c r="K339" i="17" a="1"/>
  <c r="K339" i="17"/>
  <c r="K340" i="17" a="1"/>
  <c r="K340" i="17"/>
  <c r="K341" i="17" a="1"/>
  <c r="K341" i="17"/>
  <c r="K342" i="17" a="1"/>
  <c r="K342" i="17"/>
  <c r="K343" i="17" a="1"/>
  <c r="K343" i="17"/>
  <c r="K344" i="17" a="1"/>
  <c r="K344" i="17"/>
  <c r="K345" i="17" a="1"/>
  <c r="K345" i="17"/>
  <c r="K346" i="17" a="1"/>
  <c r="K346" i="17"/>
  <c r="K347" i="17" a="1"/>
  <c r="K347" i="17"/>
  <c r="K348" i="17" a="1"/>
  <c r="K348" i="17"/>
  <c r="K349" i="17" a="1"/>
  <c r="K349" i="17"/>
  <c r="K350" i="17" a="1"/>
  <c r="K350" i="17"/>
  <c r="K351" i="17" a="1"/>
  <c r="K351" i="17"/>
  <c r="K352" i="17" a="1"/>
  <c r="K352" i="17"/>
  <c r="K353" i="17" a="1"/>
  <c r="K353" i="17"/>
  <c r="K354" i="17" a="1"/>
  <c r="K354" i="17"/>
  <c r="K355" i="17" a="1"/>
  <c r="K355" i="17"/>
  <c r="K356" i="17" a="1"/>
  <c r="K356" i="17"/>
  <c r="K357" i="17" a="1"/>
  <c r="K357" i="17"/>
  <c r="K358" i="17" a="1"/>
  <c r="K358" i="17"/>
  <c r="K359" i="17" a="1"/>
  <c r="K359" i="17"/>
  <c r="K360" i="17" a="1"/>
  <c r="K360" i="17"/>
  <c r="K361" i="17" a="1"/>
  <c r="K361" i="17"/>
  <c r="K362" i="17" a="1"/>
  <c r="K362" i="17"/>
  <c r="K363" i="17" a="1"/>
  <c r="K363" i="17"/>
  <c r="K364" i="17" a="1"/>
  <c r="K364" i="17"/>
  <c r="K365" i="17" a="1"/>
  <c r="K365" i="17"/>
  <c r="K366" i="17" a="1"/>
  <c r="K366" i="17"/>
  <c r="K367" i="17" a="1"/>
  <c r="K367" i="17"/>
  <c r="K368" i="17" a="1"/>
  <c r="K368" i="17"/>
  <c r="K369" i="17" a="1"/>
  <c r="K369" i="17"/>
  <c r="K370" i="17" a="1"/>
  <c r="K370" i="17"/>
  <c r="K371" i="17" a="1"/>
  <c r="K371" i="17"/>
  <c r="K372" i="17" a="1"/>
  <c r="K372" i="17"/>
  <c r="K373" i="17" a="1"/>
  <c r="K373" i="17"/>
  <c r="K374" i="17" a="1"/>
  <c r="K374" i="17"/>
  <c r="K375" i="17" a="1"/>
  <c r="K375" i="17"/>
  <c r="K376" i="17" a="1"/>
  <c r="K376" i="17"/>
  <c r="K377" i="17" a="1"/>
  <c r="K377" i="17"/>
  <c r="K378" i="17" a="1"/>
  <c r="K378" i="17"/>
  <c r="K379" i="17" a="1"/>
  <c r="K379" i="17"/>
  <c r="K380" i="17" a="1"/>
  <c r="K380" i="17"/>
  <c r="K381" i="17" a="1"/>
  <c r="K381" i="17"/>
  <c r="K382" i="17" a="1"/>
  <c r="K382" i="17"/>
  <c r="K383" i="17" a="1"/>
  <c r="K383" i="17"/>
  <c r="K384" i="17" a="1"/>
  <c r="K384" i="17"/>
  <c r="K385" i="17" a="1"/>
  <c r="K385" i="17"/>
  <c r="K386" i="17" a="1"/>
  <c r="K386" i="17"/>
  <c r="K387" i="17" a="1"/>
  <c r="K387" i="17"/>
  <c r="K388" i="17" a="1"/>
  <c r="K388" i="17"/>
  <c r="K389" i="17" a="1"/>
  <c r="K389" i="17"/>
  <c r="K390" i="17" a="1"/>
  <c r="K390" i="17"/>
  <c r="K391" i="17" a="1"/>
  <c r="K391" i="17"/>
  <c r="K392" i="17" a="1"/>
  <c r="K392" i="17"/>
  <c r="K393" i="17" a="1"/>
  <c r="K393" i="17"/>
  <c r="K394" i="17" a="1"/>
  <c r="K394" i="17"/>
  <c r="K395" i="17" a="1"/>
  <c r="K395" i="17"/>
  <c r="K396" i="17" a="1"/>
  <c r="K396" i="17"/>
  <c r="K397" i="17" a="1"/>
  <c r="K397" i="17"/>
  <c r="K398" i="17" a="1"/>
  <c r="K398" i="17"/>
  <c r="K399" i="17" a="1"/>
  <c r="K399" i="17"/>
  <c r="K400" i="17" a="1"/>
  <c r="K400" i="17"/>
  <c r="K401" i="17" a="1"/>
  <c r="K401" i="17"/>
  <c r="K402" i="17" a="1"/>
  <c r="K402" i="17"/>
  <c r="K403" i="17" a="1"/>
  <c r="K403" i="17"/>
  <c r="K404" i="17" a="1"/>
  <c r="K404" i="17"/>
  <c r="K405" i="17" a="1"/>
  <c r="K405" i="17"/>
  <c r="K406" i="17" a="1"/>
  <c r="K406" i="17"/>
  <c r="K407" i="17" a="1"/>
  <c r="K407" i="17"/>
  <c r="K408" i="17" a="1"/>
  <c r="K408" i="17"/>
  <c r="K409" i="17" a="1"/>
  <c r="K409" i="17"/>
  <c r="K410" i="17" a="1"/>
  <c r="K410" i="17"/>
  <c r="K411" i="17" a="1"/>
  <c r="K411" i="17"/>
  <c r="K412" i="17" a="1"/>
  <c r="K412" i="17"/>
  <c r="K413" i="17" a="1"/>
  <c r="K413" i="17"/>
  <c r="K414" i="17" a="1"/>
  <c r="K414" i="17"/>
  <c r="K415" i="17" a="1"/>
  <c r="K415" i="17"/>
  <c r="K416" i="17" a="1"/>
  <c r="K416" i="17"/>
  <c r="K417" i="17" a="1"/>
  <c r="K417" i="17"/>
  <c r="K418" i="17" a="1"/>
  <c r="K418" i="17"/>
  <c r="K419" i="17" a="1"/>
  <c r="K419" i="17"/>
  <c r="K420" i="17" a="1"/>
  <c r="K420" i="17"/>
  <c r="K421" i="17" a="1"/>
  <c r="K421" i="17"/>
  <c r="K422" i="17" a="1"/>
  <c r="K422" i="17"/>
  <c r="K423" i="17" a="1"/>
  <c r="K423" i="17"/>
  <c r="K424" i="17" a="1"/>
  <c r="K424" i="17"/>
  <c r="K425" i="17" a="1"/>
  <c r="K425" i="17"/>
  <c r="K426" i="17" a="1"/>
  <c r="K426" i="17"/>
  <c r="K427" i="17" a="1"/>
  <c r="K427" i="17"/>
  <c r="K428" i="17" a="1"/>
  <c r="K428" i="17"/>
  <c r="K429" i="17" a="1"/>
  <c r="K429" i="17"/>
  <c r="K430" i="17" a="1"/>
  <c r="K430" i="17"/>
  <c r="K431" i="17" a="1"/>
  <c r="K431" i="17"/>
  <c r="K432" i="17" a="1"/>
  <c r="K432" i="17"/>
  <c r="K433" i="17" a="1"/>
  <c r="K433" i="17"/>
  <c r="K434" i="17" a="1"/>
  <c r="K434" i="17"/>
  <c r="K435" i="17" a="1"/>
  <c r="K435" i="17"/>
  <c r="K436" i="17" a="1"/>
  <c r="K436" i="17"/>
  <c r="K437" i="17" a="1"/>
  <c r="K437" i="17"/>
  <c r="K438" i="17" a="1"/>
  <c r="K438" i="17"/>
  <c r="K439" i="17" a="1"/>
  <c r="K439" i="17"/>
  <c r="K440" i="17" a="1"/>
  <c r="K440" i="17"/>
  <c r="K441" i="17" a="1"/>
  <c r="K441" i="17"/>
  <c r="K442" i="17" a="1"/>
  <c r="K442" i="17"/>
  <c r="K443" i="17" a="1"/>
  <c r="K443" i="17"/>
  <c r="K444" i="17" a="1"/>
  <c r="K444" i="17"/>
  <c r="K445" i="17" a="1"/>
  <c r="K445" i="17"/>
  <c r="K446" i="17" a="1"/>
  <c r="K446" i="17"/>
  <c r="K447" i="17" a="1"/>
  <c r="K447" i="17"/>
  <c r="K448" i="17" a="1"/>
  <c r="K448" i="17"/>
  <c r="K449" i="17" a="1"/>
  <c r="K449" i="17"/>
  <c r="K450" i="17" a="1"/>
  <c r="K450" i="17"/>
  <c r="K451" i="17" a="1"/>
  <c r="K451" i="17"/>
  <c r="K452" i="17" a="1"/>
  <c r="K452" i="17"/>
  <c r="K453" i="17" a="1"/>
  <c r="K453" i="17"/>
  <c r="K454" i="17" a="1"/>
  <c r="K454" i="17"/>
  <c r="K455" i="17" a="1"/>
  <c r="K455" i="17"/>
  <c r="K456" i="17" a="1"/>
  <c r="K456" i="17"/>
  <c r="K457" i="17" a="1"/>
  <c r="K457" i="17"/>
  <c r="K458" i="17" a="1"/>
  <c r="K458" i="17"/>
  <c r="K459" i="17" a="1"/>
  <c r="K459" i="17"/>
  <c r="K460" i="17" a="1"/>
  <c r="K460" i="17"/>
  <c r="K461" i="17" a="1"/>
  <c r="K461" i="17"/>
  <c r="K462" i="17" a="1"/>
  <c r="K462" i="17"/>
  <c r="K463" i="17" a="1"/>
  <c r="K463" i="17"/>
  <c r="K464" i="17" a="1"/>
  <c r="K464" i="17"/>
  <c r="K465" i="17" a="1"/>
  <c r="K465" i="17"/>
  <c r="K466" i="17" a="1"/>
  <c r="K466" i="17"/>
  <c r="K467" i="17" a="1"/>
  <c r="K467" i="17"/>
  <c r="K468" i="17" a="1"/>
  <c r="K468" i="17"/>
  <c r="K469" i="17" a="1"/>
  <c r="K469" i="17"/>
  <c r="K470" i="17" a="1"/>
  <c r="K470" i="17"/>
  <c r="K471" i="17" a="1"/>
  <c r="K471" i="17"/>
  <c r="K472" i="17" a="1"/>
  <c r="K472" i="17"/>
  <c r="K473" i="17" a="1"/>
  <c r="K473" i="17"/>
  <c r="K474" i="17" a="1"/>
  <c r="K474" i="17"/>
  <c r="K475" i="17" a="1"/>
  <c r="K475" i="17"/>
  <c r="K476" i="17" a="1"/>
  <c r="K476" i="17"/>
  <c r="K477" i="17" a="1"/>
  <c r="K477" i="17"/>
  <c r="K478" i="17" a="1"/>
  <c r="K478" i="17"/>
  <c r="K479" i="17" a="1"/>
  <c r="K479" i="17"/>
  <c r="K480" i="17" a="1"/>
  <c r="K480" i="17"/>
  <c r="K481" i="17" a="1"/>
  <c r="K481" i="17"/>
  <c r="K482" i="17" a="1"/>
  <c r="K482" i="17"/>
  <c r="K483" i="17" a="1"/>
  <c r="K483" i="17"/>
  <c r="K484" i="17" a="1"/>
  <c r="K484" i="17"/>
  <c r="K485" i="17" a="1"/>
  <c r="K485" i="17"/>
  <c r="K486" i="17" a="1"/>
  <c r="K486" i="17"/>
  <c r="K487" i="17" a="1"/>
  <c r="K487" i="17"/>
  <c r="K488" i="17" a="1"/>
  <c r="K488" i="17"/>
  <c r="K489" i="17" a="1"/>
  <c r="K489" i="17"/>
  <c r="K490" i="17" a="1"/>
  <c r="K490" i="17"/>
  <c r="K491" i="17" a="1"/>
  <c r="K491" i="17"/>
  <c r="K492" i="17" a="1"/>
  <c r="K492" i="17"/>
  <c r="K493" i="17" a="1"/>
  <c r="K493" i="17"/>
  <c r="K494" i="17" a="1"/>
  <c r="K494" i="17"/>
  <c r="K495" i="17" a="1"/>
  <c r="K495" i="17"/>
  <c r="K496" i="17" a="1"/>
  <c r="K496" i="17"/>
  <c r="K497" i="17" a="1"/>
  <c r="K497" i="17"/>
  <c r="K498" i="17" a="1"/>
  <c r="K498" i="17"/>
  <c r="K499" i="17" a="1"/>
  <c r="K499" i="17"/>
  <c r="K500" i="17" a="1"/>
  <c r="K500" i="17"/>
  <c r="K501" i="17" a="1"/>
  <c r="K501" i="17"/>
  <c r="K502" i="17" a="1"/>
  <c r="K502" i="17"/>
  <c r="K503" i="17" a="1"/>
  <c r="K503" i="17"/>
  <c r="K504" i="17" a="1"/>
  <c r="K504" i="17"/>
  <c r="K505" i="17" a="1"/>
  <c r="K505" i="17"/>
  <c r="K506" i="17" a="1"/>
  <c r="K506" i="17"/>
  <c r="K507" i="17" a="1"/>
  <c r="K507" i="17"/>
  <c r="K508" i="17" a="1"/>
  <c r="K508" i="17"/>
  <c r="K509" i="17" a="1"/>
  <c r="K509" i="17"/>
  <c r="K510" i="17" a="1"/>
  <c r="K510" i="17"/>
  <c r="K511" i="17" a="1"/>
  <c r="K511" i="17"/>
  <c r="K512" i="17" a="1"/>
  <c r="K512" i="17"/>
  <c r="K513" i="17" a="1"/>
  <c r="K513" i="17"/>
  <c r="K514" i="17" a="1"/>
  <c r="K514" i="17"/>
  <c r="K515" i="17" a="1"/>
  <c r="K515" i="17"/>
  <c r="K516" i="17" a="1"/>
  <c r="K516" i="17"/>
  <c r="K517" i="17" a="1"/>
  <c r="K517" i="17"/>
  <c r="K518" i="17" a="1"/>
  <c r="K518" i="17"/>
  <c r="K519" i="17" a="1"/>
  <c r="K519" i="17"/>
  <c r="K520" i="17" a="1"/>
  <c r="K520" i="17"/>
  <c r="K521" i="17" a="1"/>
  <c r="K521" i="17"/>
  <c r="K522" i="17" a="1"/>
  <c r="K522" i="17"/>
  <c r="K523" i="17" a="1"/>
  <c r="K523" i="17"/>
  <c r="K524" i="17" a="1"/>
  <c r="K524" i="17"/>
  <c r="K525" i="17" a="1"/>
  <c r="K525" i="17"/>
  <c r="K526" i="17" a="1"/>
  <c r="K526" i="17"/>
  <c r="K527" i="17" a="1"/>
  <c r="K527" i="17"/>
  <c r="K528" i="17" a="1"/>
  <c r="K528" i="17"/>
  <c r="K529" i="17" a="1"/>
  <c r="K529" i="17"/>
  <c r="K530" i="17" a="1"/>
  <c r="K530" i="17"/>
  <c r="K531" i="17" a="1"/>
  <c r="K531" i="17"/>
  <c r="K532" i="17" a="1"/>
  <c r="K532" i="17"/>
  <c r="K533" i="17" a="1"/>
  <c r="K533" i="17"/>
  <c r="K534" i="17" a="1"/>
  <c r="K534" i="17"/>
  <c r="K535" i="17" a="1"/>
  <c r="K535" i="17"/>
  <c r="K536" i="17" a="1"/>
  <c r="K536" i="17"/>
  <c r="K537" i="17" a="1"/>
  <c r="K537" i="17"/>
  <c r="K538" i="17" a="1"/>
  <c r="K538" i="17"/>
  <c r="K539" i="17" a="1"/>
  <c r="K539" i="17"/>
  <c r="K540" i="17" a="1"/>
  <c r="K540" i="17"/>
  <c r="K541" i="17" a="1"/>
  <c r="K541" i="17"/>
  <c r="K542" i="17" a="1"/>
  <c r="K542" i="17"/>
  <c r="K543" i="17" a="1"/>
  <c r="K543" i="17"/>
  <c r="K544" i="17" a="1"/>
  <c r="K544" i="17"/>
  <c r="K545" i="17" a="1"/>
  <c r="K545" i="17"/>
  <c r="K546" i="17" a="1"/>
  <c r="K546" i="17"/>
  <c r="K547" i="17" a="1"/>
  <c r="K547" i="17"/>
  <c r="K548" i="17" a="1"/>
  <c r="K548" i="17"/>
  <c r="K549" i="17" a="1"/>
  <c r="K549" i="17"/>
  <c r="K550" i="17" a="1"/>
  <c r="K550" i="17"/>
  <c r="K551" i="17" a="1"/>
  <c r="K551" i="17"/>
  <c r="K552" i="17" a="1"/>
  <c r="K552" i="17"/>
  <c r="K553" i="17" a="1"/>
  <c r="K553" i="17"/>
  <c r="K554" i="17" a="1"/>
  <c r="K554" i="17"/>
  <c r="K555" i="17" a="1"/>
  <c r="K555" i="17"/>
  <c r="K556" i="17" a="1"/>
  <c r="K556" i="17"/>
  <c r="K557" i="17" a="1"/>
  <c r="K557" i="17"/>
  <c r="K558" i="17" a="1"/>
  <c r="K558" i="17"/>
  <c r="K559" i="17" a="1"/>
  <c r="K559" i="17"/>
  <c r="K560" i="17" a="1"/>
  <c r="K560" i="17"/>
  <c r="K561" i="17" a="1"/>
  <c r="K561" i="17"/>
  <c r="K562" i="17" a="1"/>
  <c r="K562" i="17"/>
  <c r="K563" i="17" a="1"/>
  <c r="K563" i="17"/>
  <c r="K564" i="17" a="1"/>
  <c r="K564" i="17"/>
  <c r="K565" i="17" a="1"/>
  <c r="K565" i="17"/>
  <c r="K566" i="17" a="1"/>
  <c r="K566" i="17"/>
  <c r="K567" i="17" a="1"/>
  <c r="K567" i="17"/>
  <c r="K568" i="17" a="1"/>
  <c r="K568" i="17"/>
  <c r="K569" i="17" a="1"/>
  <c r="K569" i="17"/>
  <c r="K570" i="17" a="1"/>
  <c r="K570" i="17"/>
  <c r="K571" i="17" a="1"/>
  <c r="K571" i="17"/>
  <c r="K572" i="17" a="1"/>
  <c r="K572" i="17"/>
  <c r="K573" i="17" a="1"/>
  <c r="K573" i="17"/>
  <c r="K574" i="17" a="1"/>
  <c r="K574" i="17"/>
  <c r="K575" i="17" a="1"/>
  <c r="K575" i="17"/>
  <c r="K576" i="17" a="1"/>
  <c r="K576" i="17"/>
  <c r="K577" i="17" a="1"/>
  <c r="K577" i="17"/>
  <c r="K578" i="17" a="1"/>
  <c r="K578" i="17"/>
  <c r="K579" i="17" a="1"/>
  <c r="K579" i="17"/>
  <c r="K580" i="17" a="1"/>
  <c r="K580" i="17"/>
  <c r="K581" i="17" a="1"/>
  <c r="K581" i="17"/>
  <c r="K582" i="17" a="1"/>
  <c r="K582" i="17"/>
  <c r="K583" i="17" a="1"/>
  <c r="K583" i="17"/>
  <c r="K584" i="17" a="1"/>
  <c r="K584" i="17"/>
  <c r="K585" i="17" a="1"/>
  <c r="K585" i="17"/>
  <c r="K586" i="17" a="1"/>
  <c r="K586" i="17"/>
  <c r="K587" i="17" a="1"/>
  <c r="K587" i="17"/>
  <c r="K588" i="17" a="1"/>
  <c r="K588" i="17"/>
  <c r="K589" i="17" a="1"/>
  <c r="K589" i="17"/>
  <c r="K590" i="17" a="1"/>
  <c r="K590" i="17"/>
  <c r="K591" i="17" a="1"/>
  <c r="K591" i="17"/>
  <c r="K592" i="17" a="1"/>
  <c r="K592" i="17"/>
  <c r="K593" i="17" a="1"/>
  <c r="K593" i="17"/>
  <c r="K594" i="17" a="1"/>
  <c r="K594" i="17"/>
  <c r="K595" i="17" a="1"/>
  <c r="K595" i="17"/>
  <c r="K596" i="17" a="1"/>
  <c r="K596" i="17"/>
  <c r="K597" i="17" a="1"/>
  <c r="K597" i="17"/>
  <c r="K598" i="17" a="1"/>
  <c r="K598" i="17"/>
  <c r="K599" i="17" a="1"/>
  <c r="K599" i="17"/>
  <c r="K600" i="17" a="1"/>
  <c r="K600" i="17"/>
  <c r="K601" i="17" a="1"/>
  <c r="K601" i="17"/>
  <c r="K602" i="17" a="1"/>
  <c r="K602" i="17"/>
  <c r="K603" i="17" a="1"/>
  <c r="K603" i="17"/>
  <c r="K604" i="17" a="1"/>
  <c r="K604" i="17"/>
  <c r="K605" i="17" a="1"/>
  <c r="K605" i="17"/>
  <c r="K606" i="17" a="1"/>
  <c r="K606" i="17"/>
  <c r="K607" i="17" a="1"/>
  <c r="K607" i="17"/>
  <c r="K608" i="17" a="1"/>
  <c r="K608" i="17"/>
  <c r="K609" i="17" a="1"/>
  <c r="K609" i="17"/>
  <c r="K610" i="17" a="1"/>
  <c r="K610" i="17"/>
  <c r="K611" i="17" a="1"/>
  <c r="K611" i="17"/>
  <c r="K612" i="17" a="1"/>
  <c r="K612" i="17"/>
  <c r="K613" i="17" a="1"/>
  <c r="K613" i="17"/>
  <c r="K614" i="17" a="1"/>
  <c r="K614" i="17"/>
  <c r="K615" i="17" a="1"/>
  <c r="K615" i="17"/>
  <c r="K616" i="17" a="1"/>
  <c r="K616" i="17"/>
  <c r="K617" i="17" a="1"/>
  <c r="K617" i="17"/>
  <c r="K618" i="17" a="1"/>
  <c r="K618" i="17"/>
  <c r="K619" i="17" a="1"/>
  <c r="K619" i="17"/>
  <c r="K620" i="17" a="1"/>
  <c r="K620" i="17"/>
  <c r="K621" i="17" a="1"/>
  <c r="K621" i="17"/>
  <c r="K622" i="17" a="1"/>
  <c r="K622" i="17"/>
  <c r="K623" i="17" a="1"/>
  <c r="K623" i="17"/>
  <c r="K624" i="17" a="1"/>
  <c r="K624" i="17"/>
  <c r="K625" i="17" a="1"/>
  <c r="K625" i="17"/>
  <c r="K626" i="17" a="1"/>
  <c r="K626" i="17"/>
  <c r="K627" i="17" a="1"/>
  <c r="K627" i="17"/>
  <c r="K628" i="17" a="1"/>
  <c r="K628" i="17"/>
  <c r="K629" i="17" a="1"/>
  <c r="K629" i="17"/>
  <c r="K630" i="17" a="1"/>
  <c r="K630" i="17"/>
  <c r="K631" i="17" a="1"/>
  <c r="K631" i="17"/>
  <c r="K632" i="17" a="1"/>
  <c r="K632" i="17"/>
  <c r="K633" i="17" a="1"/>
  <c r="K633" i="17"/>
  <c r="K634" i="17" a="1"/>
  <c r="K634" i="17"/>
  <c r="K635" i="17" a="1"/>
  <c r="K635" i="17"/>
  <c r="K636" i="17" a="1"/>
  <c r="K636" i="17"/>
  <c r="K637" i="17" a="1"/>
  <c r="K637" i="17"/>
  <c r="K638" i="17" a="1"/>
  <c r="K638" i="17"/>
  <c r="K639" i="17" a="1"/>
  <c r="K639" i="17"/>
  <c r="K640" i="17" a="1"/>
  <c r="K640" i="17"/>
  <c r="K641" i="17" a="1"/>
  <c r="K641" i="17"/>
  <c r="K642" i="17" a="1"/>
  <c r="K642" i="17"/>
  <c r="K643" i="17" a="1"/>
  <c r="K643" i="17"/>
  <c r="K644" i="17" a="1"/>
  <c r="K644" i="17"/>
  <c r="K645" i="17" a="1"/>
  <c r="K645" i="17"/>
  <c r="K646" i="17" a="1"/>
  <c r="K646" i="17"/>
  <c r="K647" i="17" a="1"/>
  <c r="K647" i="17"/>
  <c r="K648" i="17" a="1"/>
  <c r="K648" i="17"/>
  <c r="K649" i="17" a="1"/>
  <c r="K649" i="17"/>
  <c r="K650" i="17" a="1"/>
  <c r="K650" i="17"/>
  <c r="K651" i="17" a="1"/>
  <c r="K651" i="17"/>
  <c r="K652" i="17" a="1"/>
  <c r="K652" i="17"/>
  <c r="K653" i="17" a="1"/>
  <c r="K653" i="17"/>
  <c r="K654" i="17" a="1"/>
  <c r="K654" i="17"/>
  <c r="K655" i="17" a="1"/>
  <c r="K655" i="17"/>
  <c r="K656" i="17" a="1"/>
  <c r="K656" i="17"/>
  <c r="K657" i="17" a="1"/>
  <c r="K657" i="17"/>
  <c r="K658" i="17" a="1"/>
  <c r="K658" i="17"/>
  <c r="K659" i="17" a="1"/>
  <c r="K659" i="17"/>
  <c r="K660" i="17" a="1"/>
  <c r="K660" i="17"/>
  <c r="K661" i="17" a="1"/>
  <c r="K661" i="17"/>
  <c r="K662" i="17" a="1"/>
  <c r="K662" i="17"/>
  <c r="K663" i="17" a="1"/>
  <c r="K663" i="17"/>
  <c r="K664" i="17" a="1"/>
  <c r="K664" i="17"/>
  <c r="K665" i="17" a="1"/>
  <c r="K665" i="17"/>
  <c r="K666" i="17" a="1"/>
  <c r="K666" i="17"/>
  <c r="K667" i="17" a="1"/>
  <c r="K667" i="17"/>
  <c r="K668" i="17" a="1"/>
  <c r="K668" i="17"/>
  <c r="K669" i="17" a="1"/>
  <c r="K669" i="17"/>
  <c r="K670" i="17" a="1"/>
  <c r="K670" i="17"/>
  <c r="K671" i="17" a="1"/>
  <c r="K671" i="17"/>
  <c r="K672" i="17" a="1"/>
  <c r="K672" i="17"/>
  <c r="K673" i="17" a="1"/>
  <c r="K673" i="17"/>
  <c r="K674" i="17" a="1"/>
  <c r="K674" i="17"/>
  <c r="K675" i="17" a="1"/>
  <c r="K675" i="17"/>
  <c r="K676" i="17" a="1"/>
  <c r="K676" i="17"/>
  <c r="K677" i="17" a="1"/>
  <c r="K677" i="17"/>
  <c r="K678" i="17" a="1"/>
  <c r="K678" i="17"/>
  <c r="K679" i="17" a="1"/>
  <c r="K679" i="17"/>
  <c r="K680" i="17" a="1"/>
  <c r="K680" i="17"/>
  <c r="K681" i="17" a="1"/>
  <c r="K681" i="17"/>
  <c r="K682" i="17" a="1"/>
  <c r="K682" i="17"/>
  <c r="K683" i="17" a="1"/>
  <c r="K683" i="17"/>
  <c r="K684" i="17" a="1"/>
  <c r="K684" i="17"/>
  <c r="K685" i="17" a="1"/>
  <c r="K685" i="17"/>
  <c r="K686" i="17" a="1"/>
  <c r="K686" i="17"/>
  <c r="K687" i="17" a="1"/>
  <c r="K687" i="17"/>
  <c r="K688" i="17" a="1"/>
  <c r="K688" i="17"/>
  <c r="K689" i="17" a="1"/>
  <c r="K689" i="17"/>
  <c r="K690" i="17" a="1"/>
  <c r="K690" i="17"/>
  <c r="K691" i="17" a="1"/>
  <c r="K691" i="17"/>
  <c r="K692" i="17" a="1"/>
  <c r="K692" i="17"/>
  <c r="K693" i="17" a="1"/>
  <c r="K693" i="17"/>
  <c r="K694" i="17" a="1"/>
  <c r="K694" i="17"/>
  <c r="K695" i="17" a="1"/>
  <c r="K695" i="17"/>
  <c r="K696" i="17" a="1"/>
  <c r="K696" i="17"/>
  <c r="K697" i="17" a="1"/>
  <c r="K697" i="17"/>
  <c r="K698" i="17" a="1"/>
  <c r="K698" i="17"/>
  <c r="K699" i="17" a="1"/>
  <c r="K699" i="17"/>
  <c r="K700" i="17" a="1"/>
  <c r="K700" i="17"/>
  <c r="K701" i="17" a="1"/>
  <c r="K701" i="17"/>
  <c r="K702" i="17" a="1"/>
  <c r="K702" i="17"/>
  <c r="K703" i="17" a="1"/>
  <c r="K703" i="17"/>
  <c r="K704" i="17" a="1"/>
  <c r="K704" i="17"/>
  <c r="K705" i="17" a="1"/>
  <c r="K705" i="17"/>
  <c r="K706" i="17" a="1"/>
  <c r="K706" i="17"/>
  <c r="K707" i="17" a="1"/>
  <c r="K707" i="17"/>
  <c r="K708" i="17" a="1"/>
  <c r="K708" i="17"/>
  <c r="K709" i="17" a="1"/>
  <c r="K709" i="17"/>
  <c r="K710" i="17" a="1"/>
  <c r="K710" i="17"/>
  <c r="K711" i="17" a="1"/>
  <c r="K711" i="17"/>
  <c r="K712" i="17" a="1"/>
  <c r="K712" i="17"/>
  <c r="K713" i="17" a="1"/>
  <c r="K713" i="17"/>
  <c r="K714" i="17" a="1"/>
  <c r="K714" i="17"/>
  <c r="K715" i="17" a="1"/>
  <c r="K715" i="17"/>
  <c r="K716" i="17" a="1"/>
  <c r="K716" i="17"/>
  <c r="K717" i="17" a="1"/>
  <c r="K717" i="17"/>
  <c r="K718" i="17" a="1"/>
  <c r="K718" i="17"/>
  <c r="K719" i="17" a="1"/>
  <c r="K719" i="17"/>
  <c r="K720" i="17" a="1"/>
  <c r="K720" i="17"/>
  <c r="K721" i="17" a="1"/>
  <c r="K721" i="17"/>
  <c r="K722" i="17" a="1"/>
  <c r="K722" i="17"/>
  <c r="K723" i="17" a="1"/>
  <c r="K723" i="17"/>
  <c r="K724" i="17" a="1"/>
  <c r="K724" i="17"/>
  <c r="K725" i="17" a="1"/>
  <c r="K725" i="17"/>
  <c r="K726" i="17" a="1"/>
  <c r="K726" i="17"/>
  <c r="K727" i="17" a="1"/>
  <c r="K727" i="17"/>
  <c r="K728" i="17" a="1"/>
  <c r="K728" i="17"/>
  <c r="K729" i="17" a="1"/>
  <c r="K729" i="17"/>
  <c r="K730" i="17" a="1"/>
  <c r="K730" i="17"/>
  <c r="K731" i="17" a="1"/>
  <c r="K731" i="17"/>
  <c r="K732" i="17" a="1"/>
  <c r="K732" i="17"/>
  <c r="K733" i="17" a="1"/>
  <c r="K733" i="17"/>
  <c r="K734" i="17" a="1"/>
  <c r="K734" i="17"/>
  <c r="K735" i="17" a="1"/>
  <c r="K735" i="17"/>
  <c r="K736" i="17" a="1"/>
  <c r="K736" i="17"/>
  <c r="K737" i="17" a="1"/>
  <c r="K737" i="17"/>
  <c r="K738" i="17" a="1"/>
  <c r="K738" i="17"/>
  <c r="K739" i="17" a="1"/>
  <c r="K739" i="17"/>
  <c r="K740" i="17" a="1"/>
  <c r="K740" i="17"/>
  <c r="K741" i="17" a="1"/>
  <c r="K741" i="17"/>
  <c r="K742" i="17" a="1"/>
  <c r="K742" i="17"/>
  <c r="K743" i="17" a="1"/>
  <c r="K743" i="17"/>
  <c r="K744" i="17" a="1"/>
  <c r="K744" i="17"/>
  <c r="K745" i="17" a="1"/>
  <c r="K745" i="17"/>
  <c r="K746" i="17" a="1"/>
  <c r="K746" i="17"/>
  <c r="K747" i="17" a="1"/>
  <c r="K747" i="17"/>
  <c r="K748" i="17" a="1"/>
  <c r="K748" i="17"/>
  <c r="K749" i="17" a="1"/>
  <c r="K749" i="17"/>
  <c r="K750" i="17" a="1"/>
  <c r="K750" i="17"/>
  <c r="K751" i="17" a="1"/>
  <c r="K751" i="17"/>
  <c r="K752" i="17" a="1"/>
  <c r="K752" i="17"/>
  <c r="K753" i="17" a="1"/>
  <c r="K753" i="17"/>
  <c r="K754" i="17" a="1"/>
  <c r="K754" i="17"/>
  <c r="K755" i="17" a="1"/>
  <c r="K755" i="17"/>
  <c r="K756" i="17" a="1"/>
  <c r="K756" i="17"/>
  <c r="K757" i="17" a="1"/>
  <c r="K757" i="17"/>
  <c r="K758" i="17" a="1"/>
  <c r="K758" i="17"/>
  <c r="K759" i="17" a="1"/>
  <c r="K759" i="17"/>
  <c r="K760" i="17" a="1"/>
  <c r="K760" i="17"/>
  <c r="K761" i="17" a="1"/>
  <c r="K761" i="17"/>
  <c r="K762" i="17" a="1"/>
  <c r="K762" i="17"/>
  <c r="K763" i="17" a="1"/>
  <c r="K763" i="17"/>
  <c r="K764" i="17" a="1"/>
  <c r="K764" i="17"/>
  <c r="K765" i="17" a="1"/>
  <c r="K765" i="17"/>
  <c r="K766" i="17" a="1"/>
  <c r="K766" i="17"/>
  <c r="K767" i="17" a="1"/>
  <c r="K767" i="17"/>
  <c r="K768" i="17" a="1"/>
  <c r="K768" i="17"/>
  <c r="K769" i="17" a="1"/>
  <c r="K769" i="17"/>
  <c r="K770" i="17" a="1"/>
  <c r="K770" i="17"/>
  <c r="K771" i="17" a="1"/>
  <c r="K771" i="17"/>
  <c r="K772" i="17" a="1"/>
  <c r="K772" i="17"/>
  <c r="K773" i="17" a="1"/>
  <c r="K773" i="17"/>
  <c r="K774" i="17" a="1"/>
  <c r="K774" i="17"/>
  <c r="K775" i="17" a="1"/>
  <c r="K775" i="17"/>
  <c r="K776" i="17" a="1"/>
  <c r="K776" i="17"/>
  <c r="K777" i="17" a="1"/>
  <c r="K777" i="17"/>
  <c r="K778" i="17" a="1"/>
  <c r="K778" i="17"/>
  <c r="K779" i="17" a="1"/>
  <c r="K779" i="17"/>
  <c r="K780" i="17" a="1"/>
  <c r="K780" i="17"/>
  <c r="K781" i="17" a="1"/>
  <c r="K781" i="17"/>
  <c r="K782" i="17" a="1"/>
  <c r="K782" i="17"/>
  <c r="K783" i="17" a="1"/>
  <c r="K783" i="17"/>
  <c r="K784" i="17" a="1"/>
  <c r="K784" i="17"/>
  <c r="K785" i="17" a="1"/>
  <c r="K785" i="17"/>
  <c r="K786" i="17" a="1"/>
  <c r="K786" i="17"/>
  <c r="K787" i="17" a="1"/>
  <c r="K787" i="17"/>
  <c r="K788" i="17" a="1"/>
  <c r="K788" i="17"/>
  <c r="K789" i="17" a="1"/>
  <c r="K789" i="17"/>
  <c r="K790" i="17" a="1"/>
  <c r="K790" i="17"/>
  <c r="K791" i="17" a="1"/>
  <c r="K791" i="17"/>
  <c r="K792" i="17" a="1"/>
  <c r="K792" i="17"/>
  <c r="K793" i="17" a="1"/>
  <c r="K793" i="17"/>
  <c r="K794" i="17" a="1"/>
  <c r="K794" i="17"/>
  <c r="K795" i="17" a="1"/>
  <c r="K795" i="17"/>
  <c r="K796" i="17" a="1"/>
  <c r="K796" i="17"/>
  <c r="K797" i="17" a="1"/>
  <c r="K797" i="17"/>
  <c r="K798" i="17" a="1"/>
  <c r="K798" i="17"/>
  <c r="K799" i="17" a="1"/>
  <c r="K799" i="17"/>
  <c r="K800" i="17" a="1"/>
  <c r="K800" i="17"/>
  <c r="K801" i="17" a="1"/>
  <c r="K801" i="17"/>
  <c r="K802" i="17" a="1"/>
  <c r="K802" i="17"/>
  <c r="K803" i="17" a="1"/>
  <c r="K803" i="17"/>
  <c r="K804" i="17" a="1"/>
  <c r="K804" i="17"/>
  <c r="K805" i="17" a="1"/>
  <c r="K805" i="17"/>
  <c r="K806" i="17" a="1"/>
  <c r="K806" i="17"/>
  <c r="K807" i="17" a="1"/>
  <c r="K807" i="17"/>
  <c r="K808" i="17" a="1"/>
  <c r="K808" i="17"/>
  <c r="K809" i="17" a="1"/>
  <c r="K809" i="17"/>
  <c r="K810" i="17" a="1"/>
  <c r="K810" i="17"/>
  <c r="K811" i="17" a="1"/>
  <c r="K811" i="17"/>
  <c r="K812" i="17" a="1"/>
  <c r="K812" i="17"/>
  <c r="K813" i="17" a="1"/>
  <c r="K813" i="17"/>
  <c r="K814" i="17" a="1"/>
  <c r="K814" i="17"/>
  <c r="K815" i="17" a="1"/>
  <c r="K815" i="17"/>
  <c r="K816" i="17" a="1"/>
  <c r="K816" i="17"/>
  <c r="K817" i="17" a="1"/>
  <c r="K817" i="17"/>
  <c r="K818" i="17" a="1"/>
  <c r="K818" i="17"/>
  <c r="K819" i="17" a="1"/>
  <c r="K819" i="17"/>
  <c r="K820" i="17" a="1"/>
  <c r="K820" i="17"/>
  <c r="K821" i="17" a="1"/>
  <c r="K821" i="17"/>
  <c r="K822" i="17" a="1"/>
  <c r="K822" i="17"/>
  <c r="K823" i="17" a="1"/>
  <c r="K823" i="17"/>
  <c r="K824" i="17" a="1"/>
  <c r="K824" i="17"/>
  <c r="K825" i="17" a="1"/>
  <c r="K825" i="17"/>
  <c r="K826" i="17" a="1"/>
  <c r="K826" i="17"/>
  <c r="K827" i="17" a="1"/>
  <c r="K827" i="17"/>
  <c r="K828" i="17" a="1"/>
  <c r="K828" i="17"/>
  <c r="K829" i="17" a="1"/>
  <c r="K829" i="17"/>
  <c r="K830" i="17" a="1"/>
  <c r="K830" i="17"/>
  <c r="K831" i="17" a="1"/>
  <c r="K831" i="17"/>
  <c r="K832" i="17" a="1"/>
  <c r="K832" i="17"/>
  <c r="K833" i="17" a="1"/>
  <c r="K833" i="17"/>
  <c r="K834" i="17" a="1"/>
  <c r="K834" i="17"/>
  <c r="K835" i="17" a="1"/>
  <c r="K835" i="17"/>
  <c r="K836" i="17" a="1"/>
  <c r="K836" i="17"/>
  <c r="K837" i="17" a="1"/>
  <c r="K837" i="17"/>
  <c r="K838" i="17" a="1"/>
  <c r="K838" i="17"/>
  <c r="K839" i="17" a="1"/>
  <c r="K839" i="17"/>
  <c r="K840" i="17" a="1"/>
  <c r="K840" i="17"/>
  <c r="K841" i="17" a="1"/>
  <c r="K841" i="17"/>
  <c r="K842" i="17" a="1"/>
  <c r="K842" i="17"/>
  <c r="K843" i="17" a="1"/>
  <c r="K843" i="17"/>
  <c r="K844" i="17" a="1"/>
  <c r="K844" i="17"/>
  <c r="K845" i="17" a="1"/>
  <c r="K845" i="17"/>
  <c r="K846" i="17" a="1"/>
  <c r="K846" i="17"/>
  <c r="K847" i="17" a="1"/>
  <c r="K847" i="17"/>
  <c r="K848" i="17" a="1"/>
  <c r="K848" i="17"/>
  <c r="K849" i="17" a="1"/>
  <c r="K849" i="17"/>
  <c r="K850" i="17" a="1"/>
  <c r="K850" i="17"/>
  <c r="K851" i="17" a="1"/>
  <c r="K851" i="17"/>
  <c r="K852" i="17" a="1"/>
  <c r="K852" i="17"/>
  <c r="K853" i="17" a="1"/>
  <c r="K853" i="17"/>
  <c r="K854" i="17" a="1"/>
  <c r="K854" i="17"/>
  <c r="K855" i="17" a="1"/>
  <c r="K855" i="17"/>
  <c r="K856" i="17" a="1"/>
  <c r="K856" i="17"/>
  <c r="K857" i="17" a="1"/>
  <c r="K857" i="17"/>
  <c r="K858" i="17" a="1"/>
  <c r="K858" i="17"/>
  <c r="K859" i="17" a="1"/>
  <c r="K859" i="17"/>
  <c r="K860" i="17" a="1"/>
  <c r="K860" i="17"/>
  <c r="K861" i="17" a="1"/>
  <c r="K861" i="17"/>
  <c r="K862" i="17" a="1"/>
  <c r="K862" i="17"/>
  <c r="K863" i="17" a="1"/>
  <c r="K863" i="17"/>
  <c r="K864" i="17" a="1"/>
  <c r="K864" i="17"/>
  <c r="K865" i="17" a="1"/>
  <c r="K865" i="17"/>
  <c r="K866" i="17" a="1"/>
  <c r="K866" i="17"/>
  <c r="K867" i="17" a="1"/>
  <c r="K867" i="17"/>
  <c r="K868" i="17" a="1"/>
  <c r="K868" i="17"/>
  <c r="K869" i="17" a="1"/>
  <c r="K869" i="17"/>
  <c r="K870" i="17" a="1"/>
  <c r="K870" i="17"/>
  <c r="K871" i="17" a="1"/>
  <c r="K871" i="17"/>
  <c r="K872" i="17" a="1"/>
  <c r="K872" i="17"/>
  <c r="K873" i="17" a="1"/>
  <c r="K873" i="17"/>
  <c r="K874" i="17" a="1"/>
  <c r="K874" i="17"/>
  <c r="K875" i="17" a="1"/>
  <c r="K875" i="17"/>
  <c r="K876" i="17" a="1"/>
  <c r="K876" i="17"/>
  <c r="K877" i="17" a="1"/>
  <c r="K877" i="17"/>
  <c r="K878" i="17" a="1"/>
  <c r="K878" i="17"/>
  <c r="K879" i="17" a="1"/>
  <c r="K879" i="17"/>
  <c r="K880" i="17" a="1"/>
  <c r="K880" i="17"/>
  <c r="K881" i="17" a="1"/>
  <c r="K881" i="17"/>
  <c r="K882" i="17" a="1"/>
  <c r="K882" i="17"/>
  <c r="K883" i="17" a="1"/>
  <c r="K883" i="17"/>
  <c r="K884" i="17" a="1"/>
  <c r="K884" i="17"/>
  <c r="K885" i="17" a="1"/>
  <c r="K885" i="17"/>
  <c r="K886" i="17" a="1"/>
  <c r="K886" i="17"/>
  <c r="K887" i="17" a="1"/>
  <c r="K887" i="17"/>
  <c r="K888" i="17" a="1"/>
  <c r="K888" i="17"/>
  <c r="K889" i="17" a="1"/>
  <c r="K889" i="17"/>
  <c r="K890" i="17" a="1"/>
  <c r="K890" i="17"/>
  <c r="K891" i="17" a="1"/>
  <c r="K891" i="17"/>
  <c r="K892" i="17" a="1"/>
  <c r="K892" i="17"/>
  <c r="K893" i="17" a="1"/>
  <c r="K893" i="17"/>
  <c r="K894" i="17" a="1"/>
  <c r="K894" i="17"/>
  <c r="K895" i="17" a="1"/>
  <c r="K895" i="17"/>
  <c r="K896" i="17" a="1"/>
  <c r="K896" i="17"/>
  <c r="K897" i="17" a="1"/>
  <c r="K897" i="17"/>
  <c r="K898" i="17" a="1"/>
  <c r="K898" i="17"/>
  <c r="K899" i="17" a="1"/>
  <c r="K899" i="17"/>
  <c r="K900" i="17" a="1"/>
  <c r="K900" i="17"/>
  <c r="K901" i="17" a="1"/>
  <c r="K901" i="17"/>
  <c r="K902" i="17" a="1"/>
  <c r="K902" i="17"/>
  <c r="K903" i="17" a="1"/>
  <c r="K903" i="17"/>
  <c r="K904" i="17" a="1"/>
  <c r="K904" i="17"/>
  <c r="K905" i="17" a="1"/>
  <c r="K905" i="17"/>
  <c r="K906" i="17" a="1"/>
  <c r="K906" i="17"/>
  <c r="K907" i="17" a="1"/>
  <c r="K907" i="17"/>
  <c r="K908" i="17" a="1"/>
  <c r="K908" i="17"/>
  <c r="K909" i="17" a="1"/>
  <c r="K909" i="17"/>
  <c r="K910" i="17" a="1"/>
  <c r="K910" i="17"/>
  <c r="K911" i="17" a="1"/>
  <c r="K911" i="17"/>
  <c r="K912" i="17" a="1"/>
  <c r="K912" i="17"/>
  <c r="K913" i="17" a="1"/>
  <c r="K913" i="17"/>
  <c r="K914" i="17" a="1"/>
  <c r="K914" i="17"/>
  <c r="K915" i="17" a="1"/>
  <c r="K915" i="17"/>
  <c r="K916" i="17" a="1"/>
  <c r="K916" i="17"/>
  <c r="K917" i="17" a="1"/>
  <c r="K917" i="17"/>
  <c r="K918" i="17" a="1"/>
  <c r="K918" i="17"/>
  <c r="K919" i="17" a="1"/>
  <c r="K919" i="17"/>
  <c r="K920" i="17" a="1"/>
  <c r="K920" i="17"/>
  <c r="K921" i="17" a="1"/>
  <c r="K921" i="17"/>
  <c r="K922" i="17" a="1"/>
  <c r="K922" i="17"/>
  <c r="K923" i="17" a="1"/>
  <c r="K923" i="17"/>
  <c r="K924" i="17" a="1"/>
  <c r="K924" i="17"/>
  <c r="K925" i="17" a="1"/>
  <c r="K925" i="17"/>
  <c r="K926" i="17" a="1"/>
  <c r="K926" i="17"/>
  <c r="K927" i="17" a="1"/>
  <c r="K927" i="17"/>
  <c r="K928" i="17" a="1"/>
  <c r="K928" i="17"/>
  <c r="K929" i="17" a="1"/>
  <c r="K929" i="17"/>
  <c r="K930" i="17" a="1"/>
  <c r="K930" i="17"/>
  <c r="K931" i="17" a="1"/>
  <c r="K931" i="17"/>
  <c r="K932" i="17" a="1"/>
  <c r="K932" i="17"/>
  <c r="K933" i="17" a="1"/>
  <c r="K933" i="17"/>
  <c r="K934" i="17" a="1"/>
  <c r="K934" i="17"/>
  <c r="K935" i="17" a="1"/>
  <c r="K935" i="17"/>
  <c r="K936" i="17" a="1"/>
  <c r="K936" i="17"/>
  <c r="K937" i="17" a="1"/>
  <c r="K937" i="17"/>
  <c r="K938" i="17" a="1"/>
  <c r="K938" i="17"/>
  <c r="K939" i="17" a="1"/>
  <c r="K939" i="17"/>
  <c r="K940" i="17" a="1"/>
  <c r="K940" i="17"/>
  <c r="K941" i="17" a="1"/>
  <c r="K941" i="17"/>
  <c r="K942" i="17" a="1"/>
  <c r="K942" i="17"/>
  <c r="K943" i="17" a="1"/>
  <c r="K943" i="17"/>
  <c r="K944" i="17" a="1"/>
  <c r="K944" i="17"/>
  <c r="K945" i="17" a="1"/>
  <c r="K945" i="17"/>
  <c r="K946" i="17" a="1"/>
  <c r="K946" i="17"/>
  <c r="K947" i="17" a="1"/>
  <c r="K947" i="17"/>
  <c r="K948" i="17" a="1"/>
  <c r="K948" i="17"/>
  <c r="K949" i="17" a="1"/>
  <c r="K949" i="17"/>
  <c r="K950" i="17" a="1"/>
  <c r="K950" i="17"/>
  <c r="K951" i="17" a="1"/>
  <c r="K951" i="17"/>
  <c r="K952" i="17" a="1"/>
  <c r="K952" i="17"/>
  <c r="K953" i="17" a="1"/>
  <c r="K953" i="17"/>
  <c r="K954" i="17" a="1"/>
  <c r="K954" i="17"/>
  <c r="K955" i="17" a="1"/>
  <c r="K955" i="17"/>
  <c r="K956" i="17" a="1"/>
  <c r="K956" i="17"/>
  <c r="K957" i="17" a="1"/>
  <c r="K957" i="17"/>
  <c r="K958" i="17" a="1"/>
  <c r="K958" i="17"/>
  <c r="K959" i="17" a="1"/>
  <c r="K959" i="17"/>
  <c r="K960" i="17" a="1"/>
  <c r="K960" i="17"/>
  <c r="K961" i="17" a="1"/>
  <c r="K961" i="17"/>
  <c r="K962" i="17" a="1"/>
  <c r="K962" i="17"/>
  <c r="K963" i="17" a="1"/>
  <c r="K963" i="17"/>
  <c r="K964" i="17" a="1"/>
  <c r="K964" i="17"/>
  <c r="K965" i="17" a="1"/>
  <c r="K965" i="17"/>
  <c r="K966" i="17" a="1"/>
  <c r="K966" i="17"/>
  <c r="K967" i="17" a="1"/>
  <c r="K967" i="17"/>
  <c r="K968" i="17" a="1"/>
  <c r="K968" i="17"/>
  <c r="K969" i="17" a="1"/>
  <c r="K969" i="17"/>
  <c r="K970" i="17" a="1"/>
  <c r="K970" i="17"/>
  <c r="K971" i="17" a="1"/>
  <c r="K971" i="17"/>
  <c r="K972" i="17" a="1"/>
  <c r="K972" i="17"/>
  <c r="K973" i="17" a="1"/>
  <c r="K973" i="17"/>
  <c r="K974" i="17" a="1"/>
  <c r="K974" i="17"/>
  <c r="K975" i="17" a="1"/>
  <c r="K975" i="17"/>
  <c r="K976" i="17" a="1"/>
  <c r="K976" i="17"/>
  <c r="K977" i="17" a="1"/>
  <c r="K977" i="17"/>
  <c r="K978" i="17" a="1"/>
  <c r="K978" i="17"/>
  <c r="K979" i="17" a="1"/>
  <c r="K979" i="17"/>
  <c r="K980" i="17" a="1"/>
  <c r="K980" i="17"/>
  <c r="K981" i="17" a="1"/>
  <c r="K981" i="17"/>
  <c r="K982" i="17" a="1"/>
  <c r="K982" i="17"/>
  <c r="K983" i="17" a="1"/>
  <c r="K983" i="17"/>
  <c r="K984" i="17" a="1"/>
  <c r="K984" i="17"/>
  <c r="K985" i="17" a="1"/>
  <c r="K985" i="17"/>
  <c r="K986" i="17" a="1"/>
  <c r="K986" i="17"/>
  <c r="K987" i="17" a="1"/>
  <c r="K987" i="17"/>
  <c r="K988" i="17" a="1"/>
  <c r="K988" i="17"/>
  <c r="K989" i="17" a="1"/>
  <c r="K989" i="17"/>
  <c r="K990" i="17" a="1"/>
  <c r="K990" i="17"/>
  <c r="K991" i="17" a="1"/>
  <c r="K991" i="17"/>
  <c r="K992" i="17" a="1"/>
  <c r="K992" i="17"/>
  <c r="K993" i="17" a="1"/>
  <c r="K993" i="17"/>
  <c r="K994" i="17" a="1"/>
  <c r="K994" i="17"/>
  <c r="K995" i="17" a="1"/>
  <c r="K995" i="17"/>
  <c r="K996" i="17" a="1"/>
  <c r="K996" i="17"/>
  <c r="K997" i="17" a="1"/>
  <c r="K997" i="17"/>
  <c r="K998" i="17" a="1"/>
  <c r="K998" i="17"/>
  <c r="K999" i="17" a="1"/>
  <c r="K999" i="17"/>
  <c r="K1000" i="17" a="1"/>
  <c r="K1000" i="17"/>
  <c r="K1001" i="17" a="1"/>
  <c r="K1001" i="17"/>
  <c r="K2" i="17" a="1"/>
  <c r="K2" i="17"/>
  <c r="J3" i="17" a="1"/>
  <c r="J3" i="17"/>
  <c r="J4" i="17" a="1"/>
  <c r="J4" i="17"/>
  <c r="J5" i="17" a="1"/>
  <c r="J5" i="17"/>
  <c r="J6" i="17" a="1"/>
  <c r="J6" i="17"/>
  <c r="J7" i="17" a="1"/>
  <c r="J7" i="17"/>
  <c r="J8" i="17" a="1"/>
  <c r="J8" i="17"/>
  <c r="J9" i="17" a="1"/>
  <c r="J9" i="17"/>
  <c r="J10" i="17" a="1"/>
  <c r="J10" i="17"/>
  <c r="J11" i="17" a="1"/>
  <c r="J11" i="17"/>
  <c r="J12" i="17" a="1"/>
  <c r="J12" i="17"/>
  <c r="J13" i="17" a="1"/>
  <c r="J13" i="17"/>
  <c r="J14" i="17" a="1"/>
  <c r="J14" i="17"/>
  <c r="J15" i="17" a="1"/>
  <c r="J15" i="17"/>
  <c r="J16" i="17" a="1"/>
  <c r="J16" i="17"/>
  <c r="J17" i="17" a="1"/>
  <c r="J17" i="17"/>
  <c r="J18" i="17" a="1"/>
  <c r="J18" i="17"/>
  <c r="J19" i="17" a="1"/>
  <c r="J19" i="17"/>
  <c r="J20" i="17" a="1"/>
  <c r="J20" i="17"/>
  <c r="J21" i="17" a="1"/>
  <c r="J21" i="17"/>
  <c r="J22" i="17" a="1"/>
  <c r="J22" i="17"/>
  <c r="J23" i="17" a="1"/>
  <c r="J23" i="17"/>
  <c r="J24" i="17" a="1"/>
  <c r="J24" i="17"/>
  <c r="J25" i="17" a="1"/>
  <c r="J25" i="17"/>
  <c r="J26" i="17" a="1"/>
  <c r="J26" i="17"/>
  <c r="J27" i="17" a="1"/>
  <c r="J27" i="17"/>
  <c r="J28" i="17" a="1"/>
  <c r="J28" i="17"/>
  <c r="J29" i="17" a="1"/>
  <c r="J29" i="17"/>
  <c r="J30" i="17" a="1"/>
  <c r="J30" i="17"/>
  <c r="J31" i="17" a="1"/>
  <c r="J31" i="17"/>
  <c r="J32" i="17" a="1"/>
  <c r="J32" i="17"/>
  <c r="J34" i="17" a="1"/>
  <c r="J34" i="17"/>
  <c r="J35" i="17" a="1"/>
  <c r="J35" i="17"/>
  <c r="J36" i="17" a="1"/>
  <c r="J36" i="17"/>
  <c r="J37" i="17" a="1"/>
  <c r="J37" i="17"/>
  <c r="J38" i="17" a="1"/>
  <c r="J38" i="17"/>
  <c r="J39" i="17" a="1"/>
  <c r="J39" i="17"/>
  <c r="J40" i="17" a="1"/>
  <c r="J40" i="17"/>
  <c r="J41" i="17" a="1"/>
  <c r="J41" i="17"/>
  <c r="J42" i="17" a="1"/>
  <c r="J42" i="17"/>
  <c r="J43" i="17" a="1"/>
  <c r="J43" i="17"/>
  <c r="J44" i="17" a="1"/>
  <c r="J44" i="17"/>
  <c r="J45" i="17" a="1"/>
  <c r="J45" i="17"/>
  <c r="J46" i="17" a="1"/>
  <c r="J46" i="17"/>
  <c r="J47" i="17" a="1"/>
  <c r="J47" i="17"/>
  <c r="J48" i="17" a="1"/>
  <c r="J48" i="17"/>
  <c r="J49" i="17" a="1"/>
  <c r="J49" i="17"/>
  <c r="J50" i="17" a="1"/>
  <c r="J50" i="17"/>
  <c r="J51" i="17" a="1"/>
  <c r="J51" i="17"/>
  <c r="J52" i="17" a="1"/>
  <c r="J52" i="17"/>
  <c r="J53" i="17" a="1"/>
  <c r="J53" i="17"/>
  <c r="J54" i="17" a="1"/>
  <c r="J54" i="17"/>
  <c r="J55" i="17" a="1"/>
  <c r="J55" i="17"/>
  <c r="J56" i="17" a="1"/>
  <c r="J56" i="17"/>
  <c r="J57" i="17" a="1"/>
  <c r="J57" i="17"/>
  <c r="J58" i="17" a="1"/>
  <c r="J58" i="17"/>
  <c r="J59" i="17" a="1"/>
  <c r="J59" i="17"/>
  <c r="J60" i="17" a="1"/>
  <c r="J60" i="17"/>
  <c r="J61" i="17" a="1"/>
  <c r="J61" i="17"/>
  <c r="J62" i="17" a="1"/>
  <c r="J62" i="17"/>
  <c r="J63" i="17" a="1"/>
  <c r="J63" i="17"/>
  <c r="J64" i="17" a="1"/>
  <c r="J64" i="17"/>
  <c r="J65" i="17" a="1"/>
  <c r="J65" i="17"/>
  <c r="J66" i="17" a="1"/>
  <c r="J66" i="17"/>
  <c r="J67" i="17" a="1"/>
  <c r="J67" i="17"/>
  <c r="J68" i="17" a="1"/>
  <c r="J68" i="17"/>
  <c r="J69" i="17" a="1"/>
  <c r="J69" i="17"/>
  <c r="J70" i="17" a="1"/>
  <c r="J70" i="17"/>
  <c r="J71" i="17" a="1"/>
  <c r="J71" i="17"/>
  <c r="J72" i="17" a="1"/>
  <c r="J72" i="17"/>
  <c r="J73" i="17" a="1"/>
  <c r="J73" i="17"/>
  <c r="J74" i="17" a="1"/>
  <c r="J74" i="17"/>
  <c r="J75" i="17" a="1"/>
  <c r="J75" i="17"/>
  <c r="J76" i="17" a="1"/>
  <c r="J76" i="17"/>
  <c r="J77" i="17" a="1"/>
  <c r="J77" i="17"/>
  <c r="J78" i="17" a="1"/>
  <c r="J78" i="17"/>
  <c r="J79" i="17" a="1"/>
  <c r="J79" i="17"/>
  <c r="J80" i="17" a="1"/>
  <c r="J80" i="17"/>
  <c r="J81" i="17" a="1"/>
  <c r="J81" i="17"/>
  <c r="J82" i="17" a="1"/>
  <c r="J82" i="17"/>
  <c r="J83" i="17" a="1"/>
  <c r="J83" i="17"/>
  <c r="J84" i="17" a="1"/>
  <c r="J84" i="17"/>
  <c r="J85" i="17" a="1"/>
  <c r="J85" i="17"/>
  <c r="J86" i="17" a="1"/>
  <c r="J86" i="17"/>
  <c r="J87" i="17" a="1"/>
  <c r="J87" i="17"/>
  <c r="J88" i="17" a="1"/>
  <c r="J88" i="17"/>
  <c r="J89" i="17" a="1"/>
  <c r="J89" i="17"/>
  <c r="J90" i="17" a="1"/>
  <c r="J90" i="17"/>
  <c r="J91" i="17" a="1"/>
  <c r="J91" i="17"/>
  <c r="J92" i="17" a="1"/>
  <c r="J92" i="17"/>
  <c r="J93" i="17" a="1"/>
  <c r="J93" i="17"/>
  <c r="J94" i="17" a="1"/>
  <c r="J94" i="17"/>
  <c r="J95" i="17" a="1"/>
  <c r="J95" i="17"/>
  <c r="J96" i="17" a="1"/>
  <c r="J96" i="17"/>
  <c r="J97" i="17" a="1"/>
  <c r="J97" i="17"/>
  <c r="J98" i="17" a="1"/>
  <c r="J98" i="17"/>
  <c r="J99" i="17" a="1"/>
  <c r="J99" i="17"/>
  <c r="J100" i="17" a="1"/>
  <c r="J100" i="17"/>
  <c r="J101" i="17" a="1"/>
  <c r="J101" i="17"/>
  <c r="J102" i="17" a="1"/>
  <c r="J102" i="17"/>
  <c r="J103" i="17" a="1"/>
  <c r="J103" i="17"/>
  <c r="J104" i="17" a="1"/>
  <c r="J104" i="17"/>
  <c r="J105" i="17" a="1"/>
  <c r="J105" i="17"/>
  <c r="J106" i="17" a="1"/>
  <c r="J106" i="17"/>
  <c r="J107" i="17" a="1"/>
  <c r="J107" i="17"/>
  <c r="J108" i="17" a="1"/>
  <c r="J108" i="17"/>
  <c r="J109" i="17" a="1"/>
  <c r="J109" i="17"/>
  <c r="J110" i="17" a="1"/>
  <c r="J110" i="17"/>
  <c r="J111" i="17" a="1"/>
  <c r="J111" i="17"/>
  <c r="J112" i="17" a="1"/>
  <c r="J112" i="17"/>
  <c r="J113" i="17" a="1"/>
  <c r="J113" i="17"/>
  <c r="J114" i="17" a="1"/>
  <c r="J114" i="17"/>
  <c r="J115" i="17" a="1"/>
  <c r="J115" i="17"/>
  <c r="J116" i="17" a="1"/>
  <c r="J116" i="17"/>
  <c r="J117" i="17" a="1"/>
  <c r="J117" i="17"/>
  <c r="J118" i="17" a="1"/>
  <c r="J118" i="17"/>
  <c r="J119" i="17" a="1"/>
  <c r="J119" i="17"/>
  <c r="J120" i="17" a="1"/>
  <c r="J120" i="17"/>
  <c r="J121" i="17" a="1"/>
  <c r="J121" i="17"/>
  <c r="J122" i="17" a="1"/>
  <c r="J122" i="17"/>
  <c r="J123" i="17" a="1"/>
  <c r="J123" i="17"/>
  <c r="J124" i="17" a="1"/>
  <c r="J124" i="17"/>
  <c r="J125" i="17" a="1"/>
  <c r="J125" i="17"/>
  <c r="J126" i="17" a="1"/>
  <c r="J126" i="17"/>
  <c r="J127" i="17" a="1"/>
  <c r="J127" i="17"/>
  <c r="J128" i="17" a="1"/>
  <c r="J128" i="17"/>
  <c r="J129" i="17" a="1"/>
  <c r="J129" i="17"/>
  <c r="J130" i="17" a="1"/>
  <c r="J130" i="17"/>
  <c r="J131" i="17" a="1"/>
  <c r="J131" i="17"/>
  <c r="J132" i="17" a="1"/>
  <c r="J132" i="17"/>
  <c r="J133" i="17" a="1"/>
  <c r="J133" i="17"/>
  <c r="J134" i="17" a="1"/>
  <c r="J134" i="17"/>
  <c r="J135" i="17" a="1"/>
  <c r="J135" i="17"/>
  <c r="J136" i="17" a="1"/>
  <c r="J136" i="17"/>
  <c r="J137" i="17" a="1"/>
  <c r="J137" i="17"/>
  <c r="J138" i="17" a="1"/>
  <c r="J138" i="17"/>
  <c r="J139" i="17" a="1"/>
  <c r="J139" i="17"/>
  <c r="J140" i="17" a="1"/>
  <c r="J140" i="17"/>
  <c r="J141" i="17" a="1"/>
  <c r="J141" i="17"/>
  <c r="J142" i="17" a="1"/>
  <c r="J142" i="17"/>
  <c r="J143" i="17" a="1"/>
  <c r="J143" i="17"/>
  <c r="J144" i="17" a="1"/>
  <c r="J144" i="17"/>
  <c r="J145" i="17" a="1"/>
  <c r="J145" i="17"/>
  <c r="J146" i="17" a="1"/>
  <c r="J146" i="17"/>
  <c r="J147" i="17" a="1"/>
  <c r="J147" i="17"/>
  <c r="J148" i="17" a="1"/>
  <c r="J148" i="17"/>
  <c r="J149" i="17" a="1"/>
  <c r="J149" i="17"/>
  <c r="J150" i="17" a="1"/>
  <c r="J150" i="17"/>
  <c r="J151" i="17" a="1"/>
  <c r="J151" i="17"/>
  <c r="J152" i="17" a="1"/>
  <c r="J152" i="17"/>
  <c r="J153" i="17" a="1"/>
  <c r="J153" i="17"/>
  <c r="J154" i="17" a="1"/>
  <c r="J154" i="17"/>
  <c r="J155" i="17" a="1"/>
  <c r="J155" i="17"/>
  <c r="J156" i="17" a="1"/>
  <c r="J156" i="17"/>
  <c r="J157" i="17" a="1"/>
  <c r="J157" i="17"/>
  <c r="J158" i="17" a="1"/>
  <c r="J158" i="17"/>
  <c r="J159" i="17" a="1"/>
  <c r="J159" i="17"/>
  <c r="J160" i="17" a="1"/>
  <c r="J160" i="17"/>
  <c r="J161" i="17" a="1"/>
  <c r="J161" i="17"/>
  <c r="J162" i="17" a="1"/>
  <c r="J162" i="17"/>
  <c r="J163" i="17" a="1"/>
  <c r="J163" i="17"/>
  <c r="J164" i="17" a="1"/>
  <c r="J164" i="17"/>
  <c r="J165" i="17" a="1"/>
  <c r="J165" i="17"/>
  <c r="J166" i="17" a="1"/>
  <c r="J166" i="17"/>
  <c r="J167" i="17" a="1"/>
  <c r="J167" i="17"/>
  <c r="J168" i="17" a="1"/>
  <c r="J168" i="17"/>
  <c r="J169" i="17" a="1"/>
  <c r="J169" i="17"/>
  <c r="J170" i="17" a="1"/>
  <c r="J170" i="17"/>
  <c r="J171" i="17" a="1"/>
  <c r="J171" i="17"/>
  <c r="J172" i="17" a="1"/>
  <c r="J172" i="17"/>
  <c r="J173" i="17" a="1"/>
  <c r="J173" i="17"/>
  <c r="J174" i="17" a="1"/>
  <c r="J174" i="17"/>
  <c r="J175" i="17" a="1"/>
  <c r="J175" i="17"/>
  <c r="J176" i="17" a="1"/>
  <c r="J176" i="17"/>
  <c r="J177" i="17" a="1"/>
  <c r="J177" i="17"/>
  <c r="J178" i="17" a="1"/>
  <c r="J178" i="17"/>
  <c r="J179" i="17" a="1"/>
  <c r="J179" i="17"/>
  <c r="J180" i="17" a="1"/>
  <c r="J180" i="17"/>
  <c r="J181" i="17" a="1"/>
  <c r="J181" i="17"/>
  <c r="J182" i="17" a="1"/>
  <c r="J182" i="17"/>
  <c r="J183" i="17" a="1"/>
  <c r="J183" i="17"/>
  <c r="J184" i="17" a="1"/>
  <c r="J184" i="17"/>
  <c r="J185" i="17" a="1"/>
  <c r="J185" i="17"/>
  <c r="J186" i="17" a="1"/>
  <c r="J186" i="17"/>
  <c r="J187" i="17" a="1"/>
  <c r="J187" i="17"/>
  <c r="J188" i="17" a="1"/>
  <c r="J188" i="17"/>
  <c r="J189" i="17" a="1"/>
  <c r="J189" i="17"/>
  <c r="J190" i="17" a="1"/>
  <c r="J190" i="17"/>
  <c r="J191" i="17" a="1"/>
  <c r="J191" i="17"/>
  <c r="J192" i="17" a="1"/>
  <c r="J192" i="17"/>
  <c r="J193" i="17" a="1"/>
  <c r="J193" i="17"/>
  <c r="J194" i="17" a="1"/>
  <c r="J194" i="17"/>
  <c r="J195" i="17" a="1"/>
  <c r="J195" i="17"/>
  <c r="J196" i="17" a="1"/>
  <c r="J196" i="17"/>
  <c r="J197" i="17" a="1"/>
  <c r="J197" i="17"/>
  <c r="J198" i="17" a="1"/>
  <c r="J198" i="17"/>
  <c r="J199" i="17" a="1"/>
  <c r="J199" i="17"/>
  <c r="J200" i="17" a="1"/>
  <c r="J200" i="17"/>
  <c r="J201" i="17" a="1"/>
  <c r="J201" i="17"/>
  <c r="J202" i="17" a="1"/>
  <c r="J202" i="17"/>
  <c r="J203" i="17" a="1"/>
  <c r="J203" i="17"/>
  <c r="J204" i="17" a="1"/>
  <c r="J204" i="17"/>
  <c r="J205" i="17" a="1"/>
  <c r="J205" i="17"/>
  <c r="J206" i="17" a="1"/>
  <c r="J206" i="17"/>
  <c r="J207" i="17" a="1"/>
  <c r="J207" i="17"/>
  <c r="J208" i="17" a="1"/>
  <c r="J208" i="17"/>
  <c r="J209" i="17" a="1"/>
  <c r="J209" i="17"/>
  <c r="J210" i="17" a="1"/>
  <c r="J210" i="17"/>
  <c r="J211" i="17" a="1"/>
  <c r="J211" i="17"/>
  <c r="J212" i="17" a="1"/>
  <c r="J212" i="17"/>
  <c r="J213" i="17" a="1"/>
  <c r="J213" i="17"/>
  <c r="J214" i="17" a="1"/>
  <c r="J214" i="17"/>
  <c r="J215" i="17" a="1"/>
  <c r="J215" i="17"/>
  <c r="J216" i="17" a="1"/>
  <c r="J216" i="17"/>
  <c r="J217" i="17" a="1"/>
  <c r="J217" i="17"/>
  <c r="J218" i="17" a="1"/>
  <c r="J218" i="17"/>
  <c r="J219" i="17" a="1"/>
  <c r="J219" i="17"/>
  <c r="J220" i="17" a="1"/>
  <c r="J220" i="17"/>
  <c r="J221" i="17" a="1"/>
  <c r="J221" i="17"/>
  <c r="J222" i="17" a="1"/>
  <c r="J222" i="17"/>
  <c r="J223" i="17" a="1"/>
  <c r="J223" i="17"/>
  <c r="J224" i="17" a="1"/>
  <c r="J224" i="17"/>
  <c r="J225" i="17" a="1"/>
  <c r="J225" i="17"/>
  <c r="J226" i="17" a="1"/>
  <c r="J226" i="17"/>
  <c r="J227" i="17" a="1"/>
  <c r="J227" i="17"/>
  <c r="J228" i="17" a="1"/>
  <c r="J228" i="17"/>
  <c r="J229" i="17" a="1"/>
  <c r="J229" i="17"/>
  <c r="J230" i="17" a="1"/>
  <c r="J230" i="17"/>
  <c r="J231" i="17" a="1"/>
  <c r="J231" i="17"/>
  <c r="J232" i="17" a="1"/>
  <c r="J232" i="17"/>
  <c r="J233" i="17" a="1"/>
  <c r="J233" i="17"/>
  <c r="J234" i="17" a="1"/>
  <c r="J234" i="17"/>
  <c r="J235" i="17" a="1"/>
  <c r="J235" i="17"/>
  <c r="J236" i="17" a="1"/>
  <c r="J236" i="17"/>
  <c r="J237" i="17" a="1"/>
  <c r="J237" i="17"/>
  <c r="J238" i="17" a="1"/>
  <c r="J238" i="17"/>
  <c r="J239" i="17" a="1"/>
  <c r="J239" i="17"/>
  <c r="J240" i="17" a="1"/>
  <c r="J240" i="17"/>
  <c r="J241" i="17" a="1"/>
  <c r="J241" i="17"/>
  <c r="J242" i="17" a="1"/>
  <c r="J242" i="17"/>
  <c r="J243" i="17" a="1"/>
  <c r="J243" i="17"/>
  <c r="J244" i="17" a="1"/>
  <c r="J244" i="17"/>
  <c r="J245" i="17" a="1"/>
  <c r="J245" i="17"/>
  <c r="J246" i="17" a="1"/>
  <c r="J246" i="17"/>
  <c r="J247" i="17" a="1"/>
  <c r="J247" i="17"/>
  <c r="J248" i="17" a="1"/>
  <c r="J248" i="17"/>
  <c r="J249" i="17" a="1"/>
  <c r="J249" i="17"/>
  <c r="J250" i="17" a="1"/>
  <c r="J250" i="17"/>
  <c r="J251" i="17" a="1"/>
  <c r="J251" i="17"/>
  <c r="J252" i="17" a="1"/>
  <c r="J252" i="17"/>
  <c r="J253" i="17" a="1"/>
  <c r="J253" i="17"/>
  <c r="J254" i="17" a="1"/>
  <c r="J254" i="17"/>
  <c r="J255" i="17" a="1"/>
  <c r="J255" i="17"/>
  <c r="J256" i="17" a="1"/>
  <c r="J256" i="17"/>
  <c r="J257" i="17" a="1"/>
  <c r="J257" i="17"/>
  <c r="J258" i="17" a="1"/>
  <c r="J258" i="17"/>
  <c r="J259" i="17" a="1"/>
  <c r="J259" i="17"/>
  <c r="J260" i="17" a="1"/>
  <c r="J260" i="17"/>
  <c r="J261" i="17" a="1"/>
  <c r="J261" i="17"/>
  <c r="J262" i="17" a="1"/>
  <c r="J262" i="17"/>
  <c r="J263" i="17" a="1"/>
  <c r="J263" i="17"/>
  <c r="J264" i="17" a="1"/>
  <c r="J264" i="17"/>
  <c r="J265" i="17" a="1"/>
  <c r="J265" i="17"/>
  <c r="J266" i="17" a="1"/>
  <c r="J266" i="17"/>
  <c r="J267" i="17" a="1"/>
  <c r="J267" i="17"/>
  <c r="J268" i="17" a="1"/>
  <c r="J268" i="17"/>
  <c r="J269" i="17" a="1"/>
  <c r="J269" i="17"/>
  <c r="J270" i="17" a="1"/>
  <c r="J270" i="17"/>
  <c r="J271" i="17" a="1"/>
  <c r="J271" i="17"/>
  <c r="J272" i="17" a="1"/>
  <c r="J272" i="17"/>
  <c r="J273" i="17" a="1"/>
  <c r="J273" i="17"/>
  <c r="J274" i="17" a="1"/>
  <c r="J274" i="17"/>
  <c r="J275" i="17" a="1"/>
  <c r="J275" i="17"/>
  <c r="J276" i="17" a="1"/>
  <c r="J276" i="17"/>
  <c r="J277" i="17" a="1"/>
  <c r="J277" i="17"/>
  <c r="J278" i="17" a="1"/>
  <c r="J278" i="17"/>
  <c r="J279" i="17" a="1"/>
  <c r="J279" i="17"/>
  <c r="J280" i="17" a="1"/>
  <c r="J280" i="17"/>
  <c r="J281" i="17" a="1"/>
  <c r="J281" i="17"/>
  <c r="J282" i="17" a="1"/>
  <c r="J282" i="17"/>
  <c r="J283" i="17" a="1"/>
  <c r="J283" i="17"/>
  <c r="J284" i="17" a="1"/>
  <c r="J284" i="17"/>
  <c r="J285" i="17" a="1"/>
  <c r="J285" i="17"/>
  <c r="J286" i="17" a="1"/>
  <c r="J286" i="17"/>
  <c r="J287" i="17" a="1"/>
  <c r="J287" i="17"/>
  <c r="J288" i="17" a="1"/>
  <c r="J288" i="17"/>
  <c r="J289" i="17" a="1"/>
  <c r="J289" i="17"/>
  <c r="J290" i="17" a="1"/>
  <c r="J290" i="17"/>
  <c r="J291" i="17" a="1"/>
  <c r="J291" i="17"/>
  <c r="J292" i="17" a="1"/>
  <c r="J292" i="17"/>
  <c r="J293" i="17" a="1"/>
  <c r="J293" i="17"/>
  <c r="J294" i="17" a="1"/>
  <c r="J294" i="17"/>
  <c r="J295" i="17" a="1"/>
  <c r="J295" i="17"/>
  <c r="J296" i="17" a="1"/>
  <c r="J296" i="17"/>
  <c r="J297" i="17" a="1"/>
  <c r="J297" i="17"/>
  <c r="J298" i="17" a="1"/>
  <c r="J298" i="17"/>
  <c r="J299" i="17" a="1"/>
  <c r="J299" i="17"/>
  <c r="J300" i="17" a="1"/>
  <c r="J300" i="17"/>
  <c r="J301" i="17" a="1"/>
  <c r="J301" i="17"/>
  <c r="J302" i="17" a="1"/>
  <c r="J302" i="17"/>
  <c r="J303" i="17" a="1"/>
  <c r="J303" i="17"/>
  <c r="J304" i="17" a="1"/>
  <c r="J304" i="17"/>
  <c r="J305" i="17" a="1"/>
  <c r="J305" i="17"/>
  <c r="J306" i="17" a="1"/>
  <c r="J306" i="17"/>
  <c r="J307" i="17" a="1"/>
  <c r="J307" i="17"/>
  <c r="J308" i="17" a="1"/>
  <c r="J308" i="17"/>
  <c r="J309" i="17" a="1"/>
  <c r="J309" i="17"/>
  <c r="J310" i="17" a="1"/>
  <c r="J310" i="17"/>
  <c r="J311" i="17" a="1"/>
  <c r="J311" i="17"/>
  <c r="J312" i="17" a="1"/>
  <c r="J312" i="17"/>
  <c r="J313" i="17" a="1"/>
  <c r="J313" i="17"/>
  <c r="J314" i="17" a="1"/>
  <c r="J314" i="17"/>
  <c r="J315" i="17" a="1"/>
  <c r="J315" i="17"/>
  <c r="J316" i="17" a="1"/>
  <c r="J316" i="17"/>
  <c r="J317" i="17" a="1"/>
  <c r="J317" i="17"/>
  <c r="J318" i="17" a="1"/>
  <c r="J318" i="17"/>
  <c r="J319" i="17" a="1"/>
  <c r="J319" i="17"/>
  <c r="J320" i="17" a="1"/>
  <c r="J320" i="17"/>
  <c r="J321" i="17" a="1"/>
  <c r="J321" i="17"/>
  <c r="J322" i="17" a="1"/>
  <c r="J322" i="17"/>
  <c r="J323" i="17" a="1"/>
  <c r="J323" i="17"/>
  <c r="J324" i="17" a="1"/>
  <c r="J324" i="17"/>
  <c r="J325" i="17" a="1"/>
  <c r="J325" i="17"/>
  <c r="J326" i="17" a="1"/>
  <c r="J326" i="17"/>
  <c r="J327" i="17" a="1"/>
  <c r="J327" i="17"/>
  <c r="J328" i="17" a="1"/>
  <c r="J328" i="17"/>
  <c r="J329" i="17" a="1"/>
  <c r="J329" i="17"/>
  <c r="J330" i="17" a="1"/>
  <c r="J330" i="17"/>
  <c r="J331" i="17" a="1"/>
  <c r="J331" i="17"/>
  <c r="J332" i="17" a="1"/>
  <c r="J332" i="17"/>
  <c r="J333" i="17" a="1"/>
  <c r="J333" i="17"/>
  <c r="J334" i="17" a="1"/>
  <c r="J334" i="17"/>
  <c r="J335" i="17" a="1"/>
  <c r="J335" i="17"/>
  <c r="J336" i="17" a="1"/>
  <c r="J336" i="17"/>
  <c r="J337" i="17" a="1"/>
  <c r="J337" i="17"/>
  <c r="J338" i="17" a="1"/>
  <c r="J338" i="17"/>
  <c r="J339" i="17" a="1"/>
  <c r="J339" i="17"/>
  <c r="J340" i="17" a="1"/>
  <c r="J340" i="17"/>
  <c r="J341" i="17" a="1"/>
  <c r="J341" i="17"/>
  <c r="J342" i="17" a="1"/>
  <c r="J342" i="17"/>
  <c r="J343" i="17" a="1"/>
  <c r="J343" i="17"/>
  <c r="J344" i="17" a="1"/>
  <c r="J344" i="17"/>
  <c r="J345" i="17" a="1"/>
  <c r="J345" i="17"/>
  <c r="J346" i="17" a="1"/>
  <c r="J346" i="17"/>
  <c r="J347" i="17" a="1"/>
  <c r="J347" i="17"/>
  <c r="J348" i="17" a="1"/>
  <c r="J348" i="17"/>
  <c r="J349" i="17" a="1"/>
  <c r="J349" i="17"/>
  <c r="J350" i="17" a="1"/>
  <c r="J350" i="17"/>
  <c r="J351" i="17" a="1"/>
  <c r="J351" i="17"/>
  <c r="J352" i="17" a="1"/>
  <c r="J352" i="17"/>
  <c r="J353" i="17" a="1"/>
  <c r="J353" i="17"/>
  <c r="J354" i="17" a="1"/>
  <c r="J354" i="17"/>
  <c r="J355" i="17" a="1"/>
  <c r="J355" i="17"/>
  <c r="J356" i="17" a="1"/>
  <c r="J356" i="17"/>
  <c r="J357" i="17" a="1"/>
  <c r="J357" i="17"/>
  <c r="J358" i="17" a="1"/>
  <c r="J358" i="17"/>
  <c r="J359" i="17" a="1"/>
  <c r="J359" i="17"/>
  <c r="J360" i="17" a="1"/>
  <c r="J360" i="17"/>
  <c r="J361" i="17" a="1"/>
  <c r="J361" i="17"/>
  <c r="J362" i="17" a="1"/>
  <c r="J362" i="17"/>
  <c r="J363" i="17" a="1"/>
  <c r="J363" i="17"/>
  <c r="J364" i="17" a="1"/>
  <c r="J364" i="17"/>
  <c r="J365" i="17" a="1"/>
  <c r="J365" i="17"/>
  <c r="J366" i="17" a="1"/>
  <c r="J366" i="17"/>
  <c r="J367" i="17" a="1"/>
  <c r="J367" i="17"/>
  <c r="J368" i="17" a="1"/>
  <c r="J368" i="17"/>
  <c r="J369" i="17" a="1"/>
  <c r="J369" i="17"/>
  <c r="J370" i="17" a="1"/>
  <c r="J370" i="17"/>
  <c r="J371" i="17" a="1"/>
  <c r="J371" i="17"/>
  <c r="J372" i="17" a="1"/>
  <c r="J372" i="17"/>
  <c r="J373" i="17" a="1"/>
  <c r="J373" i="17"/>
  <c r="J374" i="17" a="1"/>
  <c r="J374" i="17"/>
  <c r="J375" i="17" a="1"/>
  <c r="J375" i="17"/>
  <c r="J376" i="17" a="1"/>
  <c r="J376" i="17"/>
  <c r="J377" i="17" a="1"/>
  <c r="J377" i="17"/>
  <c r="J378" i="17" a="1"/>
  <c r="J378" i="17"/>
  <c r="J379" i="17" a="1"/>
  <c r="J379" i="17"/>
  <c r="J380" i="17" a="1"/>
  <c r="J380" i="17"/>
  <c r="J381" i="17" a="1"/>
  <c r="J381" i="17"/>
  <c r="J382" i="17" a="1"/>
  <c r="J382" i="17"/>
  <c r="J383" i="17" a="1"/>
  <c r="J383" i="17"/>
  <c r="J384" i="17" a="1"/>
  <c r="J384" i="17"/>
  <c r="J385" i="17" a="1"/>
  <c r="J385" i="17"/>
  <c r="J386" i="17" a="1"/>
  <c r="J386" i="17"/>
  <c r="J387" i="17" a="1"/>
  <c r="J387" i="17"/>
  <c r="J388" i="17" a="1"/>
  <c r="J388" i="17"/>
  <c r="J389" i="17" a="1"/>
  <c r="J389" i="17"/>
  <c r="J390" i="17" a="1"/>
  <c r="J390" i="17"/>
  <c r="J391" i="17" a="1"/>
  <c r="J391" i="17"/>
  <c r="J392" i="17" a="1"/>
  <c r="J392" i="17"/>
  <c r="J393" i="17" a="1"/>
  <c r="J393" i="17"/>
  <c r="J394" i="17" a="1"/>
  <c r="J394" i="17"/>
  <c r="J395" i="17" a="1"/>
  <c r="J395" i="17"/>
  <c r="J396" i="17" a="1"/>
  <c r="J396" i="17"/>
  <c r="J397" i="17" a="1"/>
  <c r="J397" i="17"/>
  <c r="J398" i="17" a="1"/>
  <c r="J398" i="17"/>
  <c r="J399" i="17" a="1"/>
  <c r="J399" i="17"/>
  <c r="J400" i="17" a="1"/>
  <c r="J400" i="17"/>
  <c r="J401" i="17" a="1"/>
  <c r="J401" i="17"/>
  <c r="J402" i="17" a="1"/>
  <c r="J402" i="17"/>
  <c r="J403" i="17" a="1"/>
  <c r="J403" i="17"/>
  <c r="J404" i="17" a="1"/>
  <c r="J404" i="17"/>
  <c r="J405" i="17" a="1"/>
  <c r="J405" i="17"/>
  <c r="J406" i="17" a="1"/>
  <c r="J406" i="17"/>
  <c r="J407" i="17" a="1"/>
  <c r="J407" i="17"/>
  <c r="J408" i="17" a="1"/>
  <c r="J408" i="17"/>
  <c r="J409" i="17" a="1"/>
  <c r="J409" i="17"/>
  <c r="J410" i="17" a="1"/>
  <c r="J410" i="17"/>
  <c r="J411" i="17" a="1"/>
  <c r="J411" i="17"/>
  <c r="J412" i="17" a="1"/>
  <c r="J412" i="17"/>
  <c r="J413" i="17" a="1"/>
  <c r="J413" i="17"/>
  <c r="J414" i="17" a="1"/>
  <c r="J414" i="17"/>
  <c r="J415" i="17" a="1"/>
  <c r="J415" i="17"/>
  <c r="J416" i="17" a="1"/>
  <c r="J416" i="17"/>
  <c r="J417" i="17" a="1"/>
  <c r="J417" i="17"/>
  <c r="J418" i="17" a="1"/>
  <c r="J418" i="17"/>
  <c r="J419" i="17" a="1"/>
  <c r="J419" i="17"/>
  <c r="J420" i="17" a="1"/>
  <c r="J420" i="17"/>
  <c r="J421" i="17" a="1"/>
  <c r="J421" i="17"/>
  <c r="J422" i="17" a="1"/>
  <c r="J422" i="17"/>
  <c r="J423" i="17" a="1"/>
  <c r="J423" i="17"/>
  <c r="J424" i="17" a="1"/>
  <c r="J424" i="17"/>
  <c r="J425" i="17" a="1"/>
  <c r="J425" i="17"/>
  <c r="J426" i="17" a="1"/>
  <c r="J426" i="17"/>
  <c r="J427" i="17" a="1"/>
  <c r="J427" i="17"/>
  <c r="J428" i="17" a="1"/>
  <c r="J428" i="17"/>
  <c r="J429" i="17" a="1"/>
  <c r="J429" i="17"/>
  <c r="J430" i="17" a="1"/>
  <c r="J430" i="17"/>
  <c r="J431" i="17" a="1"/>
  <c r="J431" i="17"/>
  <c r="J432" i="17" a="1"/>
  <c r="J432" i="17"/>
  <c r="J433" i="17" a="1"/>
  <c r="J433" i="17"/>
  <c r="J434" i="17" a="1"/>
  <c r="J434" i="17"/>
  <c r="J435" i="17" a="1"/>
  <c r="J435" i="17"/>
  <c r="J436" i="17" a="1"/>
  <c r="J436" i="17"/>
  <c r="J437" i="17" a="1"/>
  <c r="J437" i="17"/>
  <c r="J438" i="17" a="1"/>
  <c r="J438" i="17"/>
  <c r="J439" i="17" a="1"/>
  <c r="J439" i="17"/>
  <c r="J440" i="17" a="1"/>
  <c r="J440" i="17"/>
  <c r="J441" i="17" a="1"/>
  <c r="J441" i="17"/>
  <c r="J442" i="17" a="1"/>
  <c r="J442" i="17"/>
  <c r="J443" i="17" a="1"/>
  <c r="J443" i="17"/>
  <c r="J444" i="17" a="1"/>
  <c r="J444" i="17"/>
  <c r="J445" i="17" a="1"/>
  <c r="J445" i="17"/>
  <c r="J446" i="17" a="1"/>
  <c r="J446" i="17"/>
  <c r="J447" i="17" a="1"/>
  <c r="J447" i="17"/>
  <c r="J448" i="17" a="1"/>
  <c r="J448" i="17"/>
  <c r="J449" i="17" a="1"/>
  <c r="J449" i="17"/>
  <c r="J450" i="17" a="1"/>
  <c r="J450" i="17"/>
  <c r="J451" i="17" a="1"/>
  <c r="J451" i="17"/>
  <c r="J452" i="17" a="1"/>
  <c r="J452" i="17"/>
  <c r="J453" i="17" a="1"/>
  <c r="J453" i="17"/>
  <c r="J454" i="17" a="1"/>
  <c r="J454" i="17"/>
  <c r="J455" i="17" a="1"/>
  <c r="J455" i="17"/>
  <c r="J456" i="17" a="1"/>
  <c r="J456" i="17"/>
  <c r="J457" i="17" a="1"/>
  <c r="J457" i="17"/>
  <c r="J458" i="17" a="1"/>
  <c r="J458" i="17"/>
  <c r="J459" i="17" a="1"/>
  <c r="J459" i="17"/>
  <c r="J460" i="17" a="1"/>
  <c r="J460" i="17"/>
  <c r="J461" i="17" a="1"/>
  <c r="J461" i="17"/>
  <c r="J462" i="17" a="1"/>
  <c r="J462" i="17"/>
  <c r="J463" i="17" a="1"/>
  <c r="J463" i="17"/>
  <c r="J464" i="17" a="1"/>
  <c r="J464" i="17"/>
  <c r="J465" i="17" a="1"/>
  <c r="J465" i="17"/>
  <c r="J466" i="17" a="1"/>
  <c r="J466" i="17"/>
  <c r="J467" i="17" a="1"/>
  <c r="J467" i="17"/>
  <c r="J468" i="17" a="1"/>
  <c r="J468" i="17"/>
  <c r="J469" i="17" a="1"/>
  <c r="J469" i="17"/>
  <c r="J470" i="17" a="1"/>
  <c r="J470" i="17"/>
  <c r="J471" i="17" a="1"/>
  <c r="J471" i="17"/>
  <c r="J472" i="17" a="1"/>
  <c r="J472" i="17"/>
  <c r="J473" i="17" a="1"/>
  <c r="J473" i="17"/>
  <c r="J474" i="17" a="1"/>
  <c r="J474" i="17"/>
  <c r="J475" i="17" a="1"/>
  <c r="J475" i="17"/>
  <c r="J476" i="17" a="1"/>
  <c r="J476" i="17"/>
  <c r="J477" i="17" a="1"/>
  <c r="J477" i="17"/>
  <c r="J478" i="17" a="1"/>
  <c r="J478" i="17"/>
  <c r="J479" i="17" a="1"/>
  <c r="J479" i="17"/>
  <c r="J480" i="17" a="1"/>
  <c r="J480" i="17"/>
  <c r="J481" i="17" a="1"/>
  <c r="J481" i="17"/>
  <c r="J482" i="17" a="1"/>
  <c r="J482" i="17"/>
  <c r="J483" i="17" a="1"/>
  <c r="J483" i="17"/>
  <c r="J484" i="17" a="1"/>
  <c r="J484" i="17"/>
  <c r="J485" i="17" a="1"/>
  <c r="J485" i="17"/>
  <c r="J486" i="17" a="1"/>
  <c r="J486" i="17"/>
  <c r="J487" i="17" a="1"/>
  <c r="J487" i="17"/>
  <c r="J488" i="17" a="1"/>
  <c r="J488" i="17"/>
  <c r="J489" i="17" a="1"/>
  <c r="J489" i="17"/>
  <c r="J490" i="17" a="1"/>
  <c r="J490" i="17"/>
  <c r="J491" i="17" a="1"/>
  <c r="J491" i="17"/>
  <c r="J492" i="17" a="1"/>
  <c r="J492" i="17"/>
  <c r="J493" i="17" a="1"/>
  <c r="J493" i="17"/>
  <c r="J494" i="17" a="1"/>
  <c r="J494" i="17"/>
  <c r="J495" i="17" a="1"/>
  <c r="J495" i="17"/>
  <c r="J496" i="17" a="1"/>
  <c r="J496" i="17"/>
  <c r="J497" i="17" a="1"/>
  <c r="J497" i="17"/>
  <c r="J498" i="17" a="1"/>
  <c r="J498" i="17"/>
  <c r="J499" i="17" a="1"/>
  <c r="J499" i="17"/>
  <c r="J500" i="17" a="1"/>
  <c r="J500" i="17"/>
  <c r="J501" i="17" a="1"/>
  <c r="J501" i="17"/>
  <c r="J502" i="17" a="1"/>
  <c r="J502" i="17"/>
  <c r="J503" i="17" a="1"/>
  <c r="J503" i="17"/>
  <c r="J504" i="17" a="1"/>
  <c r="J504" i="17"/>
  <c r="J505" i="17" a="1"/>
  <c r="J505" i="17"/>
  <c r="J506" i="17" a="1"/>
  <c r="J506" i="17"/>
  <c r="J507" i="17" a="1"/>
  <c r="J507" i="17"/>
  <c r="J508" i="17" a="1"/>
  <c r="J508" i="17"/>
  <c r="J509" i="17" a="1"/>
  <c r="J509" i="17"/>
  <c r="J510" i="17" a="1"/>
  <c r="J510" i="17"/>
  <c r="J511" i="17" a="1"/>
  <c r="J511" i="17"/>
  <c r="J512" i="17" a="1"/>
  <c r="J512" i="17"/>
  <c r="J513" i="17" a="1"/>
  <c r="J513" i="17"/>
  <c r="J514" i="17" a="1"/>
  <c r="J514" i="17"/>
  <c r="J515" i="17" a="1"/>
  <c r="J515" i="17"/>
  <c r="J516" i="17" a="1"/>
  <c r="J516" i="17"/>
  <c r="J517" i="17" a="1"/>
  <c r="J517" i="17"/>
  <c r="J518" i="17" a="1"/>
  <c r="J518" i="17"/>
  <c r="J519" i="17" a="1"/>
  <c r="J519" i="17"/>
  <c r="J520" i="17" a="1"/>
  <c r="J520" i="17"/>
  <c r="J521" i="17" a="1"/>
  <c r="J521" i="17"/>
  <c r="J522" i="17" a="1"/>
  <c r="J522" i="17"/>
  <c r="J523" i="17" a="1"/>
  <c r="J523" i="17"/>
  <c r="J524" i="17" a="1"/>
  <c r="J524" i="17"/>
  <c r="J525" i="17" a="1"/>
  <c r="J525" i="17"/>
  <c r="J526" i="17" a="1"/>
  <c r="J526" i="17"/>
  <c r="J527" i="17" a="1"/>
  <c r="J527" i="17"/>
  <c r="J528" i="17" a="1"/>
  <c r="J528" i="17"/>
  <c r="J529" i="17" a="1"/>
  <c r="J529" i="17"/>
  <c r="J530" i="17" a="1"/>
  <c r="J530" i="17"/>
  <c r="J531" i="17" a="1"/>
  <c r="J531" i="17"/>
  <c r="J532" i="17" a="1"/>
  <c r="J532" i="17"/>
  <c r="J533" i="17" a="1"/>
  <c r="J533" i="17"/>
  <c r="J534" i="17" a="1"/>
  <c r="J534" i="17"/>
  <c r="J535" i="17" a="1"/>
  <c r="J535" i="17"/>
  <c r="J536" i="17" a="1"/>
  <c r="J536" i="17"/>
  <c r="J537" i="17" a="1"/>
  <c r="J537" i="17"/>
  <c r="J538" i="17" a="1"/>
  <c r="J538" i="17"/>
  <c r="J539" i="17" a="1"/>
  <c r="J539" i="17"/>
  <c r="J540" i="17" a="1"/>
  <c r="J540" i="17"/>
  <c r="J541" i="17" a="1"/>
  <c r="J541" i="17"/>
  <c r="J542" i="17" a="1"/>
  <c r="J542" i="17"/>
  <c r="J543" i="17" a="1"/>
  <c r="J543" i="17"/>
  <c r="J544" i="17" a="1"/>
  <c r="J544" i="17"/>
  <c r="J545" i="17" a="1"/>
  <c r="J545" i="17"/>
  <c r="J546" i="17" a="1"/>
  <c r="J546" i="17"/>
  <c r="J547" i="17" a="1"/>
  <c r="J547" i="17"/>
  <c r="J548" i="17" a="1"/>
  <c r="J548" i="17"/>
  <c r="J549" i="17" a="1"/>
  <c r="J549" i="17"/>
  <c r="J550" i="17" a="1"/>
  <c r="J550" i="17"/>
  <c r="J551" i="17" a="1"/>
  <c r="J551" i="17"/>
  <c r="J552" i="17" a="1"/>
  <c r="J552" i="17"/>
  <c r="J553" i="17" a="1"/>
  <c r="J553" i="17"/>
  <c r="J554" i="17" a="1"/>
  <c r="J554" i="17"/>
  <c r="J555" i="17" a="1"/>
  <c r="J555" i="17"/>
  <c r="J556" i="17" a="1"/>
  <c r="J556" i="17"/>
  <c r="J557" i="17" a="1"/>
  <c r="J557" i="17"/>
  <c r="J558" i="17" a="1"/>
  <c r="J558" i="17"/>
  <c r="J559" i="17" a="1"/>
  <c r="J559" i="17"/>
  <c r="J560" i="17" a="1"/>
  <c r="J560" i="17"/>
  <c r="J561" i="17" a="1"/>
  <c r="J561" i="17"/>
  <c r="J562" i="17" a="1"/>
  <c r="J562" i="17"/>
  <c r="J563" i="17" a="1"/>
  <c r="J563" i="17"/>
  <c r="J564" i="17" a="1"/>
  <c r="J564" i="17"/>
  <c r="J565" i="17" a="1"/>
  <c r="J565" i="17"/>
  <c r="J566" i="17" a="1"/>
  <c r="J566" i="17"/>
  <c r="J567" i="17" a="1"/>
  <c r="J567" i="17"/>
  <c r="J568" i="17" a="1"/>
  <c r="J568" i="17"/>
  <c r="J569" i="17" a="1"/>
  <c r="J569" i="17"/>
  <c r="J570" i="17" a="1"/>
  <c r="J570" i="17"/>
  <c r="J571" i="17" a="1"/>
  <c r="J571" i="17"/>
  <c r="J572" i="17" a="1"/>
  <c r="J572" i="17"/>
  <c r="J573" i="17" a="1"/>
  <c r="J573" i="17"/>
  <c r="J574" i="17" a="1"/>
  <c r="J574" i="17"/>
  <c r="J575" i="17" a="1"/>
  <c r="J575" i="17"/>
  <c r="J576" i="17" a="1"/>
  <c r="J576" i="17"/>
  <c r="J577" i="17" a="1"/>
  <c r="J577" i="17"/>
  <c r="J578" i="17" a="1"/>
  <c r="J578" i="17"/>
  <c r="J579" i="17" a="1"/>
  <c r="J579" i="17"/>
  <c r="J580" i="17" a="1"/>
  <c r="J580" i="17"/>
  <c r="J581" i="17" a="1"/>
  <c r="J581" i="17"/>
  <c r="J582" i="17" a="1"/>
  <c r="J582" i="17"/>
  <c r="J583" i="17" a="1"/>
  <c r="J583" i="17"/>
  <c r="J584" i="17" a="1"/>
  <c r="J584" i="17"/>
  <c r="J585" i="17" a="1"/>
  <c r="J585" i="17"/>
  <c r="J586" i="17" a="1"/>
  <c r="J586" i="17"/>
  <c r="J587" i="17" a="1"/>
  <c r="J587" i="17"/>
  <c r="J588" i="17" a="1"/>
  <c r="J588" i="17"/>
  <c r="J589" i="17" a="1"/>
  <c r="J589" i="17"/>
  <c r="J590" i="17" a="1"/>
  <c r="J590" i="17"/>
  <c r="J591" i="17" a="1"/>
  <c r="J591" i="17"/>
  <c r="J592" i="17" a="1"/>
  <c r="J592" i="17"/>
  <c r="J593" i="17" a="1"/>
  <c r="J593" i="17"/>
  <c r="J594" i="17" a="1"/>
  <c r="J594" i="17"/>
  <c r="J595" i="17" a="1"/>
  <c r="J595" i="17"/>
  <c r="J596" i="17" a="1"/>
  <c r="J596" i="17"/>
  <c r="J597" i="17" a="1"/>
  <c r="J597" i="17"/>
  <c r="J598" i="17" a="1"/>
  <c r="J598" i="17"/>
  <c r="J599" i="17" a="1"/>
  <c r="J599" i="17"/>
  <c r="J600" i="17" a="1"/>
  <c r="J600" i="17"/>
  <c r="J601" i="17" a="1"/>
  <c r="J601" i="17"/>
  <c r="J602" i="17" a="1"/>
  <c r="J602" i="17"/>
  <c r="J603" i="17" a="1"/>
  <c r="J603" i="17"/>
  <c r="J604" i="17" a="1"/>
  <c r="J604" i="17"/>
  <c r="J605" i="17" a="1"/>
  <c r="J605" i="17"/>
  <c r="J606" i="17" a="1"/>
  <c r="J606" i="17"/>
  <c r="J607" i="17" a="1"/>
  <c r="J607" i="17"/>
  <c r="J608" i="17" a="1"/>
  <c r="J608" i="17"/>
  <c r="J609" i="17" a="1"/>
  <c r="J609" i="17"/>
  <c r="J610" i="17" a="1"/>
  <c r="J610" i="17"/>
  <c r="J611" i="17" a="1"/>
  <c r="J611" i="17"/>
  <c r="J612" i="17" a="1"/>
  <c r="J612" i="17"/>
  <c r="J613" i="17" a="1"/>
  <c r="J613" i="17"/>
  <c r="J614" i="17" a="1"/>
  <c r="J614" i="17"/>
  <c r="J615" i="17" a="1"/>
  <c r="J615" i="17"/>
  <c r="J616" i="17" a="1"/>
  <c r="J616" i="17"/>
  <c r="J617" i="17" a="1"/>
  <c r="J617" i="17"/>
  <c r="J618" i="17" a="1"/>
  <c r="J618" i="17"/>
  <c r="J619" i="17" a="1"/>
  <c r="J619" i="17"/>
  <c r="J620" i="17" a="1"/>
  <c r="J620" i="17"/>
  <c r="J621" i="17" a="1"/>
  <c r="J621" i="17"/>
  <c r="J622" i="17" a="1"/>
  <c r="J622" i="17"/>
  <c r="J623" i="17" a="1"/>
  <c r="J623" i="17"/>
  <c r="J624" i="17" a="1"/>
  <c r="J624" i="17"/>
  <c r="J625" i="17" a="1"/>
  <c r="J625" i="17"/>
  <c r="J626" i="17" a="1"/>
  <c r="J626" i="17"/>
  <c r="J627" i="17" a="1"/>
  <c r="J627" i="17"/>
  <c r="J628" i="17" a="1"/>
  <c r="J628" i="17"/>
  <c r="J629" i="17" a="1"/>
  <c r="J629" i="17"/>
  <c r="J630" i="17" a="1"/>
  <c r="J630" i="17"/>
  <c r="J631" i="17" a="1"/>
  <c r="J631" i="17"/>
  <c r="J632" i="17" a="1"/>
  <c r="J632" i="17"/>
  <c r="J633" i="17" a="1"/>
  <c r="J633" i="17"/>
  <c r="J634" i="17" a="1"/>
  <c r="J634" i="17"/>
  <c r="J635" i="17" a="1"/>
  <c r="J635" i="17"/>
  <c r="J636" i="17" a="1"/>
  <c r="J636" i="17"/>
  <c r="J637" i="17" a="1"/>
  <c r="J637" i="17"/>
  <c r="J638" i="17" a="1"/>
  <c r="J638" i="17"/>
  <c r="J639" i="17" a="1"/>
  <c r="J639" i="17"/>
  <c r="J640" i="17" a="1"/>
  <c r="J640" i="17"/>
  <c r="J641" i="17" a="1"/>
  <c r="J641" i="17"/>
  <c r="J642" i="17" a="1"/>
  <c r="J642" i="17"/>
  <c r="J643" i="17" a="1"/>
  <c r="J643" i="17"/>
  <c r="J644" i="17" a="1"/>
  <c r="J644" i="17"/>
  <c r="J645" i="17" a="1"/>
  <c r="J645" i="17"/>
  <c r="J646" i="17" a="1"/>
  <c r="J646" i="17"/>
  <c r="J647" i="17" a="1"/>
  <c r="J647" i="17"/>
  <c r="J648" i="17" a="1"/>
  <c r="J648" i="17"/>
  <c r="J649" i="17" a="1"/>
  <c r="J649" i="17"/>
  <c r="J650" i="17" a="1"/>
  <c r="J650" i="17"/>
  <c r="J651" i="17" a="1"/>
  <c r="J651" i="17"/>
  <c r="J652" i="17" a="1"/>
  <c r="J652" i="17"/>
  <c r="J653" i="17" a="1"/>
  <c r="J653" i="17"/>
  <c r="J654" i="17" a="1"/>
  <c r="J654" i="17"/>
  <c r="J655" i="17" a="1"/>
  <c r="J655" i="17"/>
  <c r="J656" i="17" a="1"/>
  <c r="J656" i="17"/>
  <c r="J657" i="17" a="1"/>
  <c r="J657" i="17"/>
  <c r="J658" i="17" a="1"/>
  <c r="J658" i="17"/>
  <c r="J659" i="17" a="1"/>
  <c r="J659" i="17"/>
  <c r="J660" i="17" a="1"/>
  <c r="J660" i="17"/>
  <c r="J661" i="17" a="1"/>
  <c r="J661" i="17"/>
  <c r="J662" i="17" a="1"/>
  <c r="J662" i="17"/>
  <c r="J663" i="17" a="1"/>
  <c r="J663" i="17"/>
  <c r="J664" i="17" a="1"/>
  <c r="J664" i="17"/>
  <c r="J665" i="17" a="1"/>
  <c r="J665" i="17"/>
  <c r="J666" i="17" a="1"/>
  <c r="J666" i="17"/>
  <c r="J667" i="17" a="1"/>
  <c r="J667" i="17"/>
  <c r="J668" i="17" a="1"/>
  <c r="J668" i="17"/>
  <c r="J669" i="17" a="1"/>
  <c r="J669" i="17"/>
  <c r="J670" i="17" a="1"/>
  <c r="J670" i="17"/>
  <c r="J671" i="17" a="1"/>
  <c r="J671" i="17"/>
  <c r="J672" i="17" a="1"/>
  <c r="J672" i="17"/>
  <c r="J673" i="17" a="1"/>
  <c r="J673" i="17"/>
  <c r="J674" i="17" a="1"/>
  <c r="J674" i="17"/>
  <c r="J675" i="17" a="1"/>
  <c r="J675" i="17"/>
  <c r="J676" i="17" a="1"/>
  <c r="J676" i="17"/>
  <c r="J677" i="17" a="1"/>
  <c r="J677" i="17"/>
  <c r="J678" i="17" a="1"/>
  <c r="J678" i="17"/>
  <c r="J679" i="17" a="1"/>
  <c r="J679" i="17"/>
  <c r="J680" i="17" a="1"/>
  <c r="J680" i="17"/>
  <c r="J681" i="17" a="1"/>
  <c r="J681" i="17"/>
  <c r="J682" i="17" a="1"/>
  <c r="J682" i="17"/>
  <c r="J683" i="17" a="1"/>
  <c r="J683" i="17"/>
  <c r="J684" i="17" a="1"/>
  <c r="J684" i="17"/>
  <c r="J685" i="17" a="1"/>
  <c r="J685" i="17"/>
  <c r="J686" i="17" a="1"/>
  <c r="J686" i="17"/>
  <c r="J687" i="17" a="1"/>
  <c r="J687" i="17"/>
  <c r="J688" i="17" a="1"/>
  <c r="J688" i="17"/>
  <c r="J689" i="17" a="1"/>
  <c r="J689" i="17"/>
  <c r="J690" i="17" a="1"/>
  <c r="J690" i="17"/>
  <c r="J691" i="17" a="1"/>
  <c r="J691" i="17"/>
  <c r="J692" i="17" a="1"/>
  <c r="J692" i="17"/>
  <c r="J693" i="17" a="1"/>
  <c r="J693" i="17"/>
  <c r="J694" i="17" a="1"/>
  <c r="J694" i="17"/>
  <c r="J695" i="17" a="1"/>
  <c r="J695" i="17"/>
  <c r="J696" i="17" a="1"/>
  <c r="J696" i="17"/>
  <c r="J697" i="17" a="1"/>
  <c r="J697" i="17"/>
  <c r="J698" i="17" a="1"/>
  <c r="J698" i="17"/>
  <c r="J699" i="17" a="1"/>
  <c r="J699" i="17"/>
  <c r="J700" i="17" a="1"/>
  <c r="J700" i="17"/>
  <c r="J701" i="17" a="1"/>
  <c r="J701" i="17"/>
  <c r="J702" i="17" a="1"/>
  <c r="J702" i="17"/>
  <c r="J703" i="17" a="1"/>
  <c r="J703" i="17"/>
  <c r="J704" i="17" a="1"/>
  <c r="J704" i="17"/>
  <c r="J705" i="17" a="1"/>
  <c r="J705" i="17"/>
  <c r="J706" i="17" a="1"/>
  <c r="J706" i="17"/>
  <c r="J707" i="17" a="1"/>
  <c r="J707" i="17"/>
  <c r="J708" i="17" a="1"/>
  <c r="J708" i="17"/>
  <c r="J709" i="17" a="1"/>
  <c r="J709" i="17"/>
  <c r="J710" i="17" a="1"/>
  <c r="J710" i="17"/>
  <c r="J711" i="17" a="1"/>
  <c r="J711" i="17"/>
  <c r="J712" i="17" a="1"/>
  <c r="J712" i="17"/>
  <c r="J713" i="17" a="1"/>
  <c r="J713" i="17"/>
  <c r="J714" i="17" a="1"/>
  <c r="J714" i="17"/>
  <c r="J715" i="17" a="1"/>
  <c r="J715" i="17"/>
  <c r="J716" i="17" a="1"/>
  <c r="J716" i="17"/>
  <c r="J717" i="17" a="1"/>
  <c r="J717" i="17"/>
  <c r="J718" i="17" a="1"/>
  <c r="J718" i="17"/>
  <c r="J719" i="17" a="1"/>
  <c r="J719" i="17"/>
  <c r="J720" i="17" a="1"/>
  <c r="J720" i="17"/>
  <c r="J721" i="17" a="1"/>
  <c r="J721" i="17"/>
  <c r="J722" i="17" a="1"/>
  <c r="J722" i="17"/>
  <c r="J723" i="17" a="1"/>
  <c r="J723" i="17"/>
  <c r="J724" i="17" a="1"/>
  <c r="J724" i="17"/>
  <c r="J725" i="17" a="1"/>
  <c r="J725" i="17"/>
  <c r="J726" i="17" a="1"/>
  <c r="J726" i="17"/>
  <c r="J727" i="17" a="1"/>
  <c r="J727" i="17"/>
  <c r="J728" i="17" a="1"/>
  <c r="J728" i="17"/>
  <c r="J729" i="17" a="1"/>
  <c r="J729" i="17"/>
  <c r="J730" i="17" a="1"/>
  <c r="J730" i="17"/>
  <c r="J731" i="17" a="1"/>
  <c r="J731" i="17"/>
  <c r="J732" i="17" a="1"/>
  <c r="J732" i="17"/>
  <c r="J733" i="17" a="1"/>
  <c r="J733" i="17"/>
  <c r="J734" i="17" a="1"/>
  <c r="J734" i="17"/>
  <c r="J735" i="17" a="1"/>
  <c r="J735" i="17"/>
  <c r="J736" i="17" a="1"/>
  <c r="J736" i="17"/>
  <c r="J737" i="17" a="1"/>
  <c r="J737" i="17"/>
  <c r="J738" i="17" a="1"/>
  <c r="J738" i="17"/>
  <c r="J739" i="17" a="1"/>
  <c r="J739" i="17"/>
  <c r="J740" i="17" a="1"/>
  <c r="J740" i="17"/>
  <c r="J741" i="17" a="1"/>
  <c r="J741" i="17"/>
  <c r="J742" i="17" a="1"/>
  <c r="J742" i="17"/>
  <c r="J743" i="17" a="1"/>
  <c r="J743" i="17"/>
  <c r="J744" i="17" a="1"/>
  <c r="J744" i="17"/>
  <c r="J745" i="17" a="1"/>
  <c r="J745" i="17"/>
  <c r="J746" i="17" a="1"/>
  <c r="J746" i="17"/>
  <c r="J747" i="17" a="1"/>
  <c r="J747" i="17"/>
  <c r="J748" i="17" a="1"/>
  <c r="J748" i="17"/>
  <c r="J749" i="17" a="1"/>
  <c r="J749" i="17"/>
  <c r="J750" i="17" a="1"/>
  <c r="J750" i="17"/>
  <c r="J751" i="17" a="1"/>
  <c r="J751" i="17"/>
  <c r="J752" i="17" a="1"/>
  <c r="J752" i="17"/>
  <c r="J753" i="17" a="1"/>
  <c r="J753" i="17"/>
  <c r="J754" i="17" a="1"/>
  <c r="J754" i="17"/>
  <c r="J755" i="17" a="1"/>
  <c r="J755" i="17"/>
  <c r="J756" i="17" a="1"/>
  <c r="J756" i="17"/>
  <c r="J757" i="17" a="1"/>
  <c r="J757" i="17"/>
  <c r="J758" i="17" a="1"/>
  <c r="J758" i="17"/>
  <c r="J759" i="17" a="1"/>
  <c r="J759" i="17"/>
  <c r="J760" i="17" a="1"/>
  <c r="J760" i="17"/>
  <c r="J761" i="17" a="1"/>
  <c r="J761" i="17"/>
  <c r="J762" i="17" a="1"/>
  <c r="J762" i="17"/>
  <c r="J763" i="17" a="1"/>
  <c r="J763" i="17"/>
  <c r="J764" i="17" a="1"/>
  <c r="J764" i="17"/>
  <c r="J765" i="17" a="1"/>
  <c r="J765" i="17"/>
  <c r="J766" i="17" a="1"/>
  <c r="J766" i="17"/>
  <c r="J767" i="17" a="1"/>
  <c r="J767" i="17"/>
  <c r="J768" i="17" a="1"/>
  <c r="J768" i="17"/>
  <c r="J769" i="17" a="1"/>
  <c r="J769" i="17"/>
  <c r="J770" i="17" a="1"/>
  <c r="J770" i="17"/>
  <c r="J771" i="17" a="1"/>
  <c r="J771" i="17"/>
  <c r="J772" i="17" a="1"/>
  <c r="J772" i="17"/>
  <c r="J773" i="17" a="1"/>
  <c r="J773" i="17"/>
  <c r="J774" i="17" a="1"/>
  <c r="J774" i="17"/>
  <c r="J775" i="17" a="1"/>
  <c r="J775" i="17"/>
  <c r="J776" i="17" a="1"/>
  <c r="J776" i="17"/>
  <c r="J777" i="17" a="1"/>
  <c r="J777" i="17"/>
  <c r="J778" i="17" a="1"/>
  <c r="J778" i="17"/>
  <c r="J779" i="17" a="1"/>
  <c r="J779" i="17"/>
  <c r="J780" i="17" a="1"/>
  <c r="J780" i="17"/>
  <c r="J781" i="17" a="1"/>
  <c r="J781" i="17"/>
  <c r="J782" i="17" a="1"/>
  <c r="J782" i="17"/>
  <c r="J783" i="17" a="1"/>
  <c r="J783" i="17"/>
  <c r="J784" i="17" a="1"/>
  <c r="J784" i="17"/>
  <c r="J785" i="17" a="1"/>
  <c r="J785" i="17"/>
  <c r="J786" i="17" a="1"/>
  <c r="J786" i="17"/>
  <c r="J787" i="17" a="1"/>
  <c r="J787" i="17"/>
  <c r="J788" i="17" a="1"/>
  <c r="J788" i="17"/>
  <c r="J789" i="17" a="1"/>
  <c r="J789" i="17"/>
  <c r="J790" i="17" a="1"/>
  <c r="J790" i="17"/>
  <c r="J791" i="17" a="1"/>
  <c r="J791" i="17"/>
  <c r="J792" i="17" a="1"/>
  <c r="J792" i="17"/>
  <c r="J793" i="17" a="1"/>
  <c r="J793" i="17"/>
  <c r="J794" i="17" a="1"/>
  <c r="J794" i="17"/>
  <c r="J795" i="17" a="1"/>
  <c r="J795" i="17"/>
  <c r="J796" i="17" a="1"/>
  <c r="J796" i="17"/>
  <c r="J797" i="17" a="1"/>
  <c r="J797" i="17"/>
  <c r="J798" i="17" a="1"/>
  <c r="J798" i="17"/>
  <c r="J799" i="17" a="1"/>
  <c r="J799" i="17"/>
  <c r="J800" i="17" a="1"/>
  <c r="J800" i="17"/>
  <c r="J801" i="17" a="1"/>
  <c r="J801" i="17"/>
  <c r="J802" i="17" a="1"/>
  <c r="J802" i="17"/>
  <c r="J803" i="17" a="1"/>
  <c r="J803" i="17"/>
  <c r="J804" i="17" a="1"/>
  <c r="J804" i="17"/>
  <c r="J805" i="17" a="1"/>
  <c r="J805" i="17"/>
  <c r="J806" i="17" a="1"/>
  <c r="J806" i="17"/>
  <c r="J807" i="17" a="1"/>
  <c r="J807" i="17"/>
  <c r="J808" i="17" a="1"/>
  <c r="J808" i="17"/>
  <c r="J809" i="17" a="1"/>
  <c r="J809" i="17"/>
  <c r="J810" i="17" a="1"/>
  <c r="J810" i="17"/>
  <c r="J811" i="17" a="1"/>
  <c r="J811" i="17"/>
  <c r="J812" i="17" a="1"/>
  <c r="J812" i="17"/>
  <c r="J813" i="17" a="1"/>
  <c r="J813" i="17"/>
  <c r="J814" i="17" a="1"/>
  <c r="J814" i="17"/>
  <c r="J815" i="17" a="1"/>
  <c r="J815" i="17"/>
  <c r="J816" i="17" a="1"/>
  <c r="J816" i="17"/>
  <c r="J817" i="17" a="1"/>
  <c r="J817" i="17"/>
  <c r="J818" i="17" a="1"/>
  <c r="J818" i="17"/>
  <c r="J819" i="17" a="1"/>
  <c r="J819" i="17"/>
  <c r="J820" i="17" a="1"/>
  <c r="J820" i="17"/>
  <c r="J821" i="17" a="1"/>
  <c r="J821" i="17"/>
  <c r="J822" i="17" a="1"/>
  <c r="J822" i="17"/>
  <c r="J823" i="17" a="1"/>
  <c r="J823" i="17"/>
  <c r="J824" i="17" a="1"/>
  <c r="J824" i="17"/>
  <c r="J825" i="17" a="1"/>
  <c r="J825" i="17"/>
  <c r="J826" i="17" a="1"/>
  <c r="J826" i="17"/>
  <c r="J827" i="17" a="1"/>
  <c r="J827" i="17"/>
  <c r="J828" i="17" a="1"/>
  <c r="J828" i="17"/>
  <c r="J829" i="17" a="1"/>
  <c r="J829" i="17"/>
  <c r="J830" i="17" a="1"/>
  <c r="J830" i="17"/>
  <c r="J831" i="17" a="1"/>
  <c r="J831" i="17"/>
  <c r="J832" i="17" a="1"/>
  <c r="J832" i="17"/>
  <c r="J833" i="17" a="1"/>
  <c r="J833" i="17"/>
  <c r="J834" i="17" a="1"/>
  <c r="J834" i="17"/>
  <c r="J835" i="17" a="1"/>
  <c r="J835" i="17"/>
  <c r="J836" i="17" a="1"/>
  <c r="J836" i="17"/>
  <c r="J837" i="17" a="1"/>
  <c r="J837" i="17"/>
  <c r="J838" i="17" a="1"/>
  <c r="J838" i="17"/>
  <c r="J839" i="17" a="1"/>
  <c r="J839" i="17"/>
  <c r="J840" i="17" a="1"/>
  <c r="J840" i="17"/>
  <c r="J841" i="17" a="1"/>
  <c r="J841" i="17"/>
  <c r="J842" i="17" a="1"/>
  <c r="J842" i="17"/>
  <c r="J843" i="17" a="1"/>
  <c r="J843" i="17"/>
  <c r="J844" i="17" a="1"/>
  <c r="J844" i="17"/>
  <c r="J845" i="17" a="1"/>
  <c r="J845" i="17"/>
  <c r="J846" i="17" a="1"/>
  <c r="J846" i="17"/>
  <c r="J847" i="17" a="1"/>
  <c r="J847" i="17"/>
  <c r="J848" i="17" a="1"/>
  <c r="J848" i="17"/>
  <c r="J849" i="17" a="1"/>
  <c r="J849" i="17"/>
  <c r="J850" i="17" a="1"/>
  <c r="J850" i="17"/>
  <c r="J851" i="17" a="1"/>
  <c r="J851" i="17"/>
  <c r="J852" i="17" a="1"/>
  <c r="J852" i="17"/>
  <c r="J853" i="17" a="1"/>
  <c r="J853" i="17"/>
  <c r="J854" i="17" a="1"/>
  <c r="J854" i="17"/>
  <c r="J855" i="17" a="1"/>
  <c r="J855" i="17"/>
  <c r="J856" i="17" a="1"/>
  <c r="J856" i="17"/>
  <c r="J857" i="17" a="1"/>
  <c r="J857" i="17"/>
  <c r="J858" i="17" a="1"/>
  <c r="J858" i="17"/>
  <c r="J859" i="17" a="1"/>
  <c r="J859" i="17"/>
  <c r="J860" i="17" a="1"/>
  <c r="J860" i="17"/>
  <c r="J861" i="17" a="1"/>
  <c r="J861" i="17"/>
  <c r="J862" i="17" a="1"/>
  <c r="J862" i="17"/>
  <c r="J863" i="17" a="1"/>
  <c r="J863" i="17"/>
  <c r="J864" i="17" a="1"/>
  <c r="J864" i="17"/>
  <c r="J865" i="17" a="1"/>
  <c r="J865" i="17"/>
  <c r="J866" i="17" a="1"/>
  <c r="J866" i="17"/>
  <c r="J867" i="17" a="1"/>
  <c r="J867" i="17"/>
  <c r="J868" i="17" a="1"/>
  <c r="J868" i="17"/>
  <c r="J869" i="17" a="1"/>
  <c r="J869" i="17"/>
  <c r="J870" i="17" a="1"/>
  <c r="J870" i="17"/>
  <c r="J871" i="17" a="1"/>
  <c r="J871" i="17"/>
  <c r="J872" i="17" a="1"/>
  <c r="J872" i="17"/>
  <c r="J873" i="17" a="1"/>
  <c r="J873" i="17"/>
  <c r="J874" i="17" a="1"/>
  <c r="J874" i="17"/>
  <c r="J875" i="17" a="1"/>
  <c r="J875" i="17"/>
  <c r="J876" i="17" a="1"/>
  <c r="J876" i="17"/>
  <c r="J877" i="17" a="1"/>
  <c r="J877" i="17"/>
  <c r="J878" i="17" a="1"/>
  <c r="J878" i="17"/>
  <c r="J879" i="17" a="1"/>
  <c r="J879" i="17"/>
  <c r="J880" i="17" a="1"/>
  <c r="J880" i="17"/>
  <c r="J881" i="17" a="1"/>
  <c r="J881" i="17"/>
  <c r="J882" i="17" a="1"/>
  <c r="J882" i="17"/>
  <c r="J883" i="17" a="1"/>
  <c r="J883" i="17"/>
  <c r="J884" i="17" a="1"/>
  <c r="J884" i="17"/>
  <c r="J885" i="17" a="1"/>
  <c r="J885" i="17"/>
  <c r="J886" i="17" a="1"/>
  <c r="J886" i="17"/>
  <c r="J887" i="17" a="1"/>
  <c r="J887" i="17"/>
  <c r="J888" i="17" a="1"/>
  <c r="J888" i="17"/>
  <c r="J889" i="17" a="1"/>
  <c r="J889" i="17"/>
  <c r="J890" i="17" a="1"/>
  <c r="J890" i="17"/>
  <c r="J891" i="17" a="1"/>
  <c r="J891" i="17"/>
  <c r="J892" i="17" a="1"/>
  <c r="J892" i="17"/>
  <c r="J893" i="17" a="1"/>
  <c r="J893" i="17"/>
  <c r="J894" i="17" a="1"/>
  <c r="J894" i="17"/>
  <c r="J895" i="17" a="1"/>
  <c r="J895" i="17"/>
  <c r="J896" i="17" a="1"/>
  <c r="J896" i="17"/>
  <c r="J897" i="17" a="1"/>
  <c r="J897" i="17"/>
  <c r="J898" i="17" a="1"/>
  <c r="J898" i="17"/>
  <c r="J899" i="17" a="1"/>
  <c r="J899" i="17"/>
  <c r="J900" i="17" a="1"/>
  <c r="J900" i="17"/>
  <c r="J901" i="17" a="1"/>
  <c r="J901" i="17"/>
  <c r="J902" i="17" a="1"/>
  <c r="J902" i="17"/>
  <c r="J903" i="17" a="1"/>
  <c r="J903" i="17"/>
  <c r="J904" i="17" a="1"/>
  <c r="J904" i="17"/>
  <c r="J905" i="17" a="1"/>
  <c r="J905" i="17"/>
  <c r="J906" i="17" a="1"/>
  <c r="J906" i="17"/>
  <c r="J907" i="17" a="1"/>
  <c r="J907" i="17"/>
  <c r="J908" i="17" a="1"/>
  <c r="J908" i="17"/>
  <c r="J909" i="17" a="1"/>
  <c r="J909" i="17"/>
  <c r="J910" i="17" a="1"/>
  <c r="J910" i="17"/>
  <c r="J911" i="17" a="1"/>
  <c r="J911" i="17"/>
  <c r="J912" i="17" a="1"/>
  <c r="J912" i="17"/>
  <c r="J913" i="17" a="1"/>
  <c r="J913" i="17"/>
  <c r="J914" i="17" a="1"/>
  <c r="J914" i="17"/>
  <c r="J915" i="17" a="1"/>
  <c r="J915" i="17"/>
  <c r="J916" i="17" a="1"/>
  <c r="J916" i="17"/>
  <c r="J917" i="17" a="1"/>
  <c r="J917" i="17"/>
  <c r="J918" i="17" a="1"/>
  <c r="J918" i="17"/>
  <c r="J919" i="17" a="1"/>
  <c r="J919" i="17"/>
  <c r="J920" i="17" a="1"/>
  <c r="J920" i="17"/>
  <c r="J921" i="17" a="1"/>
  <c r="J921" i="17"/>
  <c r="J922" i="17" a="1"/>
  <c r="J922" i="17"/>
  <c r="J923" i="17" a="1"/>
  <c r="J923" i="17"/>
  <c r="J924" i="17" a="1"/>
  <c r="J924" i="17"/>
  <c r="J925" i="17" a="1"/>
  <c r="J925" i="17"/>
  <c r="J926" i="17" a="1"/>
  <c r="J926" i="17"/>
  <c r="J927" i="17" a="1"/>
  <c r="J927" i="17"/>
  <c r="J928" i="17" a="1"/>
  <c r="J928" i="17"/>
  <c r="J929" i="17" a="1"/>
  <c r="J929" i="17"/>
  <c r="J930" i="17" a="1"/>
  <c r="J930" i="17"/>
  <c r="J931" i="17" a="1"/>
  <c r="J931" i="17"/>
  <c r="J932" i="17" a="1"/>
  <c r="J932" i="17"/>
  <c r="J933" i="17" a="1"/>
  <c r="J933" i="17"/>
  <c r="J934" i="17" a="1"/>
  <c r="J934" i="17"/>
  <c r="J935" i="17" a="1"/>
  <c r="J935" i="17"/>
  <c r="J936" i="17" a="1"/>
  <c r="J936" i="17"/>
  <c r="J937" i="17" a="1"/>
  <c r="J937" i="17"/>
  <c r="J938" i="17" a="1"/>
  <c r="J938" i="17"/>
  <c r="J939" i="17" a="1"/>
  <c r="J939" i="17"/>
  <c r="J940" i="17" a="1"/>
  <c r="J940" i="17"/>
  <c r="J941" i="17" a="1"/>
  <c r="J941" i="17"/>
  <c r="J942" i="17" a="1"/>
  <c r="J942" i="17"/>
  <c r="J943" i="17" a="1"/>
  <c r="J943" i="17"/>
  <c r="J944" i="17" a="1"/>
  <c r="J944" i="17"/>
  <c r="J945" i="17" a="1"/>
  <c r="J945" i="17"/>
  <c r="J946" i="17" a="1"/>
  <c r="J946" i="17"/>
  <c r="J947" i="17" a="1"/>
  <c r="J947" i="17"/>
  <c r="J948" i="17" a="1"/>
  <c r="J948" i="17"/>
  <c r="J949" i="17" a="1"/>
  <c r="J949" i="17"/>
  <c r="J950" i="17" a="1"/>
  <c r="J950" i="17"/>
  <c r="J951" i="17" a="1"/>
  <c r="J951" i="17"/>
  <c r="J952" i="17" a="1"/>
  <c r="J952" i="17"/>
  <c r="J953" i="17" a="1"/>
  <c r="J953" i="17"/>
  <c r="J954" i="17" a="1"/>
  <c r="J954" i="17"/>
  <c r="J955" i="17" a="1"/>
  <c r="J955" i="17"/>
  <c r="J956" i="17" a="1"/>
  <c r="J956" i="17"/>
  <c r="J957" i="17" a="1"/>
  <c r="J957" i="17"/>
  <c r="J958" i="17" a="1"/>
  <c r="J958" i="17"/>
  <c r="J959" i="17" a="1"/>
  <c r="J959" i="17"/>
  <c r="J960" i="17" a="1"/>
  <c r="J960" i="17"/>
  <c r="J961" i="17" a="1"/>
  <c r="J961" i="17"/>
  <c r="J962" i="17" a="1"/>
  <c r="J962" i="17"/>
  <c r="J963" i="17" a="1"/>
  <c r="J963" i="17"/>
  <c r="J964" i="17" a="1"/>
  <c r="J964" i="17"/>
  <c r="J965" i="17" a="1"/>
  <c r="J965" i="17"/>
  <c r="J966" i="17" a="1"/>
  <c r="J966" i="17"/>
  <c r="J967" i="17" a="1"/>
  <c r="J967" i="17"/>
  <c r="J968" i="17" a="1"/>
  <c r="J968" i="17"/>
  <c r="J969" i="17" a="1"/>
  <c r="J969" i="17"/>
  <c r="J970" i="17" a="1"/>
  <c r="J970" i="17"/>
  <c r="J971" i="17" a="1"/>
  <c r="J971" i="17"/>
  <c r="J972" i="17" a="1"/>
  <c r="J972" i="17"/>
  <c r="J973" i="17" a="1"/>
  <c r="J973" i="17"/>
  <c r="J974" i="17" a="1"/>
  <c r="J974" i="17"/>
  <c r="J975" i="17" a="1"/>
  <c r="J975" i="17"/>
  <c r="J976" i="17" a="1"/>
  <c r="J976" i="17"/>
  <c r="J977" i="17" a="1"/>
  <c r="J977" i="17"/>
  <c r="J978" i="17" a="1"/>
  <c r="J978" i="17"/>
  <c r="J979" i="17" a="1"/>
  <c r="J979" i="17"/>
  <c r="J980" i="17" a="1"/>
  <c r="J980" i="17"/>
  <c r="J981" i="17" a="1"/>
  <c r="J981" i="17"/>
  <c r="J982" i="17" a="1"/>
  <c r="J982" i="17"/>
  <c r="J983" i="17" a="1"/>
  <c r="J983" i="17"/>
  <c r="J984" i="17" a="1"/>
  <c r="J984" i="17"/>
  <c r="J985" i="17" a="1"/>
  <c r="J985" i="17"/>
  <c r="J986" i="17" a="1"/>
  <c r="J986" i="17"/>
  <c r="J987" i="17" a="1"/>
  <c r="J987" i="17"/>
  <c r="J988" i="17" a="1"/>
  <c r="J988" i="17"/>
  <c r="J989" i="17" a="1"/>
  <c r="J989" i="17"/>
  <c r="J990" i="17" a="1"/>
  <c r="J990" i="17"/>
  <c r="J991" i="17" a="1"/>
  <c r="J991" i="17"/>
  <c r="J992" i="17" a="1"/>
  <c r="J992" i="17"/>
  <c r="J993" i="17" a="1"/>
  <c r="J993" i="17"/>
  <c r="J994" i="17" a="1"/>
  <c r="J994" i="17"/>
  <c r="J995" i="17" a="1"/>
  <c r="J995" i="17"/>
  <c r="J996" i="17" a="1"/>
  <c r="J996" i="17"/>
  <c r="J997" i="17" a="1"/>
  <c r="J997" i="17"/>
  <c r="J998" i="17" a="1"/>
  <c r="J998" i="17"/>
  <c r="J999" i="17" a="1"/>
  <c r="J999" i="17"/>
  <c r="J1000" i="17" a="1"/>
  <c r="J1000" i="17"/>
  <c r="J1001" i="17" a="1"/>
  <c r="J1001" i="17"/>
  <c r="J2" i="17" a="1"/>
  <c r="J2" i="17"/>
  <c r="I3" i="17" a="1"/>
  <c r="I3" i="17"/>
  <c r="I4" i="17" a="1"/>
  <c r="I4" i="17"/>
  <c r="I5" i="17" a="1"/>
  <c r="I5" i="17"/>
  <c r="I6" i="17" a="1"/>
  <c r="I6" i="17"/>
  <c r="I7" i="17" a="1"/>
  <c r="I7" i="17"/>
  <c r="I8" i="17" a="1"/>
  <c r="I8" i="17"/>
  <c r="I9" i="17" a="1"/>
  <c r="I9" i="17"/>
  <c r="I10" i="17" a="1"/>
  <c r="I10" i="17"/>
  <c r="I11" i="17" a="1"/>
  <c r="I11" i="17"/>
  <c r="I12" i="17" a="1"/>
  <c r="I12" i="17"/>
  <c r="I13" i="17" a="1"/>
  <c r="I13" i="17"/>
  <c r="I14" i="17" a="1"/>
  <c r="I14" i="17"/>
  <c r="I15" i="17" a="1"/>
  <c r="I15" i="17"/>
  <c r="I16" i="17" a="1"/>
  <c r="I16" i="17"/>
  <c r="I17" i="17" a="1"/>
  <c r="I17" i="17"/>
  <c r="I18" i="17" a="1"/>
  <c r="I18" i="17"/>
  <c r="I19" i="17" a="1"/>
  <c r="I19" i="17"/>
  <c r="I20" i="17" a="1"/>
  <c r="I20" i="17"/>
  <c r="I21" i="17" a="1"/>
  <c r="I21" i="17"/>
  <c r="I22" i="17" a="1"/>
  <c r="I22" i="17"/>
  <c r="I23" i="17" a="1"/>
  <c r="I23" i="17"/>
  <c r="I24" i="17" a="1"/>
  <c r="I24" i="17"/>
  <c r="I25" i="17" a="1"/>
  <c r="I25" i="17"/>
  <c r="I26" i="17" a="1"/>
  <c r="I26" i="17"/>
  <c r="I27" i="17" a="1"/>
  <c r="I27" i="17"/>
  <c r="I28" i="17" a="1"/>
  <c r="I28" i="17"/>
  <c r="I29" i="17" a="1"/>
  <c r="I29" i="17"/>
  <c r="I30" i="17" a="1"/>
  <c r="I30" i="17"/>
  <c r="I31" i="17" a="1"/>
  <c r="I31" i="17"/>
  <c r="I32" i="17" a="1"/>
  <c r="I32" i="17"/>
  <c r="I33" i="17" a="1"/>
  <c r="I33" i="17"/>
  <c r="I34" i="17" a="1"/>
  <c r="I34" i="17"/>
  <c r="I35" i="17" a="1"/>
  <c r="I35" i="17"/>
  <c r="I36" i="17" a="1"/>
  <c r="I36" i="17"/>
  <c r="I37" i="17" a="1"/>
  <c r="I37" i="17"/>
  <c r="I38" i="17" a="1"/>
  <c r="I38" i="17"/>
  <c r="I39" i="17" a="1"/>
  <c r="I39" i="17"/>
  <c r="I40" i="17" a="1"/>
  <c r="I40" i="17"/>
  <c r="I41" i="17" a="1"/>
  <c r="I41" i="17"/>
  <c r="I42" i="17" a="1"/>
  <c r="I42" i="17"/>
  <c r="I43" i="17" a="1"/>
  <c r="I43" i="17"/>
  <c r="I44" i="17" a="1"/>
  <c r="I44" i="17"/>
  <c r="I45" i="17" a="1"/>
  <c r="I45" i="17"/>
  <c r="I46" i="17" a="1"/>
  <c r="I46" i="17"/>
  <c r="I47" i="17" a="1"/>
  <c r="I47" i="17"/>
  <c r="I48" i="17" a="1"/>
  <c r="I48" i="17"/>
  <c r="I49" i="17" a="1"/>
  <c r="I49" i="17"/>
  <c r="I50" i="17" a="1"/>
  <c r="I50" i="17"/>
  <c r="I51" i="17" a="1"/>
  <c r="I51" i="17"/>
  <c r="I52" i="17" a="1"/>
  <c r="I52" i="17"/>
  <c r="I53" i="17" a="1"/>
  <c r="I53" i="17"/>
  <c r="I54" i="17" a="1"/>
  <c r="I54" i="17"/>
  <c r="I55" i="17" a="1"/>
  <c r="I55" i="17"/>
  <c r="I56" i="17" a="1"/>
  <c r="I56" i="17"/>
  <c r="I57" i="17" a="1"/>
  <c r="I57" i="17"/>
  <c r="I58" i="17" a="1"/>
  <c r="I58" i="17"/>
  <c r="I59" i="17" a="1"/>
  <c r="I59" i="17"/>
  <c r="I60" i="17" a="1"/>
  <c r="I60" i="17"/>
  <c r="I61" i="17" a="1"/>
  <c r="I61" i="17"/>
  <c r="I62" i="17" a="1"/>
  <c r="I62" i="17"/>
  <c r="I63" i="17" a="1"/>
  <c r="I63" i="17"/>
  <c r="I64" i="17" a="1"/>
  <c r="I64" i="17"/>
  <c r="I65" i="17" a="1"/>
  <c r="I65" i="17"/>
  <c r="I66" i="17" a="1"/>
  <c r="I66" i="17"/>
  <c r="I67" i="17" a="1"/>
  <c r="I67" i="17"/>
  <c r="I68" i="17" a="1"/>
  <c r="I68" i="17"/>
  <c r="I69" i="17" a="1"/>
  <c r="I69" i="17"/>
  <c r="I70" i="17" a="1"/>
  <c r="I70" i="17"/>
  <c r="I71" i="17" a="1"/>
  <c r="I71" i="17"/>
  <c r="I72" i="17" a="1"/>
  <c r="I72" i="17"/>
  <c r="I73" i="17" a="1"/>
  <c r="I73" i="17"/>
  <c r="I74" i="17" a="1"/>
  <c r="I74" i="17"/>
  <c r="I75" i="17" a="1"/>
  <c r="I75" i="17"/>
  <c r="I76" i="17" a="1"/>
  <c r="I76" i="17"/>
  <c r="I77" i="17" a="1"/>
  <c r="I77" i="17"/>
  <c r="I78" i="17" a="1"/>
  <c r="I78" i="17"/>
  <c r="I79" i="17" a="1"/>
  <c r="I79" i="17"/>
  <c r="I80" i="17" a="1"/>
  <c r="I80" i="17"/>
  <c r="I81" i="17" a="1"/>
  <c r="I81" i="17"/>
  <c r="I82" i="17" a="1"/>
  <c r="I82" i="17"/>
  <c r="I83" i="17" a="1"/>
  <c r="I83" i="17"/>
  <c r="I84" i="17" a="1"/>
  <c r="I84" i="17"/>
  <c r="I85" i="17" a="1"/>
  <c r="I85" i="17"/>
  <c r="I86" i="17" a="1"/>
  <c r="I86" i="17"/>
  <c r="I87" i="17" a="1"/>
  <c r="I87" i="17"/>
  <c r="I88" i="17" a="1"/>
  <c r="I88" i="17"/>
  <c r="I89" i="17" a="1"/>
  <c r="I89" i="17"/>
  <c r="I90" i="17" a="1"/>
  <c r="I90" i="17"/>
  <c r="I91" i="17" a="1"/>
  <c r="I91" i="17"/>
  <c r="I92" i="17" a="1"/>
  <c r="I92" i="17"/>
  <c r="I93" i="17" a="1"/>
  <c r="I93" i="17"/>
  <c r="I94" i="17" a="1"/>
  <c r="I94" i="17"/>
  <c r="I95" i="17" a="1"/>
  <c r="I95" i="17"/>
  <c r="I96" i="17" a="1"/>
  <c r="I96" i="17"/>
  <c r="I97" i="17" a="1"/>
  <c r="I97" i="17"/>
  <c r="I98" i="17" a="1"/>
  <c r="I98" i="17"/>
  <c r="I99" i="17" a="1"/>
  <c r="I99" i="17"/>
  <c r="I100" i="17" a="1"/>
  <c r="I100" i="17"/>
  <c r="I101" i="17" a="1"/>
  <c r="I101" i="17"/>
  <c r="I102" i="17" a="1"/>
  <c r="I102" i="17"/>
  <c r="I103" i="17" a="1"/>
  <c r="I103" i="17"/>
  <c r="I104" i="17" a="1"/>
  <c r="I104" i="17"/>
  <c r="I105" i="17" a="1"/>
  <c r="I105" i="17"/>
  <c r="I106" i="17" a="1"/>
  <c r="I106" i="17"/>
  <c r="I107" i="17" a="1"/>
  <c r="I107" i="17"/>
  <c r="I108" i="17" a="1"/>
  <c r="I108" i="17"/>
  <c r="I109" i="17" a="1"/>
  <c r="I109" i="17"/>
  <c r="I110" i="17" a="1"/>
  <c r="I110" i="17"/>
  <c r="I111" i="17" a="1"/>
  <c r="I111" i="17"/>
  <c r="I112" i="17" a="1"/>
  <c r="I112" i="17"/>
  <c r="I113" i="17" a="1"/>
  <c r="I113" i="17"/>
  <c r="I114" i="17" a="1"/>
  <c r="I114" i="17"/>
  <c r="I115" i="17" a="1"/>
  <c r="I115" i="17"/>
  <c r="I116" i="17" a="1"/>
  <c r="I116" i="17"/>
  <c r="I117" i="17" a="1"/>
  <c r="I117" i="17"/>
  <c r="I118" i="17" a="1"/>
  <c r="I118" i="17"/>
  <c r="I119" i="17" a="1"/>
  <c r="I119" i="17"/>
  <c r="I120" i="17" a="1"/>
  <c r="I120" i="17"/>
  <c r="I121" i="17" a="1"/>
  <c r="I121" i="17"/>
  <c r="I122" i="17" a="1"/>
  <c r="I122" i="17"/>
  <c r="I123" i="17" a="1"/>
  <c r="I123" i="17"/>
  <c r="I124" i="17" a="1"/>
  <c r="I124" i="17"/>
  <c r="I125" i="17" a="1"/>
  <c r="I125" i="17"/>
  <c r="I126" i="17" a="1"/>
  <c r="I126" i="17"/>
  <c r="I127" i="17" a="1"/>
  <c r="I127" i="17"/>
  <c r="I128" i="17" a="1"/>
  <c r="I128" i="17"/>
  <c r="I129" i="17" a="1"/>
  <c r="I129" i="17"/>
  <c r="I130" i="17" a="1"/>
  <c r="I130" i="17"/>
  <c r="I131" i="17" a="1"/>
  <c r="I131" i="17"/>
  <c r="I132" i="17" a="1"/>
  <c r="I132" i="17"/>
  <c r="I133" i="17" a="1"/>
  <c r="I133" i="17"/>
  <c r="I134" i="17" a="1"/>
  <c r="I134" i="17"/>
  <c r="I135" i="17" a="1"/>
  <c r="I135" i="17"/>
  <c r="I136" i="17" a="1"/>
  <c r="I136" i="17"/>
  <c r="I137" i="17" a="1"/>
  <c r="I137" i="17"/>
  <c r="I138" i="17" a="1"/>
  <c r="I138" i="17"/>
  <c r="I139" i="17" a="1"/>
  <c r="I139" i="17"/>
  <c r="I140" i="17" a="1"/>
  <c r="I140" i="17"/>
  <c r="I141" i="17" a="1"/>
  <c r="I141" i="17"/>
  <c r="I142" i="17" a="1"/>
  <c r="I142" i="17"/>
  <c r="I143" i="17" a="1"/>
  <c r="I143" i="17"/>
  <c r="I144" i="17" a="1"/>
  <c r="I144" i="17"/>
  <c r="I145" i="17" a="1"/>
  <c r="I145" i="17"/>
  <c r="I146" i="17" a="1"/>
  <c r="I146" i="17"/>
  <c r="I147" i="17" a="1"/>
  <c r="I147" i="17"/>
  <c r="I148" i="17" a="1"/>
  <c r="I148" i="17"/>
  <c r="I149" i="17" a="1"/>
  <c r="I149" i="17"/>
  <c r="I150" i="17" a="1"/>
  <c r="I150" i="17"/>
  <c r="I151" i="17" a="1"/>
  <c r="I151" i="17"/>
  <c r="I152" i="17" a="1"/>
  <c r="I152" i="17"/>
  <c r="I153" i="17" a="1"/>
  <c r="I153" i="17"/>
  <c r="I154" i="17" a="1"/>
  <c r="I154" i="17"/>
  <c r="I155" i="17" a="1"/>
  <c r="I155" i="17"/>
  <c r="I156" i="17" a="1"/>
  <c r="I156" i="17"/>
  <c r="I157" i="17" a="1"/>
  <c r="I157" i="17"/>
  <c r="I158" i="17" a="1"/>
  <c r="I158" i="17"/>
  <c r="I159" i="17" a="1"/>
  <c r="I159" i="17"/>
  <c r="I160" i="17" a="1"/>
  <c r="I160" i="17"/>
  <c r="I161" i="17" a="1"/>
  <c r="I161" i="17"/>
  <c r="I162" i="17" a="1"/>
  <c r="I162" i="17"/>
  <c r="I163" i="17" a="1"/>
  <c r="I163" i="17"/>
  <c r="I164" i="17" a="1"/>
  <c r="I164" i="17"/>
  <c r="I165" i="17" a="1"/>
  <c r="I165" i="17"/>
  <c r="I166" i="17" a="1"/>
  <c r="I166" i="17"/>
  <c r="I167" i="17" a="1"/>
  <c r="I167" i="17"/>
  <c r="I168" i="17" a="1"/>
  <c r="I168" i="17"/>
  <c r="I169" i="17" a="1"/>
  <c r="I169" i="17"/>
  <c r="I170" i="17" a="1"/>
  <c r="I170" i="17"/>
  <c r="I171" i="17" a="1"/>
  <c r="I171" i="17"/>
  <c r="I172" i="17" a="1"/>
  <c r="I172" i="17"/>
  <c r="I173" i="17" a="1"/>
  <c r="I173" i="17"/>
  <c r="I174" i="17" a="1"/>
  <c r="I174" i="17"/>
  <c r="I175" i="17" a="1"/>
  <c r="I175" i="17"/>
  <c r="I176" i="17" a="1"/>
  <c r="I176" i="17"/>
  <c r="I177" i="17" a="1"/>
  <c r="I177" i="17"/>
  <c r="I178" i="17" a="1"/>
  <c r="I178" i="17"/>
  <c r="I179" i="17" a="1"/>
  <c r="I179" i="17"/>
  <c r="I180" i="17" a="1"/>
  <c r="I180" i="17"/>
  <c r="I181" i="17" a="1"/>
  <c r="I181" i="17"/>
  <c r="I182" i="17" a="1"/>
  <c r="I182" i="17"/>
  <c r="I183" i="17" a="1"/>
  <c r="I183" i="17"/>
  <c r="I184" i="17" a="1"/>
  <c r="I184" i="17"/>
  <c r="I185" i="17" a="1"/>
  <c r="I185" i="17"/>
  <c r="I186" i="17" a="1"/>
  <c r="I186" i="17"/>
  <c r="I187" i="17" a="1"/>
  <c r="I187" i="17"/>
  <c r="I188" i="17" a="1"/>
  <c r="I188" i="17"/>
  <c r="I189" i="17" a="1"/>
  <c r="I189" i="17"/>
  <c r="I190" i="17" a="1"/>
  <c r="I190" i="17"/>
  <c r="I191" i="17" a="1"/>
  <c r="I191" i="17"/>
  <c r="I192" i="17" a="1"/>
  <c r="I192" i="17"/>
  <c r="I193" i="17" a="1"/>
  <c r="I193" i="17"/>
  <c r="I194" i="17" a="1"/>
  <c r="I194" i="17"/>
  <c r="I195" i="17" a="1"/>
  <c r="I195" i="17"/>
  <c r="I196" i="17" a="1"/>
  <c r="I196" i="17"/>
  <c r="I197" i="17" a="1"/>
  <c r="I197" i="17"/>
  <c r="I198" i="17" a="1"/>
  <c r="I198" i="17"/>
  <c r="I199" i="17" a="1"/>
  <c r="I199" i="17"/>
  <c r="I200" i="17" a="1"/>
  <c r="I200" i="17"/>
  <c r="I201" i="17" a="1"/>
  <c r="I201" i="17"/>
  <c r="I202" i="17" a="1"/>
  <c r="I202" i="17"/>
  <c r="I203" i="17" a="1"/>
  <c r="I203" i="17"/>
  <c r="I204" i="17" a="1"/>
  <c r="I204" i="17"/>
  <c r="I205" i="17" a="1"/>
  <c r="I205" i="17"/>
  <c r="I206" i="17" a="1"/>
  <c r="I206" i="17"/>
  <c r="I207" i="17" a="1"/>
  <c r="I207" i="17"/>
  <c r="I208" i="17" a="1"/>
  <c r="I208" i="17"/>
  <c r="I209" i="17" a="1"/>
  <c r="I209" i="17"/>
  <c r="I210" i="17" a="1"/>
  <c r="I210" i="17"/>
  <c r="I211" i="17" a="1"/>
  <c r="I211" i="17"/>
  <c r="I212" i="17" a="1"/>
  <c r="I212" i="17"/>
  <c r="I213" i="17" a="1"/>
  <c r="I213" i="17"/>
  <c r="I214" i="17" a="1"/>
  <c r="I214" i="17"/>
  <c r="I215" i="17" a="1"/>
  <c r="I215" i="17"/>
  <c r="I216" i="17" a="1"/>
  <c r="I216" i="17"/>
  <c r="I217" i="17" a="1"/>
  <c r="I217" i="17"/>
  <c r="I218" i="17" a="1"/>
  <c r="I218" i="17"/>
  <c r="I219" i="17" a="1"/>
  <c r="I219" i="17"/>
  <c r="I220" i="17" a="1"/>
  <c r="I220" i="17"/>
  <c r="I221" i="17" a="1"/>
  <c r="I221" i="17"/>
  <c r="I222" i="17" a="1"/>
  <c r="I222" i="17"/>
  <c r="I223" i="17" a="1"/>
  <c r="I223" i="17"/>
  <c r="I224" i="17" a="1"/>
  <c r="I224" i="17"/>
  <c r="I225" i="17" a="1"/>
  <c r="I225" i="17"/>
  <c r="I226" i="17" a="1"/>
  <c r="I226" i="17"/>
  <c r="I227" i="17" a="1"/>
  <c r="I227" i="17"/>
  <c r="I228" i="17" a="1"/>
  <c r="I228" i="17"/>
  <c r="I229" i="17" a="1"/>
  <c r="I229" i="17"/>
  <c r="I230" i="17" a="1"/>
  <c r="I230" i="17"/>
  <c r="I231" i="17" a="1"/>
  <c r="I231" i="17"/>
  <c r="I232" i="17" a="1"/>
  <c r="I232" i="17"/>
  <c r="I233" i="17" a="1"/>
  <c r="I233" i="17"/>
  <c r="I234" i="17" a="1"/>
  <c r="I234" i="17"/>
  <c r="I235" i="17" a="1"/>
  <c r="I235" i="17"/>
  <c r="I236" i="17" a="1"/>
  <c r="I236" i="17"/>
  <c r="I237" i="17" a="1"/>
  <c r="I237" i="17"/>
  <c r="I238" i="17" a="1"/>
  <c r="I238" i="17"/>
  <c r="I239" i="17" a="1"/>
  <c r="I239" i="17"/>
  <c r="I240" i="17" a="1"/>
  <c r="I240" i="17"/>
  <c r="I241" i="17" a="1"/>
  <c r="I241" i="17"/>
  <c r="I242" i="17" a="1"/>
  <c r="I242" i="17"/>
  <c r="I243" i="17" a="1"/>
  <c r="I243" i="17"/>
  <c r="I244" i="17" a="1"/>
  <c r="I244" i="17"/>
  <c r="I245" i="17" a="1"/>
  <c r="I245" i="17"/>
  <c r="I246" i="17" a="1"/>
  <c r="I246" i="17"/>
  <c r="I247" i="17" a="1"/>
  <c r="I247" i="17"/>
  <c r="I248" i="17" a="1"/>
  <c r="I248" i="17"/>
  <c r="I249" i="17" a="1"/>
  <c r="I249" i="17"/>
  <c r="I250" i="17" a="1"/>
  <c r="I250" i="17"/>
  <c r="I251" i="17" a="1"/>
  <c r="I251" i="17"/>
  <c r="I252" i="17" a="1"/>
  <c r="I252" i="17"/>
  <c r="I253" i="17" a="1"/>
  <c r="I253" i="17"/>
  <c r="I254" i="17" a="1"/>
  <c r="I254" i="17"/>
  <c r="I255" i="17" a="1"/>
  <c r="I255" i="17"/>
  <c r="I256" i="17" a="1"/>
  <c r="I256" i="17"/>
  <c r="I257" i="17" a="1"/>
  <c r="I257" i="17"/>
  <c r="I258" i="17" a="1"/>
  <c r="I258" i="17"/>
  <c r="I259" i="17" a="1"/>
  <c r="I259" i="17"/>
  <c r="I260" i="17" a="1"/>
  <c r="I260" i="17"/>
  <c r="I261" i="17" a="1"/>
  <c r="I261" i="17"/>
  <c r="I262" i="17" a="1"/>
  <c r="I262" i="17"/>
  <c r="I263" i="17" a="1"/>
  <c r="I263" i="17"/>
  <c r="I264" i="17" a="1"/>
  <c r="I264" i="17"/>
  <c r="I265" i="17" a="1"/>
  <c r="I265" i="17"/>
  <c r="I266" i="17" a="1"/>
  <c r="I266" i="17"/>
  <c r="I267" i="17" a="1"/>
  <c r="I267" i="17"/>
  <c r="I268" i="17" a="1"/>
  <c r="I268" i="17"/>
  <c r="I269" i="17" a="1"/>
  <c r="I269" i="17"/>
  <c r="I270" i="17" a="1"/>
  <c r="I270" i="17"/>
  <c r="I271" i="17" a="1"/>
  <c r="I271" i="17"/>
  <c r="I272" i="17" a="1"/>
  <c r="I272" i="17"/>
  <c r="I273" i="17" a="1"/>
  <c r="I273" i="17"/>
  <c r="I274" i="17" a="1"/>
  <c r="I274" i="17"/>
  <c r="I275" i="17" a="1"/>
  <c r="I275" i="17"/>
  <c r="I276" i="17" a="1"/>
  <c r="I276" i="17"/>
  <c r="I277" i="17" a="1"/>
  <c r="I277" i="17"/>
  <c r="I278" i="17" a="1"/>
  <c r="I278" i="17"/>
  <c r="I279" i="17" a="1"/>
  <c r="I279" i="17"/>
  <c r="I280" i="17" a="1"/>
  <c r="I280" i="17"/>
  <c r="I281" i="17" a="1"/>
  <c r="I281" i="17"/>
  <c r="I282" i="17" a="1"/>
  <c r="I282" i="17"/>
  <c r="I283" i="17" a="1"/>
  <c r="I283" i="17"/>
  <c r="I284" i="17" a="1"/>
  <c r="I284" i="17"/>
  <c r="I285" i="17" a="1"/>
  <c r="I285" i="17"/>
  <c r="I286" i="17" a="1"/>
  <c r="I286" i="17"/>
  <c r="I287" i="17" a="1"/>
  <c r="I287" i="17"/>
  <c r="I288" i="17" a="1"/>
  <c r="I288" i="17"/>
  <c r="I289" i="17" a="1"/>
  <c r="I289" i="17"/>
  <c r="I290" i="17" a="1"/>
  <c r="I290" i="17"/>
  <c r="I291" i="17" a="1"/>
  <c r="I291" i="17"/>
  <c r="I292" i="17" a="1"/>
  <c r="I292" i="17"/>
  <c r="I293" i="17" a="1"/>
  <c r="I293" i="17"/>
  <c r="I294" i="17" a="1"/>
  <c r="I294" i="17"/>
  <c r="I295" i="17" a="1"/>
  <c r="I295" i="17"/>
  <c r="I296" i="17" a="1"/>
  <c r="I296" i="17"/>
  <c r="I297" i="17" a="1"/>
  <c r="I297" i="17"/>
  <c r="I298" i="17" a="1"/>
  <c r="I298" i="17"/>
  <c r="I299" i="17" a="1"/>
  <c r="I299" i="17"/>
  <c r="I300" i="17" a="1"/>
  <c r="I300" i="17"/>
  <c r="I301" i="17" a="1"/>
  <c r="I301" i="17"/>
  <c r="I302" i="17" a="1"/>
  <c r="I302" i="17"/>
  <c r="I303" i="17" a="1"/>
  <c r="I303" i="17"/>
  <c r="I304" i="17" a="1"/>
  <c r="I304" i="17"/>
  <c r="I305" i="17" a="1"/>
  <c r="I305" i="17"/>
  <c r="I306" i="17" a="1"/>
  <c r="I306" i="17"/>
  <c r="I307" i="17" a="1"/>
  <c r="I307" i="17"/>
  <c r="I308" i="17" a="1"/>
  <c r="I308" i="17"/>
  <c r="I309" i="17" a="1"/>
  <c r="I309" i="17"/>
  <c r="I310" i="17" a="1"/>
  <c r="I310" i="17"/>
  <c r="I311" i="17" a="1"/>
  <c r="I311" i="17"/>
  <c r="I312" i="17" a="1"/>
  <c r="I312" i="17"/>
  <c r="I313" i="17" a="1"/>
  <c r="I313" i="17"/>
  <c r="I314" i="17" a="1"/>
  <c r="I314" i="17"/>
  <c r="I315" i="17" a="1"/>
  <c r="I315" i="17"/>
  <c r="I316" i="17" a="1"/>
  <c r="I316" i="17"/>
  <c r="I317" i="17" a="1"/>
  <c r="I317" i="17"/>
  <c r="I318" i="17" a="1"/>
  <c r="I318" i="17"/>
  <c r="I319" i="17" a="1"/>
  <c r="I319" i="17"/>
  <c r="I320" i="17" a="1"/>
  <c r="I320" i="17"/>
  <c r="I321" i="17" a="1"/>
  <c r="I321" i="17"/>
  <c r="I322" i="17" a="1"/>
  <c r="I322" i="17"/>
  <c r="I323" i="17" a="1"/>
  <c r="I323" i="17"/>
  <c r="I324" i="17" a="1"/>
  <c r="I324" i="17"/>
  <c r="I325" i="17" a="1"/>
  <c r="I325" i="17"/>
  <c r="I326" i="17" a="1"/>
  <c r="I326" i="17"/>
  <c r="I327" i="17" a="1"/>
  <c r="I327" i="17"/>
  <c r="I328" i="17" a="1"/>
  <c r="I328" i="17"/>
  <c r="I329" i="17" a="1"/>
  <c r="I329" i="17"/>
  <c r="I330" i="17" a="1"/>
  <c r="I330" i="17"/>
  <c r="I331" i="17" a="1"/>
  <c r="I331" i="17"/>
  <c r="I332" i="17" a="1"/>
  <c r="I332" i="17"/>
  <c r="I333" i="17" a="1"/>
  <c r="I333" i="17"/>
  <c r="I334" i="17" a="1"/>
  <c r="I334" i="17"/>
  <c r="I335" i="17" a="1"/>
  <c r="I335" i="17"/>
  <c r="I336" i="17" a="1"/>
  <c r="I336" i="17"/>
  <c r="I337" i="17" a="1"/>
  <c r="I337" i="17"/>
  <c r="I338" i="17" a="1"/>
  <c r="I338" i="17"/>
  <c r="I339" i="17" a="1"/>
  <c r="I339" i="17"/>
  <c r="I340" i="17" a="1"/>
  <c r="I340" i="17"/>
  <c r="I341" i="17" a="1"/>
  <c r="I341" i="17"/>
  <c r="I342" i="17" a="1"/>
  <c r="I342" i="17"/>
  <c r="I343" i="17" a="1"/>
  <c r="I343" i="17"/>
  <c r="I344" i="17" a="1"/>
  <c r="I344" i="17"/>
  <c r="I345" i="17" a="1"/>
  <c r="I345" i="17"/>
  <c r="I346" i="17" a="1"/>
  <c r="I346" i="17"/>
  <c r="I347" i="17" a="1"/>
  <c r="I347" i="17"/>
  <c r="I348" i="17" a="1"/>
  <c r="I348" i="17"/>
  <c r="I349" i="17" a="1"/>
  <c r="I349" i="17"/>
  <c r="I350" i="17" a="1"/>
  <c r="I350" i="17"/>
  <c r="I351" i="17" a="1"/>
  <c r="I351" i="17"/>
  <c r="I352" i="17" a="1"/>
  <c r="I352" i="17"/>
  <c r="I353" i="17" a="1"/>
  <c r="I353" i="17"/>
  <c r="I354" i="17" a="1"/>
  <c r="I354" i="17"/>
  <c r="I355" i="17" a="1"/>
  <c r="I355" i="17"/>
  <c r="I356" i="17" a="1"/>
  <c r="I356" i="17"/>
  <c r="I357" i="17" a="1"/>
  <c r="I357" i="17"/>
  <c r="I358" i="17" a="1"/>
  <c r="I358" i="17"/>
  <c r="I359" i="17" a="1"/>
  <c r="I359" i="17"/>
  <c r="I360" i="17" a="1"/>
  <c r="I360" i="17"/>
  <c r="I361" i="17" a="1"/>
  <c r="I361" i="17"/>
  <c r="I362" i="17" a="1"/>
  <c r="I362" i="17"/>
  <c r="I363" i="17" a="1"/>
  <c r="I363" i="17"/>
  <c r="I364" i="17" a="1"/>
  <c r="I364" i="17"/>
  <c r="I365" i="17" a="1"/>
  <c r="I365" i="17"/>
  <c r="I366" i="17" a="1"/>
  <c r="I366" i="17"/>
  <c r="I367" i="17" a="1"/>
  <c r="I367" i="17"/>
  <c r="I368" i="17" a="1"/>
  <c r="I368" i="17"/>
  <c r="I369" i="17" a="1"/>
  <c r="I369" i="17"/>
  <c r="I370" i="17" a="1"/>
  <c r="I370" i="17"/>
  <c r="I371" i="17" a="1"/>
  <c r="I371" i="17"/>
  <c r="I372" i="17" a="1"/>
  <c r="I372" i="17"/>
  <c r="I373" i="17" a="1"/>
  <c r="I373" i="17"/>
  <c r="I374" i="17" a="1"/>
  <c r="I374" i="17"/>
  <c r="I375" i="17" a="1"/>
  <c r="I375" i="17"/>
  <c r="I376" i="17" a="1"/>
  <c r="I376" i="17"/>
  <c r="I377" i="17" a="1"/>
  <c r="I377" i="17"/>
  <c r="I378" i="17" a="1"/>
  <c r="I378" i="17"/>
  <c r="I379" i="17" a="1"/>
  <c r="I379" i="17"/>
  <c r="I380" i="17" a="1"/>
  <c r="I380" i="17"/>
  <c r="I381" i="17" a="1"/>
  <c r="I381" i="17"/>
  <c r="I382" i="17" a="1"/>
  <c r="I382" i="17"/>
  <c r="I383" i="17" a="1"/>
  <c r="I383" i="17"/>
  <c r="I384" i="17" a="1"/>
  <c r="I384" i="17"/>
  <c r="I385" i="17" a="1"/>
  <c r="I385" i="17"/>
  <c r="I386" i="17" a="1"/>
  <c r="I386" i="17"/>
  <c r="I387" i="17" a="1"/>
  <c r="I387" i="17"/>
  <c r="I388" i="17" a="1"/>
  <c r="I388" i="17"/>
  <c r="I389" i="17" a="1"/>
  <c r="I389" i="17"/>
  <c r="I390" i="17" a="1"/>
  <c r="I390" i="17"/>
  <c r="I391" i="17" a="1"/>
  <c r="I391" i="17"/>
  <c r="I392" i="17" a="1"/>
  <c r="I392" i="17"/>
  <c r="I393" i="17" a="1"/>
  <c r="I393" i="17"/>
  <c r="I394" i="17" a="1"/>
  <c r="I394" i="17"/>
  <c r="I395" i="17" a="1"/>
  <c r="I395" i="17"/>
  <c r="I396" i="17" a="1"/>
  <c r="I396" i="17"/>
  <c r="I397" i="17" a="1"/>
  <c r="I397" i="17"/>
  <c r="I398" i="17" a="1"/>
  <c r="I398" i="17"/>
  <c r="I399" i="17" a="1"/>
  <c r="I399" i="17"/>
  <c r="I400" i="17" a="1"/>
  <c r="I400" i="17"/>
  <c r="I401" i="17" a="1"/>
  <c r="I401" i="17"/>
  <c r="I402" i="17" a="1"/>
  <c r="I402" i="17"/>
  <c r="I403" i="17" a="1"/>
  <c r="I403" i="17"/>
  <c r="I404" i="17" a="1"/>
  <c r="I404" i="17"/>
  <c r="I405" i="17" a="1"/>
  <c r="I405" i="17"/>
  <c r="I406" i="17" a="1"/>
  <c r="I406" i="17"/>
  <c r="I407" i="17" a="1"/>
  <c r="I407" i="17"/>
  <c r="I408" i="17" a="1"/>
  <c r="I408" i="17"/>
  <c r="I409" i="17" a="1"/>
  <c r="I409" i="17"/>
  <c r="I410" i="17" a="1"/>
  <c r="I410" i="17"/>
  <c r="I411" i="17" a="1"/>
  <c r="I411" i="17"/>
  <c r="I412" i="17" a="1"/>
  <c r="I412" i="17"/>
  <c r="I413" i="17" a="1"/>
  <c r="I413" i="17"/>
  <c r="I414" i="17" a="1"/>
  <c r="I414" i="17"/>
  <c r="I415" i="17" a="1"/>
  <c r="I415" i="17"/>
  <c r="I416" i="17" a="1"/>
  <c r="I416" i="17"/>
  <c r="I417" i="17" a="1"/>
  <c r="I417" i="17"/>
  <c r="I418" i="17" a="1"/>
  <c r="I418" i="17"/>
  <c r="I419" i="17" a="1"/>
  <c r="I419" i="17"/>
  <c r="I420" i="17" a="1"/>
  <c r="I420" i="17"/>
  <c r="I421" i="17" a="1"/>
  <c r="I421" i="17"/>
  <c r="I422" i="17" a="1"/>
  <c r="I422" i="17"/>
  <c r="I423" i="17" a="1"/>
  <c r="I423" i="17"/>
  <c r="I424" i="17" a="1"/>
  <c r="I424" i="17"/>
  <c r="I425" i="17" a="1"/>
  <c r="I425" i="17"/>
  <c r="I426" i="17" a="1"/>
  <c r="I426" i="17"/>
  <c r="I427" i="17" a="1"/>
  <c r="I427" i="17"/>
  <c r="I428" i="17" a="1"/>
  <c r="I428" i="17"/>
  <c r="I429" i="17" a="1"/>
  <c r="I429" i="17"/>
  <c r="I430" i="17" a="1"/>
  <c r="I430" i="17"/>
  <c r="I431" i="17" a="1"/>
  <c r="I431" i="17"/>
  <c r="I432" i="17" a="1"/>
  <c r="I432" i="17"/>
  <c r="I433" i="17" a="1"/>
  <c r="I433" i="17"/>
  <c r="I434" i="17" a="1"/>
  <c r="I434" i="17"/>
  <c r="I435" i="17" a="1"/>
  <c r="I435" i="17"/>
  <c r="I436" i="17" a="1"/>
  <c r="I436" i="17"/>
  <c r="I437" i="17" a="1"/>
  <c r="I437" i="17"/>
  <c r="I438" i="17" a="1"/>
  <c r="I438" i="17"/>
  <c r="I439" i="17" a="1"/>
  <c r="I439" i="17"/>
  <c r="I440" i="17" a="1"/>
  <c r="I440" i="17"/>
  <c r="I441" i="17" a="1"/>
  <c r="I441" i="17"/>
  <c r="I442" i="17" a="1"/>
  <c r="I442" i="17"/>
  <c r="I443" i="17" a="1"/>
  <c r="I443" i="17"/>
  <c r="I444" i="17" a="1"/>
  <c r="I444" i="17"/>
  <c r="I445" i="17" a="1"/>
  <c r="I445" i="17"/>
  <c r="I446" i="17" a="1"/>
  <c r="I446" i="17"/>
  <c r="I447" i="17" a="1"/>
  <c r="I447" i="17"/>
  <c r="I448" i="17" a="1"/>
  <c r="I448" i="17"/>
  <c r="I449" i="17" a="1"/>
  <c r="I449" i="17"/>
  <c r="I450" i="17" a="1"/>
  <c r="I450" i="17"/>
  <c r="I451" i="17" a="1"/>
  <c r="I451" i="17"/>
  <c r="I452" i="17" a="1"/>
  <c r="I452" i="17"/>
  <c r="I453" i="17" a="1"/>
  <c r="I453" i="17"/>
  <c r="I454" i="17" a="1"/>
  <c r="I454" i="17"/>
  <c r="I455" i="17" a="1"/>
  <c r="I455" i="17"/>
  <c r="I456" i="17" a="1"/>
  <c r="I456" i="17"/>
  <c r="I457" i="17" a="1"/>
  <c r="I457" i="17"/>
  <c r="I458" i="17" a="1"/>
  <c r="I458" i="17"/>
  <c r="I459" i="17" a="1"/>
  <c r="I459" i="17"/>
  <c r="I460" i="17" a="1"/>
  <c r="I460" i="17"/>
  <c r="I461" i="17" a="1"/>
  <c r="I461" i="17"/>
  <c r="I462" i="17" a="1"/>
  <c r="I462" i="17"/>
  <c r="I463" i="17" a="1"/>
  <c r="I463" i="17"/>
  <c r="I464" i="17" a="1"/>
  <c r="I464" i="17"/>
  <c r="I465" i="17" a="1"/>
  <c r="I465" i="17"/>
  <c r="I466" i="17" a="1"/>
  <c r="I466" i="17"/>
  <c r="I467" i="17" a="1"/>
  <c r="I467" i="17"/>
  <c r="I468" i="17" a="1"/>
  <c r="I468" i="17"/>
  <c r="I469" i="17" a="1"/>
  <c r="I469" i="17"/>
  <c r="I470" i="17" a="1"/>
  <c r="I470" i="17"/>
  <c r="I471" i="17" a="1"/>
  <c r="I471" i="17"/>
  <c r="I472" i="17" a="1"/>
  <c r="I472" i="17"/>
  <c r="I473" i="17" a="1"/>
  <c r="I473" i="17"/>
  <c r="I474" i="17" a="1"/>
  <c r="I474" i="17"/>
  <c r="I475" i="17" a="1"/>
  <c r="I475" i="17"/>
  <c r="I476" i="17" a="1"/>
  <c r="I476" i="17"/>
  <c r="I477" i="17" a="1"/>
  <c r="I477" i="17"/>
  <c r="I478" i="17" a="1"/>
  <c r="I478" i="17"/>
  <c r="I479" i="17" a="1"/>
  <c r="I479" i="17"/>
  <c r="I480" i="17" a="1"/>
  <c r="I480" i="17"/>
  <c r="I481" i="17" a="1"/>
  <c r="I481" i="17"/>
  <c r="I482" i="17" a="1"/>
  <c r="I482" i="17"/>
  <c r="I483" i="17" a="1"/>
  <c r="I483" i="17"/>
  <c r="I484" i="17" a="1"/>
  <c r="I484" i="17"/>
  <c r="I485" i="17" a="1"/>
  <c r="I485" i="17"/>
  <c r="I486" i="17" a="1"/>
  <c r="I486" i="17"/>
  <c r="I487" i="17" a="1"/>
  <c r="I487" i="17"/>
  <c r="I488" i="17" a="1"/>
  <c r="I488" i="17"/>
  <c r="I489" i="17" a="1"/>
  <c r="I489" i="17"/>
  <c r="I490" i="17" a="1"/>
  <c r="I490" i="17"/>
  <c r="I491" i="17" a="1"/>
  <c r="I491" i="17"/>
  <c r="I492" i="17" a="1"/>
  <c r="I492" i="17"/>
  <c r="I493" i="17" a="1"/>
  <c r="I493" i="17"/>
  <c r="I494" i="17" a="1"/>
  <c r="I494" i="17"/>
  <c r="I495" i="17" a="1"/>
  <c r="I495" i="17"/>
  <c r="I496" i="17" a="1"/>
  <c r="I496" i="17"/>
  <c r="I497" i="17" a="1"/>
  <c r="I497" i="17"/>
  <c r="I498" i="17" a="1"/>
  <c r="I498" i="17"/>
  <c r="I499" i="17" a="1"/>
  <c r="I499" i="17"/>
  <c r="I500" i="17" a="1"/>
  <c r="I500" i="17"/>
  <c r="I501" i="17" a="1"/>
  <c r="I501" i="17"/>
  <c r="I502" i="17" a="1"/>
  <c r="I502" i="17"/>
  <c r="I503" i="17" a="1"/>
  <c r="I503" i="17"/>
  <c r="I504" i="17" a="1"/>
  <c r="I504" i="17"/>
  <c r="I505" i="17" a="1"/>
  <c r="I505" i="17"/>
  <c r="I506" i="17" a="1"/>
  <c r="I506" i="17"/>
  <c r="I507" i="17" a="1"/>
  <c r="I507" i="17"/>
  <c r="I508" i="17" a="1"/>
  <c r="I508" i="17"/>
  <c r="I509" i="17" a="1"/>
  <c r="I509" i="17"/>
  <c r="I510" i="17" a="1"/>
  <c r="I510" i="17"/>
  <c r="I511" i="17" a="1"/>
  <c r="I511" i="17"/>
  <c r="I512" i="17" a="1"/>
  <c r="I512" i="17"/>
  <c r="I513" i="17" a="1"/>
  <c r="I513" i="17"/>
  <c r="I514" i="17" a="1"/>
  <c r="I514" i="17"/>
  <c r="I515" i="17" a="1"/>
  <c r="I515" i="17"/>
  <c r="I516" i="17" a="1"/>
  <c r="I516" i="17"/>
  <c r="I517" i="17" a="1"/>
  <c r="I517" i="17"/>
  <c r="I518" i="17" a="1"/>
  <c r="I518" i="17"/>
  <c r="I519" i="17" a="1"/>
  <c r="I519" i="17"/>
  <c r="I520" i="17" a="1"/>
  <c r="I520" i="17"/>
  <c r="I521" i="17" a="1"/>
  <c r="I521" i="17"/>
  <c r="I522" i="17" a="1"/>
  <c r="I522" i="17"/>
  <c r="I523" i="17" a="1"/>
  <c r="I523" i="17"/>
  <c r="I524" i="17" a="1"/>
  <c r="I524" i="17"/>
  <c r="I525" i="17" a="1"/>
  <c r="I525" i="17"/>
  <c r="I526" i="17" a="1"/>
  <c r="I526" i="17"/>
  <c r="I527" i="17" a="1"/>
  <c r="I527" i="17"/>
  <c r="I528" i="17" a="1"/>
  <c r="I528" i="17"/>
  <c r="I529" i="17" a="1"/>
  <c r="I529" i="17"/>
  <c r="I530" i="17" a="1"/>
  <c r="I530" i="17"/>
  <c r="I531" i="17" a="1"/>
  <c r="I531" i="17"/>
  <c r="I532" i="17" a="1"/>
  <c r="I532" i="17"/>
  <c r="I533" i="17" a="1"/>
  <c r="I533" i="17"/>
  <c r="I534" i="17" a="1"/>
  <c r="I534" i="17"/>
  <c r="I535" i="17" a="1"/>
  <c r="I535" i="17"/>
  <c r="I536" i="17" a="1"/>
  <c r="I536" i="17"/>
  <c r="I537" i="17" a="1"/>
  <c r="I537" i="17"/>
  <c r="I538" i="17" a="1"/>
  <c r="I538" i="17"/>
  <c r="I539" i="17" a="1"/>
  <c r="I539" i="17"/>
  <c r="I540" i="17" a="1"/>
  <c r="I540" i="17"/>
  <c r="I541" i="17" a="1"/>
  <c r="I541" i="17"/>
  <c r="I542" i="17" a="1"/>
  <c r="I542" i="17"/>
  <c r="I543" i="17" a="1"/>
  <c r="I543" i="17"/>
  <c r="I544" i="17" a="1"/>
  <c r="I544" i="17"/>
  <c r="I545" i="17" a="1"/>
  <c r="I545" i="17"/>
  <c r="I546" i="17" a="1"/>
  <c r="I546" i="17"/>
  <c r="I547" i="17" a="1"/>
  <c r="I547" i="17"/>
  <c r="I548" i="17" a="1"/>
  <c r="I548" i="17"/>
  <c r="I549" i="17" a="1"/>
  <c r="I549" i="17"/>
  <c r="I550" i="17" a="1"/>
  <c r="I550" i="17"/>
  <c r="I551" i="17" a="1"/>
  <c r="I551" i="17"/>
  <c r="I552" i="17" a="1"/>
  <c r="I552" i="17"/>
  <c r="I553" i="17" a="1"/>
  <c r="I553" i="17"/>
  <c r="I554" i="17" a="1"/>
  <c r="I554" i="17"/>
  <c r="I555" i="17" a="1"/>
  <c r="I555" i="17"/>
  <c r="I556" i="17" a="1"/>
  <c r="I556" i="17"/>
  <c r="I557" i="17" a="1"/>
  <c r="I557" i="17"/>
  <c r="I558" i="17" a="1"/>
  <c r="I558" i="17"/>
  <c r="I559" i="17" a="1"/>
  <c r="I559" i="17"/>
  <c r="I560" i="17" a="1"/>
  <c r="I560" i="17"/>
  <c r="I561" i="17" a="1"/>
  <c r="I561" i="17"/>
  <c r="I562" i="17" a="1"/>
  <c r="I562" i="17"/>
  <c r="I563" i="17" a="1"/>
  <c r="I563" i="17"/>
  <c r="I564" i="17" a="1"/>
  <c r="I564" i="17"/>
  <c r="I565" i="17" a="1"/>
  <c r="I565" i="17"/>
  <c r="I566" i="17" a="1"/>
  <c r="I566" i="17"/>
  <c r="I567" i="17" a="1"/>
  <c r="I567" i="17"/>
  <c r="I568" i="17" a="1"/>
  <c r="I568" i="17"/>
  <c r="I569" i="17" a="1"/>
  <c r="I569" i="17"/>
  <c r="I570" i="17" a="1"/>
  <c r="I570" i="17"/>
  <c r="I571" i="17" a="1"/>
  <c r="I571" i="17"/>
  <c r="I572" i="17" a="1"/>
  <c r="I572" i="17"/>
  <c r="I573" i="17" a="1"/>
  <c r="I573" i="17"/>
  <c r="I574" i="17" a="1"/>
  <c r="I574" i="17"/>
  <c r="I575" i="17" a="1"/>
  <c r="I575" i="17"/>
  <c r="I576" i="17" a="1"/>
  <c r="I576" i="17"/>
  <c r="I577" i="17" a="1"/>
  <c r="I577" i="17"/>
  <c r="I578" i="17" a="1"/>
  <c r="I578" i="17"/>
  <c r="I579" i="17" a="1"/>
  <c r="I579" i="17"/>
  <c r="I580" i="17" a="1"/>
  <c r="I580" i="17"/>
  <c r="I581" i="17" a="1"/>
  <c r="I581" i="17"/>
  <c r="I582" i="17" a="1"/>
  <c r="I582" i="17"/>
  <c r="I583" i="17" a="1"/>
  <c r="I583" i="17"/>
  <c r="I584" i="17" a="1"/>
  <c r="I584" i="17"/>
  <c r="I585" i="17" a="1"/>
  <c r="I585" i="17"/>
  <c r="I586" i="17" a="1"/>
  <c r="I586" i="17"/>
  <c r="I587" i="17" a="1"/>
  <c r="I587" i="17"/>
  <c r="I588" i="17" a="1"/>
  <c r="I588" i="17"/>
  <c r="I589" i="17" a="1"/>
  <c r="I589" i="17"/>
  <c r="I590" i="17" a="1"/>
  <c r="I590" i="17"/>
  <c r="I591" i="17" a="1"/>
  <c r="I591" i="17"/>
  <c r="I592" i="17" a="1"/>
  <c r="I592" i="17"/>
  <c r="I593" i="17" a="1"/>
  <c r="I593" i="17"/>
  <c r="I594" i="17" a="1"/>
  <c r="I594" i="17"/>
  <c r="I595" i="17" a="1"/>
  <c r="I595" i="17"/>
  <c r="I596" i="17" a="1"/>
  <c r="I596" i="17"/>
  <c r="I597" i="17" a="1"/>
  <c r="I597" i="17"/>
  <c r="I598" i="17" a="1"/>
  <c r="I598" i="17"/>
  <c r="I599" i="17" a="1"/>
  <c r="I599" i="17"/>
  <c r="I600" i="17" a="1"/>
  <c r="I600" i="17"/>
  <c r="I601" i="17" a="1"/>
  <c r="I601" i="17"/>
  <c r="I602" i="17" a="1"/>
  <c r="I602" i="17"/>
  <c r="I603" i="17" a="1"/>
  <c r="I603" i="17"/>
  <c r="I604" i="17" a="1"/>
  <c r="I604" i="17"/>
  <c r="I605" i="17" a="1"/>
  <c r="I605" i="17"/>
  <c r="I606" i="17" a="1"/>
  <c r="I606" i="17"/>
  <c r="I607" i="17" a="1"/>
  <c r="I607" i="17"/>
  <c r="I608" i="17" a="1"/>
  <c r="I608" i="17"/>
  <c r="I609" i="17" a="1"/>
  <c r="I609" i="17"/>
  <c r="I610" i="17" a="1"/>
  <c r="I610" i="17"/>
  <c r="I611" i="17" a="1"/>
  <c r="I611" i="17"/>
  <c r="I612" i="17" a="1"/>
  <c r="I612" i="17"/>
  <c r="I613" i="17" a="1"/>
  <c r="I613" i="17"/>
  <c r="I614" i="17" a="1"/>
  <c r="I614" i="17"/>
  <c r="I615" i="17" a="1"/>
  <c r="I615" i="17"/>
  <c r="I616" i="17" a="1"/>
  <c r="I616" i="17"/>
  <c r="I617" i="17" a="1"/>
  <c r="I617" i="17"/>
  <c r="I618" i="17" a="1"/>
  <c r="I618" i="17"/>
  <c r="I619" i="17" a="1"/>
  <c r="I619" i="17"/>
  <c r="I620" i="17" a="1"/>
  <c r="I620" i="17"/>
  <c r="I621" i="17" a="1"/>
  <c r="I621" i="17"/>
  <c r="I622" i="17" a="1"/>
  <c r="I622" i="17"/>
  <c r="I623" i="17" a="1"/>
  <c r="I623" i="17"/>
  <c r="I624" i="17" a="1"/>
  <c r="I624" i="17"/>
  <c r="I625" i="17" a="1"/>
  <c r="I625" i="17"/>
  <c r="I626" i="17" a="1"/>
  <c r="I626" i="17"/>
  <c r="I627" i="17" a="1"/>
  <c r="I627" i="17"/>
  <c r="I628" i="17" a="1"/>
  <c r="I628" i="17"/>
  <c r="I629" i="17" a="1"/>
  <c r="I629" i="17"/>
  <c r="I630" i="17" a="1"/>
  <c r="I630" i="17"/>
  <c r="I631" i="17" a="1"/>
  <c r="I631" i="17"/>
  <c r="I632" i="17" a="1"/>
  <c r="I632" i="17"/>
  <c r="I633" i="17" a="1"/>
  <c r="I633" i="17"/>
  <c r="I634" i="17" a="1"/>
  <c r="I634" i="17"/>
  <c r="I635" i="17" a="1"/>
  <c r="I635" i="17"/>
  <c r="I636" i="17" a="1"/>
  <c r="I636" i="17"/>
  <c r="I637" i="17" a="1"/>
  <c r="I637" i="17"/>
  <c r="I638" i="17" a="1"/>
  <c r="I638" i="17"/>
  <c r="I639" i="17" a="1"/>
  <c r="I639" i="17"/>
  <c r="I640" i="17" a="1"/>
  <c r="I640" i="17"/>
  <c r="I641" i="17" a="1"/>
  <c r="I641" i="17"/>
  <c r="I642" i="17" a="1"/>
  <c r="I642" i="17"/>
  <c r="I643" i="17" a="1"/>
  <c r="I643" i="17"/>
  <c r="I644" i="17" a="1"/>
  <c r="I644" i="17"/>
  <c r="I645" i="17" a="1"/>
  <c r="I645" i="17"/>
  <c r="I646" i="17" a="1"/>
  <c r="I646" i="17"/>
  <c r="I647" i="17" a="1"/>
  <c r="I647" i="17"/>
  <c r="I648" i="17" a="1"/>
  <c r="I648" i="17"/>
  <c r="I649" i="17" a="1"/>
  <c r="I649" i="17"/>
  <c r="I650" i="17" a="1"/>
  <c r="I650" i="17"/>
  <c r="I651" i="17" a="1"/>
  <c r="I651" i="17"/>
  <c r="I652" i="17" a="1"/>
  <c r="I652" i="17"/>
  <c r="I653" i="17" a="1"/>
  <c r="I653" i="17"/>
  <c r="I654" i="17" a="1"/>
  <c r="I654" i="17"/>
  <c r="I655" i="17" a="1"/>
  <c r="I655" i="17"/>
  <c r="I656" i="17" a="1"/>
  <c r="I656" i="17"/>
  <c r="I657" i="17" a="1"/>
  <c r="I657" i="17"/>
  <c r="I658" i="17" a="1"/>
  <c r="I658" i="17"/>
  <c r="I659" i="17" a="1"/>
  <c r="I659" i="17"/>
  <c r="I660" i="17" a="1"/>
  <c r="I660" i="17"/>
  <c r="I661" i="17" a="1"/>
  <c r="I661" i="17"/>
  <c r="I662" i="17" a="1"/>
  <c r="I662" i="17"/>
  <c r="I663" i="17" a="1"/>
  <c r="I663" i="17"/>
  <c r="I664" i="17" a="1"/>
  <c r="I664" i="17"/>
  <c r="I665" i="17" a="1"/>
  <c r="I665" i="17"/>
  <c r="I666" i="17" a="1"/>
  <c r="I666" i="17"/>
  <c r="I667" i="17" a="1"/>
  <c r="I667" i="17"/>
  <c r="I668" i="17" a="1"/>
  <c r="I668" i="17"/>
  <c r="I669" i="17" a="1"/>
  <c r="I669" i="17"/>
  <c r="I670" i="17" a="1"/>
  <c r="I670" i="17"/>
  <c r="I671" i="17" a="1"/>
  <c r="I671" i="17"/>
  <c r="I672" i="17" a="1"/>
  <c r="I672" i="17"/>
  <c r="I673" i="17" a="1"/>
  <c r="I673" i="17"/>
  <c r="I674" i="17" a="1"/>
  <c r="I674" i="17"/>
  <c r="I675" i="17" a="1"/>
  <c r="I675" i="17"/>
  <c r="I676" i="17" a="1"/>
  <c r="I676" i="17"/>
  <c r="I677" i="17" a="1"/>
  <c r="I677" i="17"/>
  <c r="I678" i="17" a="1"/>
  <c r="I678" i="17"/>
  <c r="I679" i="17" a="1"/>
  <c r="I679" i="17"/>
  <c r="I680" i="17" a="1"/>
  <c r="I680" i="17"/>
  <c r="I681" i="17" a="1"/>
  <c r="I681" i="17"/>
  <c r="I682" i="17" a="1"/>
  <c r="I682" i="17"/>
  <c r="I683" i="17" a="1"/>
  <c r="I683" i="17"/>
  <c r="I684" i="17" a="1"/>
  <c r="I684" i="17"/>
  <c r="I685" i="17" a="1"/>
  <c r="I685" i="17"/>
  <c r="I686" i="17" a="1"/>
  <c r="I686" i="17"/>
  <c r="I687" i="17" a="1"/>
  <c r="I687" i="17"/>
  <c r="I688" i="17" a="1"/>
  <c r="I688" i="17"/>
  <c r="I689" i="17" a="1"/>
  <c r="I689" i="17"/>
  <c r="I690" i="17" a="1"/>
  <c r="I690" i="17"/>
  <c r="I691" i="17" a="1"/>
  <c r="I691" i="17"/>
  <c r="I692" i="17" a="1"/>
  <c r="I692" i="17"/>
  <c r="I693" i="17" a="1"/>
  <c r="I693" i="17"/>
  <c r="I694" i="17" a="1"/>
  <c r="I694" i="17"/>
  <c r="I695" i="17" a="1"/>
  <c r="I695" i="17"/>
  <c r="I696" i="17" a="1"/>
  <c r="I696" i="17"/>
  <c r="I697" i="17" a="1"/>
  <c r="I697" i="17"/>
  <c r="I698" i="17" a="1"/>
  <c r="I698" i="17"/>
  <c r="I699" i="17" a="1"/>
  <c r="I699" i="17"/>
  <c r="I700" i="17" a="1"/>
  <c r="I700" i="17"/>
  <c r="I701" i="17" a="1"/>
  <c r="I701" i="17"/>
  <c r="I702" i="17" a="1"/>
  <c r="I702" i="17"/>
  <c r="I703" i="17" a="1"/>
  <c r="I703" i="17"/>
  <c r="I704" i="17" a="1"/>
  <c r="I704" i="17"/>
  <c r="I705" i="17" a="1"/>
  <c r="I705" i="17"/>
  <c r="I706" i="17" a="1"/>
  <c r="I706" i="17"/>
  <c r="I707" i="17" a="1"/>
  <c r="I707" i="17"/>
  <c r="I708" i="17" a="1"/>
  <c r="I708" i="17"/>
  <c r="I709" i="17" a="1"/>
  <c r="I709" i="17"/>
  <c r="I710" i="17" a="1"/>
  <c r="I710" i="17"/>
  <c r="I711" i="17" a="1"/>
  <c r="I711" i="17"/>
  <c r="I712" i="17" a="1"/>
  <c r="I712" i="17"/>
  <c r="I713" i="17" a="1"/>
  <c r="I713" i="17"/>
  <c r="I714" i="17" a="1"/>
  <c r="I714" i="17"/>
  <c r="I715" i="17" a="1"/>
  <c r="I715" i="17"/>
  <c r="I716" i="17" a="1"/>
  <c r="I716" i="17"/>
  <c r="I717" i="17" a="1"/>
  <c r="I717" i="17"/>
  <c r="I718" i="17" a="1"/>
  <c r="I718" i="17"/>
  <c r="I719" i="17" a="1"/>
  <c r="I719" i="17"/>
  <c r="I720" i="17" a="1"/>
  <c r="I720" i="17"/>
  <c r="I721" i="17" a="1"/>
  <c r="I721" i="17"/>
  <c r="I722" i="17" a="1"/>
  <c r="I722" i="17"/>
  <c r="I723" i="17" a="1"/>
  <c r="I723" i="17"/>
  <c r="I724" i="17" a="1"/>
  <c r="I724" i="17"/>
  <c r="I725" i="17" a="1"/>
  <c r="I725" i="17"/>
  <c r="I726" i="17" a="1"/>
  <c r="I726" i="17"/>
  <c r="I727" i="17" a="1"/>
  <c r="I727" i="17"/>
  <c r="I728" i="17" a="1"/>
  <c r="I728" i="17"/>
  <c r="I729" i="17" a="1"/>
  <c r="I729" i="17"/>
  <c r="I730" i="17" a="1"/>
  <c r="I730" i="17"/>
  <c r="I731" i="17" a="1"/>
  <c r="I731" i="17"/>
  <c r="I732" i="17" a="1"/>
  <c r="I732" i="17"/>
  <c r="I733" i="17" a="1"/>
  <c r="I733" i="17"/>
  <c r="I734" i="17" a="1"/>
  <c r="I734" i="17"/>
  <c r="I735" i="17" a="1"/>
  <c r="I735" i="17"/>
  <c r="I736" i="17" a="1"/>
  <c r="I736" i="17"/>
  <c r="I737" i="17" a="1"/>
  <c r="I737" i="17"/>
  <c r="I738" i="17" a="1"/>
  <c r="I738" i="17"/>
  <c r="I739" i="17" a="1"/>
  <c r="I739" i="17"/>
  <c r="I740" i="17" a="1"/>
  <c r="I740" i="17"/>
  <c r="I741" i="17" a="1"/>
  <c r="I741" i="17"/>
  <c r="I742" i="17" a="1"/>
  <c r="I742" i="17"/>
  <c r="I743" i="17" a="1"/>
  <c r="I743" i="17"/>
  <c r="I744" i="17" a="1"/>
  <c r="I744" i="17"/>
  <c r="I745" i="17" a="1"/>
  <c r="I745" i="17"/>
  <c r="I746" i="17" a="1"/>
  <c r="I746" i="17"/>
  <c r="I747" i="17" a="1"/>
  <c r="I747" i="17"/>
  <c r="I748" i="17" a="1"/>
  <c r="I748" i="17"/>
  <c r="I749" i="17" a="1"/>
  <c r="I749" i="17"/>
  <c r="I750" i="17" a="1"/>
  <c r="I750" i="17"/>
  <c r="I751" i="17" a="1"/>
  <c r="I751" i="17"/>
  <c r="I752" i="17" a="1"/>
  <c r="I752" i="17"/>
  <c r="I753" i="17" a="1"/>
  <c r="I753" i="17"/>
  <c r="I754" i="17" a="1"/>
  <c r="I754" i="17"/>
  <c r="I755" i="17" a="1"/>
  <c r="I755" i="17"/>
  <c r="I756" i="17" a="1"/>
  <c r="I756" i="17"/>
  <c r="I757" i="17" a="1"/>
  <c r="I757" i="17"/>
  <c r="I758" i="17" a="1"/>
  <c r="I758" i="17"/>
  <c r="I759" i="17" a="1"/>
  <c r="I759" i="17"/>
  <c r="I760" i="17" a="1"/>
  <c r="I760" i="17"/>
  <c r="I761" i="17" a="1"/>
  <c r="I761" i="17"/>
  <c r="I762" i="17" a="1"/>
  <c r="I762" i="17"/>
  <c r="I763" i="17" a="1"/>
  <c r="I763" i="17"/>
  <c r="I764" i="17" a="1"/>
  <c r="I764" i="17"/>
  <c r="I765" i="17" a="1"/>
  <c r="I765" i="17"/>
  <c r="I766" i="17" a="1"/>
  <c r="I766" i="17"/>
  <c r="I767" i="17" a="1"/>
  <c r="I767" i="17"/>
  <c r="I768" i="17" a="1"/>
  <c r="I768" i="17"/>
  <c r="I769" i="17" a="1"/>
  <c r="I769" i="17"/>
  <c r="I770" i="17" a="1"/>
  <c r="I770" i="17"/>
  <c r="I771" i="17" a="1"/>
  <c r="I771" i="17"/>
  <c r="I772" i="17" a="1"/>
  <c r="I772" i="17"/>
  <c r="I773" i="17" a="1"/>
  <c r="I773" i="17"/>
  <c r="I774" i="17" a="1"/>
  <c r="I774" i="17"/>
  <c r="I775" i="17" a="1"/>
  <c r="I775" i="17"/>
  <c r="I776" i="17" a="1"/>
  <c r="I776" i="17"/>
  <c r="I777" i="17" a="1"/>
  <c r="I777" i="17"/>
  <c r="I778" i="17" a="1"/>
  <c r="I778" i="17"/>
  <c r="I779" i="17" a="1"/>
  <c r="I779" i="17"/>
  <c r="I780" i="17" a="1"/>
  <c r="I780" i="17"/>
  <c r="I781" i="17" a="1"/>
  <c r="I781" i="17"/>
  <c r="I782" i="17" a="1"/>
  <c r="I782" i="17"/>
  <c r="I783" i="17" a="1"/>
  <c r="I783" i="17"/>
  <c r="I784" i="17" a="1"/>
  <c r="I784" i="17"/>
  <c r="I785" i="17" a="1"/>
  <c r="I785" i="17"/>
  <c r="I786" i="17" a="1"/>
  <c r="I786" i="17"/>
  <c r="I787" i="17" a="1"/>
  <c r="I787" i="17"/>
  <c r="I788" i="17" a="1"/>
  <c r="I788" i="17"/>
  <c r="I789" i="17" a="1"/>
  <c r="I789" i="17"/>
  <c r="I790" i="17" a="1"/>
  <c r="I790" i="17"/>
  <c r="I791" i="17" a="1"/>
  <c r="I791" i="17"/>
  <c r="I792" i="17" a="1"/>
  <c r="I792" i="17"/>
  <c r="I793" i="17" a="1"/>
  <c r="I793" i="17"/>
  <c r="I794" i="17" a="1"/>
  <c r="I794" i="17"/>
  <c r="I795" i="17" a="1"/>
  <c r="I795" i="17"/>
  <c r="I796" i="17" a="1"/>
  <c r="I796" i="17"/>
  <c r="I797" i="17" a="1"/>
  <c r="I797" i="17"/>
  <c r="I798" i="17" a="1"/>
  <c r="I798" i="17"/>
  <c r="I799" i="17" a="1"/>
  <c r="I799" i="17"/>
  <c r="I800" i="17" a="1"/>
  <c r="I800" i="17"/>
  <c r="I801" i="17" a="1"/>
  <c r="I801" i="17"/>
  <c r="I802" i="17" a="1"/>
  <c r="I802" i="17"/>
  <c r="I803" i="17" a="1"/>
  <c r="I803" i="17"/>
  <c r="I804" i="17" a="1"/>
  <c r="I804" i="17"/>
  <c r="I805" i="17" a="1"/>
  <c r="I805" i="17"/>
  <c r="I806" i="17" a="1"/>
  <c r="I806" i="17"/>
  <c r="I807" i="17" a="1"/>
  <c r="I807" i="17"/>
  <c r="I808" i="17" a="1"/>
  <c r="I808" i="17"/>
  <c r="I809" i="17" a="1"/>
  <c r="I809" i="17"/>
  <c r="I810" i="17" a="1"/>
  <c r="I810" i="17"/>
  <c r="I811" i="17" a="1"/>
  <c r="I811" i="17"/>
  <c r="I812" i="17" a="1"/>
  <c r="I812" i="17"/>
  <c r="I813" i="17" a="1"/>
  <c r="I813" i="17"/>
  <c r="I814" i="17" a="1"/>
  <c r="I814" i="17"/>
  <c r="I815" i="17" a="1"/>
  <c r="I815" i="17"/>
  <c r="I816" i="17" a="1"/>
  <c r="I816" i="17"/>
  <c r="I817" i="17" a="1"/>
  <c r="I817" i="17"/>
  <c r="I818" i="17" a="1"/>
  <c r="I818" i="17"/>
  <c r="I819" i="17" a="1"/>
  <c r="I819" i="17"/>
  <c r="I820" i="17" a="1"/>
  <c r="I820" i="17"/>
  <c r="I821" i="17" a="1"/>
  <c r="I821" i="17"/>
  <c r="I822" i="17" a="1"/>
  <c r="I822" i="17"/>
  <c r="I823" i="17" a="1"/>
  <c r="I823" i="17"/>
  <c r="I824" i="17" a="1"/>
  <c r="I824" i="17"/>
  <c r="I825" i="17" a="1"/>
  <c r="I825" i="17"/>
  <c r="I826" i="17" a="1"/>
  <c r="I826" i="17"/>
  <c r="I827" i="17" a="1"/>
  <c r="I827" i="17"/>
  <c r="I828" i="17" a="1"/>
  <c r="I828" i="17"/>
  <c r="I829" i="17" a="1"/>
  <c r="I829" i="17"/>
  <c r="I830" i="17" a="1"/>
  <c r="I830" i="17"/>
  <c r="I831" i="17" a="1"/>
  <c r="I831" i="17"/>
  <c r="I832" i="17" a="1"/>
  <c r="I832" i="17"/>
  <c r="I833" i="17" a="1"/>
  <c r="I833" i="17"/>
  <c r="I834" i="17" a="1"/>
  <c r="I834" i="17"/>
  <c r="I835" i="17" a="1"/>
  <c r="I835" i="17"/>
  <c r="I836" i="17" a="1"/>
  <c r="I836" i="17"/>
  <c r="I837" i="17" a="1"/>
  <c r="I837" i="17"/>
  <c r="I838" i="17" a="1"/>
  <c r="I838" i="17"/>
  <c r="I839" i="17" a="1"/>
  <c r="I839" i="17"/>
  <c r="I840" i="17" a="1"/>
  <c r="I840" i="17"/>
  <c r="I841" i="17" a="1"/>
  <c r="I841" i="17"/>
  <c r="I842" i="17" a="1"/>
  <c r="I842" i="17"/>
  <c r="I843" i="17" a="1"/>
  <c r="I843" i="17"/>
  <c r="I844" i="17" a="1"/>
  <c r="I844" i="17"/>
  <c r="I845" i="17" a="1"/>
  <c r="I845" i="17"/>
  <c r="I846" i="17" a="1"/>
  <c r="I846" i="17"/>
  <c r="I847" i="17" a="1"/>
  <c r="I847" i="17"/>
  <c r="I848" i="17" a="1"/>
  <c r="I848" i="17"/>
  <c r="I849" i="17" a="1"/>
  <c r="I849" i="17"/>
  <c r="I850" i="17" a="1"/>
  <c r="I850" i="17"/>
  <c r="I851" i="17" a="1"/>
  <c r="I851" i="17"/>
  <c r="I852" i="17" a="1"/>
  <c r="I852" i="17"/>
  <c r="I853" i="17" a="1"/>
  <c r="I853" i="17"/>
  <c r="I854" i="17" a="1"/>
  <c r="I854" i="17"/>
  <c r="I855" i="17" a="1"/>
  <c r="I855" i="17"/>
  <c r="I856" i="17" a="1"/>
  <c r="I856" i="17"/>
  <c r="I857" i="17" a="1"/>
  <c r="I857" i="17"/>
  <c r="I858" i="17" a="1"/>
  <c r="I858" i="17"/>
  <c r="I859" i="17" a="1"/>
  <c r="I859" i="17"/>
  <c r="I860" i="17" a="1"/>
  <c r="I860" i="17"/>
  <c r="I861" i="17" a="1"/>
  <c r="I861" i="17"/>
  <c r="I862" i="17" a="1"/>
  <c r="I862" i="17"/>
  <c r="I863" i="17" a="1"/>
  <c r="I863" i="17"/>
  <c r="I864" i="17" a="1"/>
  <c r="I864" i="17"/>
  <c r="I865" i="17" a="1"/>
  <c r="I865" i="17"/>
  <c r="I866" i="17" a="1"/>
  <c r="I866" i="17"/>
  <c r="I867" i="17" a="1"/>
  <c r="I867" i="17"/>
  <c r="I868" i="17" a="1"/>
  <c r="I868" i="17"/>
  <c r="I869" i="17" a="1"/>
  <c r="I869" i="17"/>
  <c r="I870" i="17" a="1"/>
  <c r="I870" i="17"/>
  <c r="I871" i="17" a="1"/>
  <c r="I871" i="17"/>
  <c r="I872" i="17" a="1"/>
  <c r="I872" i="17"/>
  <c r="I873" i="17" a="1"/>
  <c r="I873" i="17"/>
  <c r="I874" i="17" a="1"/>
  <c r="I874" i="17"/>
  <c r="I875" i="17" a="1"/>
  <c r="I875" i="17"/>
  <c r="I876" i="17" a="1"/>
  <c r="I876" i="17"/>
  <c r="I877" i="17" a="1"/>
  <c r="I877" i="17"/>
  <c r="I878" i="17" a="1"/>
  <c r="I878" i="17"/>
  <c r="I879" i="17" a="1"/>
  <c r="I879" i="17"/>
  <c r="I880" i="17" a="1"/>
  <c r="I880" i="17"/>
  <c r="I881" i="17" a="1"/>
  <c r="I881" i="17"/>
  <c r="I882" i="17" a="1"/>
  <c r="I882" i="17"/>
  <c r="I883" i="17" a="1"/>
  <c r="I883" i="17"/>
  <c r="I884" i="17" a="1"/>
  <c r="I884" i="17"/>
  <c r="I885" i="17" a="1"/>
  <c r="I885" i="17"/>
  <c r="I886" i="17" a="1"/>
  <c r="I886" i="17"/>
  <c r="I887" i="17" a="1"/>
  <c r="I887" i="17"/>
  <c r="I888" i="17" a="1"/>
  <c r="I888" i="17"/>
  <c r="I889" i="17" a="1"/>
  <c r="I889" i="17"/>
  <c r="I890" i="17" a="1"/>
  <c r="I890" i="17"/>
  <c r="I891" i="17" a="1"/>
  <c r="I891" i="17"/>
  <c r="I892" i="17" a="1"/>
  <c r="I892" i="17"/>
  <c r="I893" i="17" a="1"/>
  <c r="I893" i="17"/>
  <c r="I894" i="17" a="1"/>
  <c r="I894" i="17"/>
  <c r="I895" i="17" a="1"/>
  <c r="I895" i="17"/>
  <c r="I896" i="17" a="1"/>
  <c r="I896" i="17"/>
  <c r="I897" i="17" a="1"/>
  <c r="I897" i="17"/>
  <c r="I898" i="17" a="1"/>
  <c r="I898" i="17"/>
  <c r="I899" i="17" a="1"/>
  <c r="I899" i="17"/>
  <c r="I900" i="17" a="1"/>
  <c r="I900" i="17"/>
  <c r="I901" i="17" a="1"/>
  <c r="I901" i="17"/>
  <c r="I902" i="17" a="1"/>
  <c r="I902" i="17"/>
  <c r="I903" i="17" a="1"/>
  <c r="I903" i="17"/>
  <c r="I904" i="17" a="1"/>
  <c r="I904" i="17"/>
  <c r="I905" i="17" a="1"/>
  <c r="I905" i="17"/>
  <c r="I906" i="17" a="1"/>
  <c r="I906" i="17"/>
  <c r="I907" i="17" a="1"/>
  <c r="I907" i="17"/>
  <c r="I908" i="17" a="1"/>
  <c r="I908" i="17"/>
  <c r="I909" i="17" a="1"/>
  <c r="I909" i="17"/>
  <c r="I910" i="17" a="1"/>
  <c r="I910" i="17"/>
  <c r="I911" i="17" a="1"/>
  <c r="I911" i="17"/>
  <c r="I912" i="17" a="1"/>
  <c r="I912" i="17"/>
  <c r="I913" i="17" a="1"/>
  <c r="I913" i="17"/>
  <c r="I914" i="17" a="1"/>
  <c r="I914" i="17"/>
  <c r="I915" i="17" a="1"/>
  <c r="I915" i="17"/>
  <c r="I916" i="17" a="1"/>
  <c r="I916" i="17"/>
  <c r="I917" i="17" a="1"/>
  <c r="I917" i="17"/>
  <c r="I918" i="17" a="1"/>
  <c r="I918" i="17"/>
  <c r="I919" i="17" a="1"/>
  <c r="I919" i="17"/>
  <c r="I920" i="17" a="1"/>
  <c r="I920" i="17"/>
  <c r="I921" i="17" a="1"/>
  <c r="I921" i="17"/>
  <c r="I922" i="17" a="1"/>
  <c r="I922" i="17"/>
  <c r="I923" i="17" a="1"/>
  <c r="I923" i="17"/>
  <c r="I924" i="17" a="1"/>
  <c r="I924" i="17"/>
  <c r="I925" i="17" a="1"/>
  <c r="I925" i="17"/>
  <c r="I926" i="17" a="1"/>
  <c r="I926" i="17"/>
  <c r="I927" i="17" a="1"/>
  <c r="I927" i="17"/>
  <c r="I928" i="17" a="1"/>
  <c r="I928" i="17"/>
  <c r="I929" i="17" a="1"/>
  <c r="I929" i="17"/>
  <c r="I930" i="17" a="1"/>
  <c r="I930" i="17"/>
  <c r="I931" i="17" a="1"/>
  <c r="I931" i="17"/>
  <c r="I932" i="17" a="1"/>
  <c r="I932" i="17"/>
  <c r="I933" i="17" a="1"/>
  <c r="I933" i="17"/>
  <c r="I934" i="17" a="1"/>
  <c r="I934" i="17"/>
  <c r="I935" i="17" a="1"/>
  <c r="I935" i="17"/>
  <c r="I936" i="17" a="1"/>
  <c r="I936" i="17"/>
  <c r="I937" i="17" a="1"/>
  <c r="I937" i="17"/>
  <c r="I938" i="17" a="1"/>
  <c r="I938" i="17"/>
  <c r="I939" i="17" a="1"/>
  <c r="I939" i="17"/>
  <c r="I940" i="17" a="1"/>
  <c r="I940" i="17"/>
  <c r="I941" i="17" a="1"/>
  <c r="I941" i="17"/>
  <c r="I942" i="17" a="1"/>
  <c r="I942" i="17"/>
  <c r="I943" i="17" a="1"/>
  <c r="I943" i="17"/>
  <c r="I944" i="17" a="1"/>
  <c r="I944" i="17"/>
  <c r="I945" i="17" a="1"/>
  <c r="I945" i="17"/>
  <c r="I946" i="17" a="1"/>
  <c r="I946" i="17"/>
  <c r="I947" i="17" a="1"/>
  <c r="I947" i="17"/>
  <c r="I948" i="17" a="1"/>
  <c r="I948" i="17"/>
  <c r="I949" i="17" a="1"/>
  <c r="I949" i="17"/>
  <c r="I950" i="17" a="1"/>
  <c r="I950" i="17"/>
  <c r="I951" i="17" a="1"/>
  <c r="I951" i="17"/>
  <c r="I952" i="17" a="1"/>
  <c r="I952" i="17"/>
  <c r="I953" i="17" a="1"/>
  <c r="I953" i="17"/>
  <c r="I954" i="17" a="1"/>
  <c r="I954" i="17"/>
  <c r="I955" i="17" a="1"/>
  <c r="I955" i="17"/>
  <c r="I956" i="17" a="1"/>
  <c r="I956" i="17"/>
  <c r="I957" i="17" a="1"/>
  <c r="I957" i="17"/>
  <c r="I958" i="17" a="1"/>
  <c r="I958" i="17"/>
  <c r="I959" i="17" a="1"/>
  <c r="I959" i="17"/>
  <c r="I960" i="17" a="1"/>
  <c r="I960" i="17"/>
  <c r="I961" i="17" a="1"/>
  <c r="I961" i="17"/>
  <c r="I962" i="17" a="1"/>
  <c r="I962" i="17"/>
  <c r="I963" i="17" a="1"/>
  <c r="I963" i="17"/>
  <c r="I964" i="17" a="1"/>
  <c r="I964" i="17"/>
  <c r="I965" i="17" a="1"/>
  <c r="I965" i="17"/>
  <c r="I966" i="17" a="1"/>
  <c r="I966" i="17"/>
  <c r="I967" i="17" a="1"/>
  <c r="I967" i="17"/>
  <c r="I968" i="17" a="1"/>
  <c r="I968" i="17"/>
  <c r="I969" i="17" a="1"/>
  <c r="I969" i="17"/>
  <c r="I970" i="17" a="1"/>
  <c r="I970" i="17"/>
  <c r="I971" i="17" a="1"/>
  <c r="I971" i="17"/>
  <c r="I972" i="17" a="1"/>
  <c r="I972" i="17"/>
  <c r="I973" i="17" a="1"/>
  <c r="I973" i="17"/>
  <c r="I974" i="17" a="1"/>
  <c r="I974" i="17"/>
  <c r="I975" i="17" a="1"/>
  <c r="I975" i="17"/>
  <c r="I976" i="17" a="1"/>
  <c r="I976" i="17"/>
  <c r="I977" i="17" a="1"/>
  <c r="I977" i="17"/>
  <c r="I978" i="17" a="1"/>
  <c r="I978" i="17"/>
  <c r="I979" i="17" a="1"/>
  <c r="I979" i="17"/>
  <c r="I980" i="17" a="1"/>
  <c r="I980" i="17"/>
  <c r="I981" i="17" a="1"/>
  <c r="I981" i="17"/>
  <c r="I982" i="17" a="1"/>
  <c r="I982" i="17"/>
  <c r="I983" i="17" a="1"/>
  <c r="I983" i="17"/>
  <c r="I984" i="17" a="1"/>
  <c r="I984" i="17"/>
  <c r="I985" i="17" a="1"/>
  <c r="I985" i="17"/>
  <c r="I986" i="17" a="1"/>
  <c r="I986" i="17"/>
  <c r="I987" i="17" a="1"/>
  <c r="I987" i="17"/>
  <c r="I988" i="17" a="1"/>
  <c r="I988" i="17"/>
  <c r="I989" i="17" a="1"/>
  <c r="I989" i="17"/>
  <c r="I990" i="17" a="1"/>
  <c r="I990" i="17"/>
  <c r="I991" i="17" a="1"/>
  <c r="I991" i="17"/>
  <c r="I992" i="17" a="1"/>
  <c r="I992" i="17"/>
  <c r="I993" i="17" a="1"/>
  <c r="I993" i="17"/>
  <c r="I994" i="17" a="1"/>
  <c r="I994" i="17"/>
  <c r="I995" i="17" a="1"/>
  <c r="I995" i="17"/>
  <c r="I996" i="17" a="1"/>
  <c r="I996" i="17"/>
  <c r="I997" i="17" a="1"/>
  <c r="I997" i="17"/>
  <c r="I998" i="17" a="1"/>
  <c r="I998" i="17"/>
  <c r="I999" i="17" a="1"/>
  <c r="I999" i="17"/>
  <c r="I1000" i="17" a="1"/>
  <c r="I1000" i="17"/>
  <c r="I1001" i="17" a="1"/>
  <c r="I1001" i="17"/>
  <c r="I2" i="17" a="1"/>
  <c r="I2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<sst xmlns="http://schemas.openxmlformats.org/spreadsheetml/2006/main" count="14141" uniqueCount="6227">
  <si>
    <t>Total Sales:</t>
  </si>
  <si>
    <t>Total Orders:</t>
  </si>
  <si>
    <t>Total Customers:</t>
  </si>
  <si>
    <t>Total Coffee Sold:</t>
  </si>
  <si>
    <t>Size</t>
  </si>
  <si>
    <t>Sum of Quantity</t>
  </si>
  <si>
    <t>Roast Type Full</t>
  </si>
  <si>
    <t>Sum of Sales</t>
  </si>
  <si>
    <t>Dark</t>
  </si>
  <si>
    <t>Light</t>
  </si>
  <si>
    <t>Medium</t>
  </si>
  <si>
    <t>Coffee Name</t>
  </si>
  <si>
    <t>Arabica</t>
  </si>
  <si>
    <t>Excelsa</t>
  </si>
  <si>
    <t>Liberica</t>
  </si>
  <si>
    <t>Robusta</t>
  </si>
  <si>
    <t>Country</t>
  </si>
  <si>
    <t>Ireland</t>
  </si>
  <si>
    <t>United Kingdom</t>
  </si>
  <si>
    <t>United States</t>
  </si>
  <si>
    <t>Year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</si>
  <si>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</si>
  <si>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</si>
  <si>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</si>
  <si>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</si>
  <si>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</si>
  <si>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</si>
  <si>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</si>
  <si>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</si>
  <si>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</si>
  <si>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</si>
  <si>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</si>
  <si>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</si>
  <si>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</si>
  <si>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 ID</t>
  </si>
  <si>
    <t>Order Date</t>
  </si>
  <si>
    <t>Month Number</t>
  </si>
  <si>
    <t>Customer ID</t>
  </si>
  <si>
    <t>Product ID</t>
  </si>
  <si>
    <t>Quantity</t>
  </si>
  <si>
    <t>Customer Name</t>
  </si>
  <si>
    <t>Email</t>
  </si>
  <si>
    <t>Coffee Type</t>
  </si>
  <si>
    <t>Roast Type</t>
  </si>
  <si>
    <t>Unit Price</t>
  </si>
  <si>
    <t>Sales</t>
  </si>
  <si>
    <t>Coffee Type Full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</si>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</sst>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809]dd\ mmmm\ yyyy;@"/>
    <numFmt numFmtId="166" formatCode="0.0\ &quot;kg&quot;"/>
    <numFmt numFmtId="167" formatCode="_-[$£-809]* #,##0.00_-;\-[$£-809]* #,##0.00_-;_-[$£-809]* &quot;-&quot;??_-;_-@_-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0" fillId="0" borderId="0" xfId="0" applyNumberFormat="1"/>
    <xf numFmtId="0" fontId="2" fillId="0" borderId="0" xfId="0" applyFont="1"/>
    <xf numFmtId="14" fontId="2" fillId="0" borderId="0" xfId="0" applyNumberFormat="1" applyFont="1"/>
    <xf numFmtId="167" fontId="0" fillId="0" borderId="0" xfId="0" applyNumberFormat="1"/>
    <xf numFmtId="0" fontId="0" fillId="0" borderId="0" xfId="0" pivotButton="1"/>
    <xf numFmtId="0" fontId="1" fillId="0" borderId="0" xfId="0" applyNumberFormat="1" applyFont="1" applyAlignment="1">
      <alignment vertical="center"/>
    </xf>
    <xf numFmtId="1" fontId="0" fillId="0" borderId="0" xfId="0" pivotButton="1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31">
    <dxf>
      <numFmt numFmtId="0" formatCode="General"/>
    </dxf>
    <dxf>
      <numFmt numFmtId="167" formatCode="_-[$£-809]* #,##0.00_-;\-[$£-809]* #,##0.00_-;_-[$£-809]* &quot;-&quot;??_-;_-@_-"/>
    </dxf>
    <dxf>
      <numFmt numFmtId="167" formatCode="_-[$£-809]* #,##0.00_-;\-[$£-809]* #,##0.00_-;_-[$£-809]* &quot;-&quot;??_-;_-@_-"/>
    </dxf>
    <dxf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809]dd\ mmmm\ 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Data.xlsx]TotalSales!Total_Sales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9050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9050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9050" cap="rnd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9050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19050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TotalSales!$C$5:$C$48</c:f>
              <c:numCache>
                <c:formatCode>0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BC-4FB8-B607-75E535918C06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TotalSales!$D$5:$D$48</c:f>
              <c:numCache>
                <c:formatCode>0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C-4FB8-B607-75E535918C06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TotalSales!$E$5:$E$48</c:f>
              <c:numCache>
                <c:formatCode>0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BC-4FB8-B607-75E535918C06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TotalSales!$F$5:$F$48</c:f>
              <c:numCache>
                <c:formatCode>0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BC-4FB8-B607-75E535918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782791"/>
        <c:axId val="857629191"/>
      </c:lineChart>
      <c:catAx>
        <c:axId val="601782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C6E0B4"/>
          </a:solidFill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29191"/>
        <c:crosses val="autoZero"/>
        <c:auto val="1"/>
        <c:lblAlgn val="ctr"/>
        <c:lblOffset val="100"/>
        <c:noMultiLvlLbl val="0"/>
      </c:catAx>
      <c:valAx>
        <c:axId val="85762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7562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7562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solidFill>
            <a:srgbClr val="C6E0B4"/>
          </a:solidFill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8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Data.xlsx]SalesByCountry!Total_Sales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48235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8235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48235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48235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SalesByCountry!$A$4:$A$6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SalesByCountry!$B$4:$B$6</c:f>
              <c:numCache>
                <c:formatCode>0</c:formatCode>
                <c:ptCount val="3"/>
                <c:pt idx="0">
                  <c:v>6439.5749999999989</c:v>
                </c:pt>
                <c:pt idx="1">
                  <c:v>2593.2250000000004</c:v>
                </c:pt>
                <c:pt idx="2">
                  <c:v>34281.249999999978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A60-A83A-7AC96DF60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306375"/>
        <c:axId val="1185487879"/>
      </c:barChart>
      <c:catAx>
        <c:axId val="909306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87879"/>
        <c:crosses val="autoZero"/>
        <c:auto val="1"/>
        <c:lblAlgn val="ctr"/>
        <c:lblOffset val="100"/>
        <c:noMultiLvlLbl val="0"/>
      </c:catAx>
      <c:valAx>
        <c:axId val="1185487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solidFill>
            <a:srgbClr val="C6E0B4"/>
          </a:solidFill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06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Data.xlsx]SalesbyCoffeeType!Total_Sales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Coffee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SalesbyCoffeeType!$B$3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SalesbyCoffeeType!$A$4:$A$7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SalesbyCoffeeType!$B$4:$B$7</c:f>
              <c:numCache>
                <c:formatCode>0</c:formatCode>
                <c:ptCount val="4"/>
                <c:pt idx="0">
                  <c:v>11768.494999999997</c:v>
                </c:pt>
                <c:pt idx="1">
                  <c:v>12306.439999999995</c:v>
                </c:pt>
                <c:pt idx="2">
                  <c:v>12054.074999999995</c:v>
                </c:pt>
                <c:pt idx="3">
                  <c:v>9005.2450000000099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F-4B3C-8C17-957CD9EF2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2510344"/>
        <c:axId val="2122512392"/>
      </c:barChart>
      <c:catAx>
        <c:axId val="2122510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C6E0B4"/>
          </a:solidFill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12392"/>
        <c:crosses val="autoZero"/>
        <c:auto val="1"/>
        <c:lblAlgn val="ctr"/>
        <c:lblOffset val="100"/>
        <c:noMultiLvlLbl val="0"/>
      </c:catAx>
      <c:valAx>
        <c:axId val="212251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1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Data.xlsx]SalesbyRoastType !Total_Sales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Roast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F8F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F8F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F8F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F8F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F8F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'SalesbyRoastType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8F00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'SalesbyRoastType '!$A$4:$A$6</c:f>
              <c:strCache>
                <c:ptCount val="3"/>
                <c:pt idx="0">
                  <c:v>Dark</c:v>
                </c:pt>
                <c:pt idx="1">
                  <c:v>Light</c:v>
                </c:pt>
                <c:pt idx="2">
                  <c:v>Medium</c:v>
                </c:pt>
              </c:strCache>
            </c:strRef>
          </c:cat>
          <c:val>
            <c:numRef>
              <c:f>'SalesbyRoastType '!$B$4:$B$6</c:f>
              <c:numCache>
                <c:formatCode>0</c:formatCode>
                <c:ptCount val="3"/>
                <c:pt idx="0">
                  <c:v>13179.315000000013</c:v>
                </c:pt>
                <c:pt idx="1">
                  <c:v>17354.464999999993</c:v>
                </c:pt>
                <c:pt idx="2">
                  <c:v>14600.474999999995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B-4B76-8FD4-F08F344B8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3336"/>
        <c:axId val="11365896"/>
      </c:barChart>
      <c:catAx>
        <c:axId val="1136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896"/>
        <c:crosses val="autoZero"/>
        <c:auto val="1"/>
        <c:lblAlgn val="ctr"/>
        <c:lblOffset val="100"/>
        <c:noMultiLvlLbl val="0"/>
      </c:catAx>
      <c:valAx>
        <c:axId val="11365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Data.xlsx]QuantityofSizes!Total_Sales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Coffee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F4E78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F4E78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8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F4E78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1F4E78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QuantityofSizes!$B$3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QuantityofSizes!$A$4:$A$7</c:f>
              <c:strCache>
                <c:ptCount val="4"/>
                <c:pt idx="0">
                  <c:v>0.2 kg</c:v>
                </c:pt>
                <c:pt idx="1">
                  <c:v>0.5 kg</c:v>
                </c:pt>
                <c:pt idx="2">
                  <c:v>1.0 kg</c:v>
                </c:pt>
                <c:pt idx="3">
                  <c:v>2.5 kg</c:v>
                </c:pt>
              </c:strCache>
            </c:strRef>
          </c:cat>
          <c:val>
            <c:numRef>
              <c:f>QuantityofSizes!$B$4:$B$7</c:f>
              <c:numCache>
                <c:formatCode>0</c:formatCode>
                <c:ptCount val="4"/>
                <c:pt idx="0">
                  <c:v>892</c:v>
                </c:pt>
                <c:pt idx="1">
                  <c:v>943</c:v>
                </c:pt>
                <c:pt idx="2">
                  <c:v>875</c:v>
                </c:pt>
                <c:pt idx="3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4-439B-A427-22CF865E2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60040"/>
        <c:axId val="42604040"/>
      </c:barChart>
      <c:catAx>
        <c:axId val="4126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4040"/>
        <c:crosses val="autoZero"/>
        <c:auto val="1"/>
        <c:lblAlgn val="ctr"/>
        <c:lblOffset val="100"/>
        <c:noMultiLvlLbl val="0"/>
      </c:catAx>
      <c:valAx>
        <c:axId val="4260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0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Data.xlsx]QuantityofSizes!Total_Sales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of Sizes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1F4E78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QuantityofSizes!$B$3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QuantityofSizes!$A$4:$A$7</c:f>
              <c:strCache>
                <c:ptCount val="4"/>
                <c:pt idx="0">
                  <c:v>0.2 kg</c:v>
                </c:pt>
                <c:pt idx="1">
                  <c:v>0.5 kg</c:v>
                </c:pt>
                <c:pt idx="2">
                  <c:v>1.0 kg</c:v>
                </c:pt>
                <c:pt idx="3">
                  <c:v>2.5 kg</c:v>
                </c:pt>
              </c:strCache>
            </c:strRef>
          </c:cat>
          <c:val>
            <c:numRef>
              <c:f>QuantityofSizes!$B$4:$B$7</c:f>
              <c:numCache>
                <c:formatCode>0</c:formatCode>
                <c:ptCount val="4"/>
                <c:pt idx="0">
                  <c:v>892</c:v>
                </c:pt>
                <c:pt idx="1">
                  <c:v>943</c:v>
                </c:pt>
                <c:pt idx="2">
                  <c:v>875</c:v>
                </c:pt>
                <c:pt idx="3">
                  <c:v>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8-4D27-ACF5-35AAB87F6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260040"/>
        <c:axId val="42604040"/>
      </c:barChart>
      <c:catAx>
        <c:axId val="4126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4040"/>
        <c:crosses val="autoZero"/>
        <c:auto val="1"/>
        <c:lblAlgn val="ctr"/>
        <c:lblOffset val="100"/>
        <c:noMultiLvlLbl val="0"/>
      </c:catAx>
      <c:valAx>
        <c:axId val="4260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6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Data.xlsx]SalesbyRoastType !Total_Sales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Roast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F8F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'SalesbyRoastType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8F00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'SalesbyRoastType '!$A$4:$A$6</c:f>
              <c:strCache>
                <c:ptCount val="3"/>
                <c:pt idx="0">
                  <c:v>Dark</c:v>
                </c:pt>
                <c:pt idx="1">
                  <c:v>Light</c:v>
                </c:pt>
                <c:pt idx="2">
                  <c:v>Medium</c:v>
                </c:pt>
              </c:strCache>
            </c:strRef>
          </c:cat>
          <c:val>
            <c:numRef>
              <c:f>'SalesbyRoastType '!$B$4:$B$6</c:f>
              <c:numCache>
                <c:formatCode>0</c:formatCode>
                <c:ptCount val="3"/>
                <c:pt idx="0">
                  <c:v>13179.315000000013</c:v>
                </c:pt>
                <c:pt idx="1">
                  <c:v>17354.464999999993</c:v>
                </c:pt>
                <c:pt idx="2">
                  <c:v>14600.474999999995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0-4A23-A6BD-F41A3EEE9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63336"/>
        <c:axId val="11365896"/>
      </c:barChart>
      <c:catAx>
        <c:axId val="11363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5896"/>
        <c:crosses val="autoZero"/>
        <c:auto val="1"/>
        <c:lblAlgn val="ctr"/>
        <c:lblOffset val="100"/>
        <c:noMultiLvlLbl val="0"/>
      </c:catAx>
      <c:valAx>
        <c:axId val="11365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3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Data.xlsx]SalesbyCoffeeType!Total_Sales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Coffee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SalesbyCoffeeType!$B$3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SalesbyCoffeeType!$A$4:$A$7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SalesbyCoffeeType!$B$4:$B$7</c:f>
              <c:numCache>
                <c:formatCode>0</c:formatCode>
                <c:ptCount val="4"/>
                <c:pt idx="0">
                  <c:v>11768.494999999997</c:v>
                </c:pt>
                <c:pt idx="1">
                  <c:v>12306.439999999995</c:v>
                </c:pt>
                <c:pt idx="2">
                  <c:v>12054.074999999995</c:v>
                </c:pt>
                <c:pt idx="3">
                  <c:v>9005.2450000000099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4-4073-8FDD-F5465121A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2510344"/>
        <c:axId val="2122512392"/>
      </c:barChart>
      <c:catAx>
        <c:axId val="2122510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C6E0B4"/>
          </a:solidFill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12392"/>
        <c:crosses val="autoZero"/>
        <c:auto val="1"/>
        <c:lblAlgn val="ctr"/>
        <c:lblOffset val="100"/>
        <c:noMultiLvlLbl val="0"/>
      </c:catAx>
      <c:valAx>
        <c:axId val="212251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1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Data.xlsx]SalesByCountry!Total_Sales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48235"/>
          </a:solidFill>
          <a:ln>
            <a:solidFill>
              <a:srgbClr val="375623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SalesByCountry!$B$3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375623"/>
              </a:solidFill>
              <a:prstDash val="solid"/>
            </a:ln>
            <a:effectLst/>
          </c:spPr>
          <c:invertIfNegative val="0"/>
          <c:cat>
            <c:strRef>
              <c:f>SalesByCountry!$A$4:$A$6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SalesByCountry!$B$4:$B$6</c:f>
              <c:numCache>
                <c:formatCode>0</c:formatCode>
                <c:ptCount val="3"/>
                <c:pt idx="0">
                  <c:v>6439.5749999999989</c:v>
                </c:pt>
                <c:pt idx="1">
                  <c:v>2593.2250000000004</c:v>
                </c:pt>
                <c:pt idx="2">
                  <c:v>34281.249999999978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2-485D-87B3-37ACDE2E4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9306375"/>
        <c:axId val="1185487879"/>
      </c:barChart>
      <c:catAx>
        <c:axId val="909306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487879"/>
        <c:crosses val="autoZero"/>
        <c:auto val="1"/>
        <c:lblAlgn val="ctr"/>
        <c:lblOffset val="100"/>
        <c:noMultiLvlLbl val="0"/>
      </c:catAx>
      <c:valAx>
        <c:axId val="1185487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30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 Sales Data.xlsx]TotalSales!Total_Sales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C00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TotalSales!$C$5:$C$48</c:f>
              <c:numCache>
                <c:formatCode>0</c:formatCode>
                <c:ptCount val="44"/>
                <c:pt idx="0">
                  <c:v>186.85499999999999</c:v>
                </c:pt>
                <c:pt idx="1">
                  <c:v>251.96499999999997</c:v>
                </c:pt>
                <c:pt idx="2">
                  <c:v>224.94499999999999</c:v>
                </c:pt>
                <c:pt idx="3">
                  <c:v>307.12</c:v>
                </c:pt>
                <c:pt idx="4">
                  <c:v>53.664999999999992</c:v>
                </c:pt>
                <c:pt idx="5">
                  <c:v>163.01999999999998</c:v>
                </c:pt>
                <c:pt idx="6">
                  <c:v>345.02</c:v>
                </c:pt>
                <c:pt idx="7">
                  <c:v>334.89</c:v>
                </c:pt>
                <c:pt idx="8">
                  <c:v>178.70999999999998</c:v>
                </c:pt>
                <c:pt idx="9">
                  <c:v>301.98500000000001</c:v>
                </c:pt>
                <c:pt idx="10">
                  <c:v>312.83499999999998</c:v>
                </c:pt>
                <c:pt idx="11">
                  <c:v>265.62</c:v>
                </c:pt>
                <c:pt idx="12">
                  <c:v>47.25</c:v>
                </c:pt>
                <c:pt idx="13">
                  <c:v>745.44999999999993</c:v>
                </c:pt>
                <c:pt idx="14">
                  <c:v>130.47</c:v>
                </c:pt>
                <c:pt idx="15">
                  <c:v>27</c:v>
                </c:pt>
                <c:pt idx="16">
                  <c:v>255.11499999999995</c:v>
                </c:pt>
                <c:pt idx="17">
                  <c:v>584.78999999999985</c:v>
                </c:pt>
                <c:pt idx="18">
                  <c:v>430.62</c:v>
                </c:pt>
                <c:pt idx="19">
                  <c:v>22.5</c:v>
                </c:pt>
                <c:pt idx="20">
                  <c:v>126.14999999999999</c:v>
                </c:pt>
                <c:pt idx="21">
                  <c:v>376.03</c:v>
                </c:pt>
                <c:pt idx="22">
                  <c:v>515.17999999999995</c:v>
                </c:pt>
                <c:pt idx="23">
                  <c:v>95.859999999999985</c:v>
                </c:pt>
                <c:pt idx="24">
                  <c:v>258.34500000000003</c:v>
                </c:pt>
                <c:pt idx="25">
                  <c:v>342.2</c:v>
                </c:pt>
                <c:pt idx="26">
                  <c:v>418.30499999999989</c:v>
                </c:pt>
                <c:pt idx="27">
                  <c:v>102.32999999999998</c:v>
                </c:pt>
                <c:pt idx="28">
                  <c:v>234.71999999999997</c:v>
                </c:pt>
                <c:pt idx="29">
                  <c:v>430.39</c:v>
                </c:pt>
                <c:pt idx="30">
                  <c:v>109.005</c:v>
                </c:pt>
                <c:pt idx="31">
                  <c:v>287.52499999999998</c:v>
                </c:pt>
                <c:pt idx="32">
                  <c:v>840.92999999999984</c:v>
                </c:pt>
                <c:pt idx="33">
                  <c:v>299.07</c:v>
                </c:pt>
                <c:pt idx="34">
                  <c:v>323.32499999999999</c:v>
                </c:pt>
                <c:pt idx="35">
                  <c:v>399.48499999999996</c:v>
                </c:pt>
                <c:pt idx="36">
                  <c:v>112.69499999999999</c:v>
                </c:pt>
                <c:pt idx="37">
                  <c:v>114.87999999999998</c:v>
                </c:pt>
                <c:pt idx="38">
                  <c:v>277.76</c:v>
                </c:pt>
                <c:pt idx="39">
                  <c:v>197.89499999999998</c:v>
                </c:pt>
                <c:pt idx="40">
                  <c:v>193.11499999999998</c:v>
                </c:pt>
                <c:pt idx="41">
                  <c:v>179.79</c:v>
                </c:pt>
                <c:pt idx="42">
                  <c:v>247.28999999999996</c:v>
                </c:pt>
                <c:pt idx="43">
                  <c:v>116.39499999999998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4-41E8-B74B-BA1390D5DF35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TotalSales!$D$5:$D$48</c:f>
              <c:numCache>
                <c:formatCode>0</c:formatCode>
                <c:ptCount val="44"/>
                <c:pt idx="0">
                  <c:v>305.97000000000003</c:v>
                </c:pt>
                <c:pt idx="1">
                  <c:v>129.46</c:v>
                </c:pt>
                <c:pt idx="2">
                  <c:v>349.12</c:v>
                </c:pt>
                <c:pt idx="3">
                  <c:v>681.07499999999993</c:v>
                </c:pt>
                <c:pt idx="4">
                  <c:v>83.025000000000006</c:v>
                </c:pt>
                <c:pt idx="5">
                  <c:v>678.3599999999999</c:v>
                </c:pt>
                <c:pt idx="6">
                  <c:v>273.86999999999995</c:v>
                </c:pt>
                <c:pt idx="7">
                  <c:v>70.95</c:v>
                </c:pt>
                <c:pt idx="8">
                  <c:v>166.1</c:v>
                </c:pt>
                <c:pt idx="9">
                  <c:v>153.76499999999999</c:v>
                </c:pt>
                <c:pt idx="10">
                  <c:v>63.249999999999993</c:v>
                </c:pt>
                <c:pt idx="11">
                  <c:v>526.51499999999987</c:v>
                </c:pt>
                <c:pt idx="12">
                  <c:v>65.805000000000007</c:v>
                </c:pt>
                <c:pt idx="13">
                  <c:v>428.88499999999999</c:v>
                </c:pt>
                <c:pt idx="14">
                  <c:v>271.48500000000001</c:v>
                </c:pt>
                <c:pt idx="15">
                  <c:v>347.26</c:v>
                </c:pt>
                <c:pt idx="16">
                  <c:v>541.73</c:v>
                </c:pt>
                <c:pt idx="17">
                  <c:v>357.42999999999995</c:v>
                </c:pt>
                <c:pt idx="18">
                  <c:v>227.42500000000001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284.24999999999994</c:v>
                </c:pt>
                <c:pt idx="26">
                  <c:v>468.125</c:v>
                </c:pt>
                <c:pt idx="27">
                  <c:v>242.14000000000001</c:v>
                </c:pt>
                <c:pt idx="28">
                  <c:v>133.08000000000001</c:v>
                </c:pt>
                <c:pt idx="29">
                  <c:v>136.20500000000001</c:v>
                </c:pt>
                <c:pt idx="30">
                  <c:v>393.57499999999999</c:v>
                </c:pt>
                <c:pt idx="31">
                  <c:v>288.67</c:v>
                </c:pt>
                <c:pt idx="32">
                  <c:v>409.875</c:v>
                </c:pt>
                <c:pt idx="33">
                  <c:v>260.32499999999999</c:v>
                </c:pt>
                <c:pt idx="34">
                  <c:v>565.57000000000005</c:v>
                </c:pt>
                <c:pt idx="35">
                  <c:v>148.19999999999999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212.49499999999998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14-41E8-B74B-BA1390D5DF35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TotalSales!$E$5:$E$48</c:f>
              <c:numCache>
                <c:formatCode>0</c:formatCode>
                <c:ptCount val="44"/>
                <c:pt idx="0">
                  <c:v>213.15999999999997</c:v>
                </c:pt>
                <c:pt idx="1">
                  <c:v>434.03999999999996</c:v>
                </c:pt>
                <c:pt idx="2">
                  <c:v>321.04000000000002</c:v>
                </c:pt>
                <c:pt idx="3">
                  <c:v>533.70499999999993</c:v>
                </c:pt>
                <c:pt idx="4">
                  <c:v>193.83499999999998</c:v>
                </c:pt>
                <c:pt idx="5">
                  <c:v>171.04500000000002</c:v>
                </c:pt>
                <c:pt idx="6">
                  <c:v>184.12999999999997</c:v>
                </c:pt>
                <c:pt idx="7">
                  <c:v>134.23000000000002</c:v>
                </c:pt>
                <c:pt idx="8">
                  <c:v>439.30999999999995</c:v>
                </c:pt>
                <c:pt idx="9">
                  <c:v>215.55499999999998</c:v>
                </c:pt>
                <c:pt idx="10">
                  <c:v>350.89500000000004</c:v>
                </c:pt>
                <c:pt idx="11">
                  <c:v>187.06</c:v>
                </c:pt>
                <c:pt idx="12">
                  <c:v>274.67500000000001</c:v>
                </c:pt>
                <c:pt idx="13">
                  <c:v>194.17499999999998</c:v>
                </c:pt>
                <c:pt idx="14">
                  <c:v>281.20499999999998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440.96499999999997</c:v>
                </c:pt>
                <c:pt idx="22">
                  <c:v>347.03999999999996</c:v>
                </c:pt>
                <c:pt idx="23">
                  <c:v>94.17</c:v>
                </c:pt>
                <c:pt idx="24">
                  <c:v>279.52000000000004</c:v>
                </c:pt>
                <c:pt idx="25">
                  <c:v>251.83</c:v>
                </c:pt>
                <c:pt idx="26">
                  <c:v>405.05500000000006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61.034999999999997</c:v>
                </c:pt>
                <c:pt idx="31">
                  <c:v>125.58</c:v>
                </c:pt>
                <c:pt idx="32">
                  <c:v>171.32999999999998</c:v>
                </c:pt>
                <c:pt idx="33">
                  <c:v>584.64</c:v>
                </c:pt>
                <c:pt idx="34">
                  <c:v>537.80999999999995</c:v>
                </c:pt>
                <c:pt idx="35">
                  <c:v>388.21999999999997</c:v>
                </c:pt>
                <c:pt idx="36">
                  <c:v>843.71499999999992</c:v>
                </c:pt>
                <c:pt idx="37">
                  <c:v>91.175000000000011</c:v>
                </c:pt>
                <c:pt idx="38">
                  <c:v>462.50999999999993</c:v>
                </c:pt>
                <c:pt idx="39">
                  <c:v>88.545000000000002</c:v>
                </c:pt>
                <c:pt idx="40">
                  <c:v>292.29000000000002</c:v>
                </c:pt>
                <c:pt idx="41">
                  <c:v>170.08999999999997</c:v>
                </c:pt>
                <c:pt idx="42">
                  <c:v>271.05499999999995</c:v>
                </c:pt>
                <c:pt idx="43">
                  <c:v>15.54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14-41E8-B74B-BA1390D5DF35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TotalSales!$F$5:$F$48</c:f>
              <c:numCache>
                <c:formatCode>0</c:formatCode>
                <c:ptCount val="44"/>
                <c:pt idx="0">
                  <c:v>123</c:v>
                </c:pt>
                <c:pt idx="1">
                  <c:v>171.93999999999997</c:v>
                </c:pt>
                <c:pt idx="2">
                  <c:v>126.035</c:v>
                </c:pt>
                <c:pt idx="3">
                  <c:v>158.85</c:v>
                </c:pt>
                <c:pt idx="4">
                  <c:v>68.039999999999992</c:v>
                </c:pt>
                <c:pt idx="5">
                  <c:v>372.255</c:v>
                </c:pt>
                <c:pt idx="6">
                  <c:v>201.11499999999998</c:v>
                </c:pt>
                <c:pt idx="7">
                  <c:v>166.27499999999998</c:v>
                </c:pt>
                <c:pt idx="8">
                  <c:v>492.9</c:v>
                </c:pt>
                <c:pt idx="9">
                  <c:v>213.66499999999999</c:v>
                </c:pt>
                <c:pt idx="10">
                  <c:v>96.405000000000001</c:v>
                </c:pt>
                <c:pt idx="11">
                  <c:v>210.58999999999997</c:v>
                </c:pt>
                <c:pt idx="12">
                  <c:v>179.22</c:v>
                </c:pt>
                <c:pt idx="13">
                  <c:v>429.82999999999993</c:v>
                </c:pt>
                <c:pt idx="14">
                  <c:v>231.63000000000002</c:v>
                </c:pt>
                <c:pt idx="15">
                  <c:v>240.04</c:v>
                </c:pt>
                <c:pt idx="16">
                  <c:v>59.079999999999991</c:v>
                </c:pt>
                <c:pt idx="17">
                  <c:v>140.88</c:v>
                </c:pt>
                <c:pt idx="18">
                  <c:v>414.58499999999992</c:v>
                </c:pt>
                <c:pt idx="19">
                  <c:v>139.67999999999998</c:v>
                </c:pt>
                <c:pt idx="20">
                  <c:v>302.65999999999997</c:v>
                </c:pt>
                <c:pt idx="21">
                  <c:v>174.46999999999997</c:v>
                </c:pt>
                <c:pt idx="22">
                  <c:v>104.08499999999999</c:v>
                </c:pt>
                <c:pt idx="23">
                  <c:v>77.10499999999999</c:v>
                </c:pt>
                <c:pt idx="24">
                  <c:v>160.19499999999999</c:v>
                </c:pt>
                <c:pt idx="25">
                  <c:v>80.550000000000011</c:v>
                </c:pt>
                <c:pt idx="26">
                  <c:v>253.15499999999997</c:v>
                </c:pt>
                <c:pt idx="27">
                  <c:v>106.23999999999998</c:v>
                </c:pt>
                <c:pt idx="28">
                  <c:v>272.68999999999994</c:v>
                </c:pt>
                <c:pt idx="29">
                  <c:v>88.334999999999994</c:v>
                </c:pt>
                <c:pt idx="30">
                  <c:v>199.48999999999998</c:v>
                </c:pt>
                <c:pt idx="31">
                  <c:v>374.13499999999999</c:v>
                </c:pt>
                <c:pt idx="32">
                  <c:v>221.43999999999997</c:v>
                </c:pt>
                <c:pt idx="33">
                  <c:v>256.36500000000001</c:v>
                </c:pt>
                <c:pt idx="34">
                  <c:v>189.47499999999999</c:v>
                </c:pt>
                <c:pt idx="35">
                  <c:v>212.07499999999999</c:v>
                </c:pt>
                <c:pt idx="36">
                  <c:v>146.685</c:v>
                </c:pt>
                <c:pt idx="37">
                  <c:v>53.759999999999991</c:v>
                </c:pt>
                <c:pt idx="38">
                  <c:v>399.52499999999998</c:v>
                </c:pt>
                <c:pt idx="39">
                  <c:v>200.25499999999997</c:v>
                </c:pt>
                <c:pt idx="40">
                  <c:v>304.46999999999997</c:v>
                </c:pt>
                <c:pt idx="41">
                  <c:v>379.31</c:v>
                </c:pt>
                <c:pt idx="42">
                  <c:v>141.69999999999999</c:v>
                </c:pt>
                <c:pt idx="43">
                  <c:v>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14-41E8-B74B-BA1390D5D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782791"/>
        <c:axId val="857629191"/>
      </c:lineChart>
      <c:catAx>
        <c:axId val="601782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C6E0B4"/>
          </a:solidFill>
          <a:ln w="9525" cap="flat" cmpd="sng" algn="ctr">
            <a:solidFill>
              <a:srgbClr val="375623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629191"/>
        <c:crosses val="autoZero"/>
        <c:auto val="1"/>
        <c:lblAlgn val="ctr"/>
        <c:lblOffset val="100"/>
        <c:noMultiLvlLbl val="0"/>
      </c:catAx>
      <c:valAx>
        <c:axId val="857629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37562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GPD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37562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solidFill>
            <a:srgbClr val="C6E0B4"/>
          </a:solidFill>
          <a:ln>
            <a:solidFill>
              <a:srgbClr val="375623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37562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78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37562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6E0B4"/>
    </a:solidFill>
    <a:ln w="9525" cap="flat" cmpd="sng" algn="ctr">
      <a:solidFill>
        <a:srgbClr val="37562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9525</xdr:rowOff>
    </xdr:from>
    <xdr:to>
      <xdr:col>25</xdr:col>
      <xdr:colOff>600075</xdr:colOff>
      <xdr:row>5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F84C470-2D9E-1C46-437B-62211664E2CE}"/>
            </a:ext>
          </a:extLst>
        </xdr:cNvPr>
        <xdr:cNvSpPr/>
      </xdr:nvSpPr>
      <xdr:spPr>
        <a:xfrm>
          <a:off x="161925" y="152400"/>
          <a:ext cx="15211425" cy="9334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4800">
              <a:solidFill>
                <a:schemeClr val="lt1"/>
              </a:solidFill>
              <a:latin typeface="+mn-lt"/>
              <a:ea typeface="+mn-lt"/>
              <a:cs typeface="+mn-lt"/>
            </a:rPr>
            <a:t>COFFEE SALES DASHBOARD</a:t>
          </a:r>
        </a:p>
      </xdr:txBody>
    </xdr:sp>
    <xdr:clientData/>
  </xdr:twoCellAnchor>
  <xdr:twoCellAnchor>
    <xdr:from>
      <xdr:col>1</xdr:col>
      <xdr:colOff>0</xdr:colOff>
      <xdr:row>18</xdr:row>
      <xdr:rowOff>180975</xdr:rowOff>
    </xdr:from>
    <xdr:to>
      <xdr:col>16</xdr:col>
      <xdr:colOff>314325</xdr:colOff>
      <xdr:row>35</xdr:row>
      <xdr:rowOff>171450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F3C8C3-5012-4492-982E-01C9AB09F1F0}"/>
            </a:ext>
            <a:ext uri="{147F2762-F138-4A5C-976F-8EAC2B608ADB}">
              <a16:predDERef xmlns:a16="http://schemas.microsoft.com/office/drawing/2014/main" pred="{CF84C470-2D9E-1C46-437B-62211664E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7</xdr:row>
      <xdr:rowOff>9525</xdr:rowOff>
    </xdr:from>
    <xdr:to>
      <xdr:col>25</xdr:col>
      <xdr:colOff>600075</xdr:colOff>
      <xdr:row>14</xdr:row>
      <xdr:rowOff>180975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6D86C1D4-51CB-455A-BE30-4E0FAC15CE1A}"/>
            </a:ext>
            <a:ext uri="{147F2762-F138-4A5C-976F-8EAC2B608ADB}">
              <a16:predDERef xmlns:a16="http://schemas.microsoft.com/office/drawing/2014/main" pred="{54F3C8C3-5012-4492-982E-01C9AB09F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15</xdr:row>
      <xdr:rowOff>180975</xdr:rowOff>
    </xdr:from>
    <xdr:to>
      <xdr:col>26</xdr:col>
      <xdr:colOff>0</xdr:colOff>
      <xdr:row>25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FDE0CE-E02F-4A4B-9D46-B5D1EAE757EB}"/>
            </a:ext>
            <a:ext uri="{147F2762-F138-4A5C-976F-8EAC2B608ADB}">
              <a16:predDERef xmlns:a16="http://schemas.microsoft.com/office/drawing/2014/main" pred="{6D86C1D4-51CB-455A-BE30-4E0FAC15C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600075</xdr:colOff>
      <xdr:row>26</xdr:row>
      <xdr:rowOff>19050</xdr:rowOff>
    </xdr:from>
    <xdr:to>
      <xdr:col>25</xdr:col>
      <xdr:colOff>590550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43B3AC-1AAE-45A7-BC54-219B46528D43}"/>
            </a:ext>
            <a:ext uri="{147F2762-F138-4A5C-976F-8EAC2B608ADB}">
              <a16:predDERef xmlns:a16="http://schemas.microsoft.com/office/drawing/2014/main" pred="{97FDE0CE-E02F-4A4B-9D46-B5D1EAE75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228600</xdr:colOff>
      <xdr:row>6</xdr:row>
      <xdr:rowOff>180975</xdr:rowOff>
    </xdr:from>
    <xdr:to>
      <xdr:col>16</xdr:col>
      <xdr:colOff>295275</xdr:colOff>
      <xdr:row>17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684B9E-E11A-4502-BDE1-9FD4B585FB08}"/>
            </a:ext>
            <a:ext uri="{147F2762-F138-4A5C-976F-8EAC2B608ADB}">
              <a16:predDERef xmlns:a16="http://schemas.microsoft.com/office/drawing/2014/main" pred="{EE43B3AC-1AAE-45A7-BC54-219B46528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7</xdr:row>
      <xdr:rowOff>0</xdr:rowOff>
    </xdr:from>
    <xdr:to>
      <xdr:col>4</xdr:col>
      <xdr:colOff>190500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80A504D-5FC1-48F1-8F1E-0DA9F926B372}"/>
            </a:ext>
            <a:ext uri="{147F2762-F138-4A5C-976F-8EAC2B608ADB}">
              <a16:predDERef xmlns:a16="http://schemas.microsoft.com/office/drawing/2014/main" pred="{4D684B9E-E11A-4502-BDE1-9FD4B585FB08}"/>
            </a:ext>
          </a:extLst>
        </xdr:cNvPr>
        <xdr:cNvSpPr/>
      </xdr:nvSpPr>
      <xdr:spPr>
        <a:xfrm>
          <a:off x="142875" y="1285875"/>
          <a:ext cx="2019300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chemeClr val="lt1"/>
              </a:solidFill>
              <a:latin typeface="+mn-lt"/>
              <a:ea typeface="+mn-lt"/>
              <a:cs typeface="+mn-lt"/>
            </a:rPr>
            <a:t>Total Sales:</a:t>
          </a:r>
          <a:endParaRPr lang="en-US" sz="20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£45,134</a:t>
          </a:r>
        </a:p>
      </xdr:txBody>
    </xdr:sp>
    <xdr:clientData/>
  </xdr:twoCellAnchor>
  <xdr:twoCellAnchor>
    <xdr:from>
      <xdr:col>1</xdr:col>
      <xdr:colOff>0</xdr:colOff>
      <xdr:row>12</xdr:row>
      <xdr:rowOff>180975</xdr:rowOff>
    </xdr:from>
    <xdr:to>
      <xdr:col>4</xdr:col>
      <xdr:colOff>190500</xdr:colOff>
      <xdr:row>17</xdr:row>
      <xdr:rowOff>180975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DB7787F-B372-44EF-937D-2208B6C2864A}"/>
            </a:ext>
            <a:ext uri="{147F2762-F138-4A5C-976F-8EAC2B608ADB}">
              <a16:predDERef xmlns:a16="http://schemas.microsoft.com/office/drawing/2014/main" pred="{780A504D-5FC1-48F1-8F1E-0DA9F926B372}"/>
            </a:ext>
          </a:extLst>
        </xdr:cNvPr>
        <xdr:cNvSpPr/>
      </xdr:nvSpPr>
      <xdr:spPr>
        <a:xfrm>
          <a:off x="142875" y="2419350"/>
          <a:ext cx="2019300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chemeClr val="lt1"/>
              </a:solidFill>
              <a:latin typeface="+mn-lt"/>
              <a:ea typeface="+mn-lt"/>
              <a:cs typeface="+mn-lt"/>
            </a:rPr>
            <a:t>Total Orders:</a:t>
          </a:r>
          <a:endParaRPr lang="en-US" sz="20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1000</a:t>
          </a:r>
        </a:p>
      </xdr:txBody>
    </xdr:sp>
    <xdr:clientData/>
  </xdr:twoCellAnchor>
  <xdr:twoCellAnchor>
    <xdr:from>
      <xdr:col>4</xdr:col>
      <xdr:colOff>419100</xdr:colOff>
      <xdr:row>7</xdr:row>
      <xdr:rowOff>9525</xdr:rowOff>
    </xdr:from>
    <xdr:to>
      <xdr:col>7</xdr:col>
      <xdr:colOff>590550</xdr:colOff>
      <xdr:row>11</xdr:row>
      <xdr:rowOff>180975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103FC5-7217-4EC2-90CB-DB8F7231A6D9}"/>
            </a:ext>
            <a:ext uri="{147F2762-F138-4A5C-976F-8EAC2B608ADB}">
              <a16:predDERef xmlns:a16="http://schemas.microsoft.com/office/drawing/2014/main" pred="{FDB7787F-B372-44EF-937D-2208B6C2864A}"/>
            </a:ext>
          </a:extLst>
        </xdr:cNvPr>
        <xdr:cNvSpPr/>
      </xdr:nvSpPr>
      <xdr:spPr>
        <a:xfrm>
          <a:off x="2390775" y="1295400"/>
          <a:ext cx="2000250" cy="9334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000">
              <a:solidFill>
                <a:schemeClr val="lt1"/>
              </a:solidFill>
              <a:latin typeface="+mn-lt"/>
              <a:ea typeface="+mn-lt"/>
              <a:cs typeface="+mn-lt"/>
            </a:rPr>
            <a:t>Total Customers:</a:t>
          </a:r>
          <a:endParaRPr lang="en-US" sz="20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2000" b="1">
              <a:solidFill>
                <a:schemeClr val="lt1"/>
              </a:solidFill>
              <a:latin typeface="+mn-lt"/>
              <a:ea typeface="+mn-lt"/>
              <a:cs typeface="+mn-lt"/>
            </a:rPr>
            <a:t>914</a:t>
          </a:r>
        </a:p>
      </xdr:txBody>
    </xdr:sp>
    <xdr:clientData/>
  </xdr:twoCellAnchor>
  <xdr:twoCellAnchor>
    <xdr:from>
      <xdr:col>4</xdr:col>
      <xdr:colOff>428625</xdr:colOff>
      <xdr:row>12</xdr:row>
      <xdr:rowOff>180975</xdr:rowOff>
    </xdr:from>
    <xdr:to>
      <xdr:col>8</xdr:col>
      <xdr:colOff>0</xdr:colOff>
      <xdr:row>17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C8A8C3C-38B5-48A4-A476-8A6443A620E4}"/>
            </a:ext>
            <a:ext uri="{147F2762-F138-4A5C-976F-8EAC2B608ADB}">
              <a16:predDERef xmlns:a16="http://schemas.microsoft.com/office/drawing/2014/main" pred="{5A103FC5-7217-4EC2-90CB-DB8F7231A6D9}"/>
            </a:ext>
          </a:extLst>
        </xdr:cNvPr>
        <xdr:cNvSpPr/>
      </xdr:nvSpPr>
      <xdr:spPr>
        <a:xfrm>
          <a:off x="2400300" y="2419350"/>
          <a:ext cx="2009775" cy="952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Quantity of Coffee Sold:</a:t>
          </a:r>
          <a:endParaRPr lang="en-US" sz="18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lt1"/>
              </a:solidFill>
              <a:latin typeface="+mn-lt"/>
              <a:ea typeface="+mn-lt"/>
              <a:cs typeface="+mn-lt"/>
            </a:rPr>
            <a:t>3550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3</xdr:row>
      <xdr:rowOff>180975</xdr:rowOff>
    </xdr:from>
    <xdr:to>
      <xdr:col>2</xdr:col>
      <xdr:colOff>361950</xdr:colOff>
      <xdr:row>7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F516AAA-3F35-54C0-DBF0-16285743026D}"/>
            </a:ext>
          </a:extLst>
        </xdr:cNvPr>
        <xdr:cNvSpPr/>
      </xdr:nvSpPr>
      <xdr:spPr>
        <a:xfrm>
          <a:off x="352425" y="752475"/>
          <a:ext cx="1409700" cy="76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Total Sales:</a:t>
          </a:r>
        </a:p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£45,134</a:t>
          </a:r>
        </a:p>
      </xdr:txBody>
    </xdr:sp>
    <xdr:clientData/>
  </xdr:twoCellAnchor>
  <xdr:twoCellAnchor>
    <xdr:from>
      <xdr:col>2</xdr:col>
      <xdr:colOff>752475</xdr:colOff>
      <xdr:row>3</xdr:row>
      <xdr:rowOff>180975</xdr:rowOff>
    </xdr:from>
    <xdr:to>
      <xdr:col>4</xdr:col>
      <xdr:colOff>714375</xdr:colOff>
      <xdr:row>7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E42262-A24D-4733-80F9-0073539132D0}"/>
            </a:ext>
            <a:ext uri="{147F2762-F138-4A5C-976F-8EAC2B608ADB}">
              <a16:predDERef xmlns:a16="http://schemas.microsoft.com/office/drawing/2014/main" pred="{7F516AAA-3F35-54C0-DBF0-16285743026D}"/>
            </a:ext>
          </a:extLst>
        </xdr:cNvPr>
        <xdr:cNvSpPr/>
      </xdr:nvSpPr>
      <xdr:spPr>
        <a:xfrm>
          <a:off x="2152650" y="752475"/>
          <a:ext cx="1409700" cy="76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Total Orders:</a:t>
          </a:r>
        </a:p>
        <a:p>
          <a:pPr marL="0" indent="0" algn="ctr"/>
          <a:r>
            <a:rPr lang="en-US" sz="1800">
              <a:solidFill>
                <a:schemeClr val="lt1"/>
              </a:solidFill>
              <a:latin typeface="+mn-lt"/>
              <a:ea typeface="+mn-lt"/>
              <a:cs typeface="+mn-lt"/>
            </a:rPr>
            <a:t>1000</a:t>
          </a:r>
        </a:p>
      </xdr:txBody>
    </xdr:sp>
    <xdr:clientData/>
  </xdr:twoCellAnchor>
  <xdr:twoCellAnchor>
    <xdr:from>
      <xdr:col>5</xdr:col>
      <xdr:colOff>66675</xdr:colOff>
      <xdr:row>3</xdr:row>
      <xdr:rowOff>180975</xdr:rowOff>
    </xdr:from>
    <xdr:to>
      <xdr:col>6</xdr:col>
      <xdr:colOff>866775</xdr:colOff>
      <xdr:row>7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8A1A738-7598-4360-9AC1-949983232611}"/>
            </a:ext>
            <a:ext uri="{147F2762-F138-4A5C-976F-8EAC2B608ADB}">
              <a16:predDERef xmlns:a16="http://schemas.microsoft.com/office/drawing/2014/main" pred="{1BE42262-A24D-4733-80F9-0073539132D0}"/>
            </a:ext>
          </a:extLst>
        </xdr:cNvPr>
        <xdr:cNvSpPr/>
      </xdr:nvSpPr>
      <xdr:spPr>
        <a:xfrm>
          <a:off x="3981450" y="752475"/>
          <a:ext cx="1409700" cy="76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Total Customers: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914</a:t>
          </a:r>
        </a:p>
      </xdr:txBody>
    </xdr:sp>
    <xdr:clientData/>
  </xdr:twoCellAnchor>
  <xdr:twoCellAnchor>
    <xdr:from>
      <xdr:col>7</xdr:col>
      <xdr:colOff>123825</xdr:colOff>
      <xdr:row>3</xdr:row>
      <xdr:rowOff>180975</xdr:rowOff>
    </xdr:from>
    <xdr:to>
      <xdr:col>9</xdr:col>
      <xdr:colOff>314325</xdr:colOff>
      <xdr:row>7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EDF39E8-6F85-4F56-8C24-BDA93CB7373A}"/>
            </a:ext>
            <a:ext uri="{147F2762-F138-4A5C-976F-8EAC2B608ADB}">
              <a16:predDERef xmlns:a16="http://schemas.microsoft.com/office/drawing/2014/main" pred="{B8A1A738-7598-4360-9AC1-949983232611}"/>
            </a:ext>
          </a:extLst>
        </xdr:cNvPr>
        <xdr:cNvSpPr/>
      </xdr:nvSpPr>
      <xdr:spPr>
        <a:xfrm>
          <a:off x="5762625" y="752475"/>
          <a:ext cx="1409700" cy="762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Total Coffee Sold: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3550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114300</xdr:rowOff>
    </xdr:from>
    <xdr:to>
      <xdr:col>9</xdr:col>
      <xdr:colOff>600075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1BF6E1-6078-62AA-A754-96946AB1C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47625</xdr:rowOff>
    </xdr:from>
    <xdr:to>
      <xdr:col>10</xdr:col>
      <xdr:colOff>238125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39D44-4004-7BC4-C13F-D3593177E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600075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20AFF-7CF9-178C-BB53-48CF08FA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1</xdr:row>
      <xdr:rowOff>28575</xdr:rowOff>
    </xdr:from>
    <xdr:to>
      <xdr:col>10</xdr:col>
      <xdr:colOff>152400</xdr:colOff>
      <xdr:row>12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AB902-5B34-0F28-6B48-97516E2DC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180975</xdr:rowOff>
    </xdr:from>
    <xdr:to>
      <xdr:col>25</xdr:col>
      <xdr:colOff>190500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8CC3B-29B2-1CE2-9E1B-86EB7BC8A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79036712963" createdVersion="8" refreshedVersion="8" minRefreshableVersion="3" recordCount="1000" xr:uid="{EA962046-5701-4464-B13C-95D2E107147E}">
  <cacheSource type="worksheet">
    <worksheetSource name="Orders_Table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/>
    </cacheField>
    <cacheField name="Year" numFmtId="0">
      <sharedItems containsSemiMixedTypes="0" containsString="0" containsNumber="1" containsInteger="1" minValue="2019" maxValue="2022" count="4">
        <n v="2019"/>
        <n v="2021"/>
        <n v="2022"/>
        <n v="2020"/>
      </sharedItems>
    </cacheField>
    <cacheField name="Month Number" numFmtId="0">
      <sharedItems containsSemiMixedTypes="0" containsString="0" containsNumber="1" containsInteger="1" minValue="1" maxValue="12"/>
    </cacheField>
    <cacheField name="Month" numFmtId="0">
      <sharedItems count="12">
        <s v="Sep"/>
        <s v="Jun"/>
        <s v="Jul"/>
        <s v="Aug"/>
        <s v="Jan"/>
        <s v="May"/>
        <s v="Mar"/>
        <s v="Oct"/>
        <s v="Apr"/>
        <s v="Dec"/>
        <s v="Feb"/>
        <s v="Nov"/>
      </sharedItems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Not Found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4">
        <s v="United States"/>
        <s v="Ireland"/>
        <s v="Not Found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/>
    </cacheField>
    <cacheField name="Size" numFmtId="166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2.6849999999999996" maxValue="218.73" count="197">
        <n v="19.899999999999999"/>
        <n v="41.25"/>
        <n v="12.95"/>
        <n v="27.5"/>
        <n v="54.969999999999992"/>
        <n v="38.849999999999994"/>
        <n v="21.87"/>
        <n v="4.7549999999999999"/>
        <n v="17.91"/>
        <n v="5.97"/>
        <n v="39.799999999999997"/>
        <n v="170.77499999999998"/>
        <n v="49.75"/>
        <n v="41.169999999999995"/>
        <n v="11.654999999999999"/>
        <n v="114.42499999999998"/>
        <n v="20.25"/>
        <n v="77.699999999999989"/>
        <n v="82.339999999999989"/>
        <n v="16.875"/>
        <n v="14.58"/>
        <n v="91.539999999999992"/>
        <n v="11.94"/>
        <n v="11.25"/>
        <n v="12.375"/>
        <n v="27"/>
        <n v="21.825000000000003"/>
        <n v="35.82"/>
        <n v="52.38"/>
        <n v="23.774999999999999"/>
        <n v="57.06"/>
        <n v="8.73"/>
        <n v="28.53"/>
        <n v="59.699999999999996"/>
        <n v="43.650000000000006"/>
        <n v="7.29"/>
        <n v="8.0549999999999997"/>
        <n v="72.91"/>
        <n v="16.5"/>
        <n v="178.70999999999998"/>
        <n v="63.249999999999993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49999999999999"/>
        <n v="136.61999999999998"/>
        <n v="77.624999999999986"/>
        <n v="17.82"/>
        <n v="53.699999999999996"/>
        <n v="3.5849999999999995"/>
        <n v="40.5"/>
        <n v="47.8"/>
        <n v="109.36499999999999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000000000001"/>
        <n v="148.92499999999998"/>
        <n v="87.300000000000011"/>
        <n v="24.3"/>
        <n v="13.365"/>
        <n v="14.55"/>
        <n v="14.339999999999998"/>
        <n v="15.85"/>
        <n v="19.02"/>
        <n v="38.04"/>
        <n v="4.125"/>
        <n v="3.8849999999999998"/>
        <n v="68.75"/>
        <n v="23.88"/>
        <n v="12.15"/>
        <n v="94.874999999999986"/>
        <n v="102.46499999999997"/>
        <n v="48.6"/>
        <n v="29.784999999999997"/>
        <n v="17.46"/>
        <n v="68.309999999999988"/>
        <n v="18.225000000000001"/>
        <n v="51.749999999999993"/>
        <n v="68.655000000000001"/>
        <n v="2.6849999999999996"/>
        <n v="61.754999999999995"/>
        <n v="123.50999999999999"/>
        <n v="218.73"/>
        <n v="33"/>
        <n v="23.31"/>
        <n v="16.11"/>
        <n v="29.16"/>
        <n v="17.899999999999999"/>
        <n v="204.92999999999995"/>
        <n v="34.154999999999994"/>
        <n v="109.93999999999998"/>
        <n v="25.9"/>
        <n v="22.274999999999999"/>
        <n v="32.22"/>
        <n v="8.25"/>
        <n v="31.08"/>
        <n v="36.450000000000003"/>
        <n v="4.4550000000000001"/>
        <n v="33.464999999999996"/>
        <n v="19.424999999999997"/>
        <n v="72.900000000000006"/>
        <n v="53.46"/>
        <n v="59.569999999999993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4999999999998"/>
        <n v="182.27499999999998"/>
        <n v="45.769999999999996"/>
        <n v="133.85999999999999"/>
        <n v="21.509999999999998"/>
        <n v="9.9499999999999993"/>
        <n v="28.679999999999996"/>
        <n v="27.945"/>
        <n v="139.72499999999999"/>
        <n v="27.484999999999996"/>
        <n v="59.75"/>
        <n v="71.699999999999989"/>
        <n v="25.874999999999996"/>
        <n v="89.1"/>
        <n v="5.3699999999999992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0000000000001"/>
        <n v="137.31"/>
        <n v="83.835000000000008"/>
        <n v="200.78999999999996"/>
        <n v="67.5"/>
        <n v="66.929999999999993"/>
        <n v="10.739999999999998"/>
        <n v="31.624999999999996"/>
        <n v="126.49999999999999"/>
        <n v="23.9"/>
        <n v="95.1"/>
        <n v="79.25"/>
        <n v="14.265000000000001"/>
        <n v="102.92499999999998"/>
        <n v="164.90999999999997"/>
        <n v="60.75"/>
        <n v="82.454999999999984"/>
        <n v="3.645"/>
        <n v="137.42499999999998"/>
        <n v="64.75"/>
        <n v="4.3650000000000002"/>
        <n v="34.92"/>
        <n v="35.799999999999997"/>
        <n v="8.9499999999999993"/>
        <n v="55"/>
        <n v="29.1"/>
        <n v="29.7"/>
        <n v="158.12499999999997"/>
      </sharedItems>
    </cacheField>
    <cacheField name="Coffee Type Full" numFmtId="0">
      <sharedItems count="4">
        <s v="Robusta"/>
        <s v="Excelsa"/>
        <s v="Arabica"/>
        <s v="Liberica"/>
      </sharedItems>
    </cacheField>
    <cacheField name="Roast Type Full" numFmtId="0">
      <sharedItems count="3">
        <s v="Medium"/>
        <s v="Large"/>
        <s v="Da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d v="2019-09-05T00:00:00"/>
    <x v="0"/>
    <n v="9"/>
    <x v="0"/>
    <s v="17670-51384-MA"/>
    <s v="R-M-1"/>
    <n v="2"/>
    <x v="0"/>
    <s v="aallner0@lulu.com"/>
    <x v="0"/>
    <x v="0"/>
    <s v="M"/>
    <x v="0"/>
    <n v="9.9499999999999993"/>
    <x v="0"/>
    <x v="0"/>
    <x v="0"/>
  </r>
  <r>
    <s v="QEV-37451-860"/>
    <d v="2019-09-05T00:00:00"/>
    <x v="0"/>
    <n v="9"/>
    <x v="0"/>
    <s v="17670-51384-MA"/>
    <s v="E-M-0.5"/>
    <n v="5"/>
    <x v="0"/>
    <s v="aallner0@lulu.com"/>
    <x v="0"/>
    <x v="1"/>
    <s v="M"/>
    <x v="1"/>
    <n v="8.25"/>
    <x v="1"/>
    <x v="1"/>
    <x v="0"/>
  </r>
  <r>
    <s v="FAA-43335-268"/>
    <d v="2021-06-17T00:00:00"/>
    <x v="1"/>
    <n v="6"/>
    <x v="1"/>
    <s v="21125-22134-PX"/>
    <s v="A-L-1"/>
    <n v="1"/>
    <x v="1"/>
    <s v="jredholes2@tmall.com"/>
    <x v="0"/>
    <x v="2"/>
    <s v="L"/>
    <x v="0"/>
    <n v="12.95"/>
    <x v="2"/>
    <x v="2"/>
    <x v="1"/>
  </r>
  <r>
    <s v="KAC-83089-793"/>
    <d v="2021-07-15T00:00:00"/>
    <x v="1"/>
    <n v="7"/>
    <x v="2"/>
    <s v="23806-46781-OU"/>
    <s v="E-M-1"/>
    <n v="2"/>
    <x v="2"/>
    <s v=""/>
    <x v="1"/>
    <x v="1"/>
    <s v="M"/>
    <x v="0"/>
    <n v="13.75"/>
    <x v="3"/>
    <x v="1"/>
    <x v="0"/>
  </r>
  <r>
    <s v="KAC-83089-793"/>
    <d v="2021-07-15T00:00:00"/>
    <x v="1"/>
    <n v="7"/>
    <x v="2"/>
    <s v="23806-46781-OU"/>
    <s v="R-L-2.5"/>
    <n v="2"/>
    <x v="2"/>
    <s v=""/>
    <x v="1"/>
    <x v="0"/>
    <s v="L"/>
    <x v="2"/>
    <n v="27.484999999999996"/>
    <x v="4"/>
    <x v="0"/>
    <x v="1"/>
  </r>
  <r>
    <s v="CVP-18956-553"/>
    <d v="2021-08-04T00:00:00"/>
    <x v="1"/>
    <n v="8"/>
    <x v="3"/>
    <s v="86561-91660-RB"/>
    <s v="L-D-1"/>
    <n v="3"/>
    <x v="3"/>
    <s v=""/>
    <x v="0"/>
    <x v="3"/>
    <s v="D"/>
    <x v="0"/>
    <n v="12.95"/>
    <x v="5"/>
    <x v="3"/>
    <x v="2"/>
  </r>
  <r>
    <s v="IPP-31994-879"/>
    <d v="2022-01-21T00:00:00"/>
    <x v="2"/>
    <n v="1"/>
    <x v="4"/>
    <s v="65223-29612-CB"/>
    <s v="E-D-0.5"/>
    <n v="3"/>
    <x v="4"/>
    <s v="slobe6@nifty.com"/>
    <x v="0"/>
    <x v="1"/>
    <s v="D"/>
    <x v="1"/>
    <n v="7.29"/>
    <x v="6"/>
    <x v="1"/>
    <x v="2"/>
  </r>
  <r>
    <s v="SNZ-65340-705"/>
    <d v="2022-05-20T00:00:00"/>
    <x v="2"/>
    <n v="5"/>
    <x v="5"/>
    <s v="21134-81676-FR"/>
    <s v="L-L-0.2"/>
    <n v="1"/>
    <x v="5"/>
    <s v=""/>
    <x v="1"/>
    <x v="3"/>
    <s v="L"/>
    <x v="3"/>
    <n v="4.7549999999999999"/>
    <x v="7"/>
    <x v="3"/>
    <x v="1"/>
  </r>
  <r>
    <s v="EZT-46571-659"/>
    <d v="2019-01-02T00:00:00"/>
    <x v="0"/>
    <n v="1"/>
    <x v="4"/>
    <s v="03396-68805-ZC"/>
    <s v="R-M-0.5"/>
    <n v="3"/>
    <x v="6"/>
    <s v="gpetracci8@livejournal.com"/>
    <x v="0"/>
    <x v="0"/>
    <s v="M"/>
    <x v="1"/>
    <n v="5.97"/>
    <x v="8"/>
    <x v="0"/>
    <x v="0"/>
  </r>
  <r>
    <s v="NWQ-70061-912"/>
    <d v="2019-09-05T00:00:00"/>
    <x v="0"/>
    <n v="9"/>
    <x v="0"/>
    <s v="61021-27840-ZN"/>
    <s v="R-M-0.5"/>
    <n v="1"/>
    <x v="7"/>
    <s v="rraven9@ed.gov"/>
    <x v="0"/>
    <x v="0"/>
    <s v="M"/>
    <x v="1"/>
    <n v="5.97"/>
    <x v="9"/>
    <x v="0"/>
    <x v="0"/>
  </r>
  <r>
    <s v="BKK-47233-845"/>
    <d v="2021-03-08T00:00:00"/>
    <x v="1"/>
    <n v="3"/>
    <x v="6"/>
    <s v="76239-90137-UQ"/>
    <s v="A-D-1"/>
    <n v="4"/>
    <x v="8"/>
    <s v="fferbera@businesswire.com"/>
    <x v="0"/>
    <x v="2"/>
    <s v="D"/>
    <x v="0"/>
    <n v="9.9499999999999993"/>
    <x v="10"/>
    <x v="2"/>
    <x v="2"/>
  </r>
  <r>
    <s v="VQR-01002-970"/>
    <d v="2020-10-28T00:00:00"/>
    <x v="3"/>
    <n v="10"/>
    <x v="7"/>
    <s v="49315-21985-BB"/>
    <s v="E-L-2.5"/>
    <n v="5"/>
    <x v="9"/>
    <s v="dphizackerlyb@utexas.edu"/>
    <x v="0"/>
    <x v="1"/>
    <s v="L"/>
    <x v="2"/>
    <n v="34.154999999999994"/>
    <x v="11"/>
    <x v="1"/>
    <x v="1"/>
  </r>
  <r>
    <s v="SZW-48378-399"/>
    <d v="2022-07-02T00:00:00"/>
    <x v="2"/>
    <n v="7"/>
    <x v="2"/>
    <s v="34136-36674-OM"/>
    <s v="R-M-1"/>
    <n v="5"/>
    <x v="10"/>
    <s v="rscholarc@nyu.edu"/>
    <x v="0"/>
    <x v="0"/>
    <s v="M"/>
    <x v="0"/>
    <n v="9.9499999999999993"/>
    <x v="12"/>
    <x v="0"/>
    <x v="0"/>
  </r>
  <r>
    <s v="ITA-87418-783"/>
    <d v="2020-05-22T00:00:00"/>
    <x v="3"/>
    <n v="5"/>
    <x v="5"/>
    <s v="39396-12890-PE"/>
    <s v="R-D-2.5"/>
    <n v="2"/>
    <x v="11"/>
    <s v="tvanyutind@wix.com"/>
    <x v="0"/>
    <x v="0"/>
    <s v="D"/>
    <x v="2"/>
    <n v="20.584999999999997"/>
    <x v="13"/>
    <x v="0"/>
    <x v="2"/>
  </r>
  <r>
    <s v="GNZ-46006-527"/>
    <d v="2022-04-05T00:00:00"/>
    <x v="2"/>
    <n v="4"/>
    <x v="8"/>
    <s v="95875-73336-RG"/>
    <s v="L-D-0.2"/>
    <n v="3"/>
    <x v="12"/>
    <s v="ptrobee@wunderground.com"/>
    <x v="0"/>
    <x v="3"/>
    <s v="D"/>
    <x v="3"/>
    <n v="3.8849999999999998"/>
    <x v="14"/>
    <x v="3"/>
    <x v="2"/>
  </r>
  <r>
    <s v="FYQ-78248-319"/>
    <d v="2022-06-07T00:00:00"/>
    <x v="2"/>
    <n v="6"/>
    <x v="1"/>
    <s v="25473-43727-BY"/>
    <s v="R-M-2.5"/>
    <n v="5"/>
    <x v="13"/>
    <s v="loscroftf@ebay.co.uk"/>
    <x v="0"/>
    <x v="0"/>
    <s v="M"/>
    <x v="2"/>
    <n v="22.884999999999998"/>
    <x v="15"/>
    <x v="0"/>
    <x v="0"/>
  </r>
  <r>
    <s v="VAU-44387-624"/>
    <d v="2019-03-20T00:00:00"/>
    <x v="0"/>
    <n v="3"/>
    <x v="6"/>
    <s v="99643-51048-IQ"/>
    <s v="A-M-0.2"/>
    <n v="6"/>
    <x v="14"/>
    <s v="malabasterg@hexun.com"/>
    <x v="0"/>
    <x v="2"/>
    <s v="M"/>
    <x v="3"/>
    <n v="3.375"/>
    <x v="16"/>
    <x v="2"/>
    <x v="0"/>
  </r>
  <r>
    <s v="RDW-33155-159"/>
    <d v="2019-10-19T00:00:00"/>
    <x v="0"/>
    <n v="10"/>
    <x v="7"/>
    <s v="62173-15287-CU"/>
    <s v="A-L-1"/>
    <n v="6"/>
    <x v="15"/>
    <s v="rbroxuph@jimdo.com"/>
    <x v="0"/>
    <x v="2"/>
    <s v="L"/>
    <x v="0"/>
    <n v="12.95"/>
    <x v="17"/>
    <x v="2"/>
    <x v="1"/>
  </r>
  <r>
    <s v="TDZ-59011-211"/>
    <d v="2019-06-13T00:00:00"/>
    <x v="0"/>
    <n v="6"/>
    <x v="1"/>
    <s v="57611-05522-ST"/>
    <s v="R-D-2.5"/>
    <n v="4"/>
    <x v="16"/>
    <s v="predfordi@ow.ly"/>
    <x v="1"/>
    <x v="0"/>
    <s v="D"/>
    <x v="2"/>
    <n v="20.584999999999997"/>
    <x v="18"/>
    <x v="0"/>
    <x v="2"/>
  </r>
  <r>
    <s v="IDU-25793-399"/>
    <d v="2020-12-04T00:00:00"/>
    <x v="3"/>
    <n v="12"/>
    <x v="9"/>
    <s v="76664-37050-DT"/>
    <s v="A-M-0.2"/>
    <n v="5"/>
    <x v="17"/>
    <s v="acorradinoj@harvard.edu"/>
    <x v="0"/>
    <x v="2"/>
    <s v="M"/>
    <x v="3"/>
    <n v="3.375"/>
    <x v="19"/>
    <x v="2"/>
    <x v="0"/>
  </r>
  <r>
    <s v="IDU-25793-399"/>
    <d v="2020-12-04T00:00:00"/>
    <x v="3"/>
    <n v="12"/>
    <x v="9"/>
    <s v="76664-37050-DT"/>
    <s v="E-D-0.2"/>
    <n v="4"/>
    <x v="17"/>
    <s v="acorradinoj@harvard.edu"/>
    <x v="0"/>
    <x v="1"/>
    <s v="D"/>
    <x v="3"/>
    <n v="3.645"/>
    <x v="20"/>
    <x v="1"/>
    <x v="2"/>
  </r>
  <r>
    <s v="NUO-20013-488"/>
    <d v="2020-12-04T00:00:00"/>
    <x v="3"/>
    <n v="12"/>
    <x v="9"/>
    <s v="03090-88267-BQ"/>
    <s v="A-D-0.2"/>
    <n v="6"/>
    <x v="18"/>
    <s v="adavidowskyl@netvibes.com"/>
    <x v="0"/>
    <x v="2"/>
    <s v="D"/>
    <x v="3"/>
    <n v="2.9849999999999999"/>
    <x v="8"/>
    <x v="2"/>
    <x v="2"/>
  </r>
  <r>
    <s v="UQU-65630-479"/>
    <d v="2021-01-22T00:00:00"/>
    <x v="1"/>
    <n v="1"/>
    <x v="4"/>
    <s v="37651-47492-NC"/>
    <s v="R-M-2.5"/>
    <n v="4"/>
    <x v="19"/>
    <s v="aantukm@kickstarter.com"/>
    <x v="0"/>
    <x v="0"/>
    <s v="M"/>
    <x v="2"/>
    <n v="22.884999999999998"/>
    <x v="21"/>
    <x v="0"/>
    <x v="0"/>
  </r>
  <r>
    <s v="FEO-11834-332"/>
    <d v="2022-02-11T00:00:00"/>
    <x v="2"/>
    <n v="2"/>
    <x v="10"/>
    <s v="95399-57205-HI"/>
    <s v="A-D-0.2"/>
    <n v="4"/>
    <x v="20"/>
    <s v="ikleinertn@timesonline.co.uk"/>
    <x v="0"/>
    <x v="2"/>
    <s v="D"/>
    <x v="3"/>
    <n v="2.9849999999999999"/>
    <x v="22"/>
    <x v="2"/>
    <x v="2"/>
  </r>
  <r>
    <s v="TKY-71558-096"/>
    <d v="2021-09-15T00:00:00"/>
    <x v="1"/>
    <n v="9"/>
    <x v="0"/>
    <s v="24010-66714-HW"/>
    <s v="A-M-1"/>
    <n v="1"/>
    <x v="21"/>
    <s v="cblofeldo@amazon.co.uk"/>
    <x v="0"/>
    <x v="2"/>
    <s v="M"/>
    <x v="0"/>
    <n v="11.25"/>
    <x v="23"/>
    <x v="2"/>
    <x v="0"/>
  </r>
  <r>
    <s v="OXY-65322-253"/>
    <d v="2020-10-24T00:00:00"/>
    <x v="3"/>
    <n v="10"/>
    <x v="7"/>
    <s v="07591-92789-UA"/>
    <s v="E-M-0.2"/>
    <n v="3"/>
    <x v="22"/>
    <s v=""/>
    <x v="0"/>
    <x v="1"/>
    <s v="M"/>
    <x v="3"/>
    <n v="4.125"/>
    <x v="24"/>
    <x v="1"/>
    <x v="0"/>
  </r>
  <r>
    <s v="EVP-43500-491"/>
    <d v="2019-02-20T00:00:00"/>
    <x v="0"/>
    <n v="2"/>
    <x v="10"/>
    <s v="49231-44455-IC"/>
    <s v="A-M-0.5"/>
    <n v="4"/>
    <x v="23"/>
    <s v="sshalesq@umich.edu"/>
    <x v="0"/>
    <x v="2"/>
    <s v="M"/>
    <x v="1"/>
    <n v="6.75"/>
    <x v="25"/>
    <x v="2"/>
    <x v="0"/>
  </r>
  <r>
    <s v="WAG-26945-689"/>
    <d v="2019-10-08T00:00:00"/>
    <x v="0"/>
    <n v="10"/>
    <x v="7"/>
    <s v="50124-88608-EO"/>
    <s v="A-M-0.2"/>
    <n v="5"/>
    <x v="24"/>
    <s v="vdanneilr@mtv.com"/>
    <x v="1"/>
    <x v="2"/>
    <s v="M"/>
    <x v="3"/>
    <n v="3.375"/>
    <x v="19"/>
    <x v="2"/>
    <x v="0"/>
  </r>
  <r>
    <s v="CHE-78995-767"/>
    <d v="2022-08-02T00:00:00"/>
    <x v="2"/>
    <n v="8"/>
    <x v="3"/>
    <s v="00888-74814-UZ"/>
    <s v="A-D-0.5"/>
    <n v="3"/>
    <x v="25"/>
    <s v="tnewburys@usda.gov"/>
    <x v="1"/>
    <x v="2"/>
    <s v="D"/>
    <x v="1"/>
    <n v="5.97"/>
    <x v="8"/>
    <x v="2"/>
    <x v="2"/>
  </r>
  <r>
    <s v="RYZ-14633-602"/>
    <d v="2019-02-20T00:00:00"/>
    <x v="0"/>
    <n v="2"/>
    <x v="10"/>
    <s v="14158-30713-OB"/>
    <s v="A-D-1"/>
    <n v="4"/>
    <x v="26"/>
    <s v="mcalcuttt@baidu.com"/>
    <x v="1"/>
    <x v="2"/>
    <s v="D"/>
    <x v="0"/>
    <n v="9.9499999999999993"/>
    <x v="10"/>
    <x v="2"/>
    <x v="2"/>
  </r>
  <r>
    <s v="WOQ-36015-429"/>
    <d v="2021-09-25T00:00:00"/>
    <x v="1"/>
    <n v="9"/>
    <x v="0"/>
    <s v="51427-89175-QJ"/>
    <s v="L-M-0.2"/>
    <n v="5"/>
    <x v="27"/>
    <s v=""/>
    <x v="0"/>
    <x v="3"/>
    <s v="M"/>
    <x v="3"/>
    <n v="4.3650000000000002"/>
    <x v="26"/>
    <x v="3"/>
    <x v="0"/>
  </r>
  <r>
    <s v="WOQ-36015-429"/>
    <d v="2021-09-25T00:00:00"/>
    <x v="1"/>
    <n v="9"/>
    <x v="0"/>
    <s v="51427-89175-QJ"/>
    <s v="A-D-0.5"/>
    <n v="6"/>
    <x v="27"/>
    <s v=""/>
    <x v="0"/>
    <x v="2"/>
    <s v="D"/>
    <x v="1"/>
    <n v="5.97"/>
    <x v="27"/>
    <x v="2"/>
    <x v="2"/>
  </r>
  <r>
    <s v="WOQ-36015-429"/>
    <d v="2021-09-25T00:00:00"/>
    <x v="1"/>
    <n v="9"/>
    <x v="0"/>
    <s v="51427-89175-QJ"/>
    <s v="L-M-0.5"/>
    <n v="6"/>
    <x v="28"/>
    <s v="Not Found"/>
    <x v="2"/>
    <x v="3"/>
    <s v="M"/>
    <x v="1"/>
    <n v="8.73"/>
    <x v="28"/>
    <x v="3"/>
    <x v="0"/>
  </r>
  <r>
    <s v="SCT-60553-454"/>
    <d v="2021-07-17T00:00:00"/>
    <x v="1"/>
    <n v="7"/>
    <x v="2"/>
    <s v="39123-12846-YJ"/>
    <s v="L-L-0.2"/>
    <n v="5"/>
    <x v="29"/>
    <s v="ggatheralx@123-reg.co.uk"/>
    <x v="0"/>
    <x v="3"/>
    <s v="L"/>
    <x v="3"/>
    <n v="4.7549999999999999"/>
    <x v="29"/>
    <x v="3"/>
    <x v="1"/>
  </r>
  <r>
    <s v="GFK-52063-244"/>
    <d v="2020-06-29T00:00:00"/>
    <x v="3"/>
    <n v="6"/>
    <x v="1"/>
    <s v="44981-99666-XB"/>
    <s v="L-L-0.5"/>
    <n v="6"/>
    <x v="30"/>
    <s v="uwelberryy@ebay.co.uk"/>
    <x v="3"/>
    <x v="3"/>
    <s v="L"/>
    <x v="1"/>
    <n v="9.51"/>
    <x v="30"/>
    <x v="3"/>
    <x v="1"/>
  </r>
  <r>
    <s v="AMM-79521-378"/>
    <d v="2021-06-01T00:00:00"/>
    <x v="1"/>
    <n v="6"/>
    <x v="1"/>
    <s v="24825-51803-CQ"/>
    <s v="A-D-0.5"/>
    <n v="6"/>
    <x v="31"/>
    <s v="feilhartz@who.int"/>
    <x v="0"/>
    <x v="2"/>
    <s v="D"/>
    <x v="1"/>
    <n v="5.97"/>
    <x v="27"/>
    <x v="2"/>
    <x v="2"/>
  </r>
  <r>
    <s v="QUQ-90580-772"/>
    <d v="2021-02-06T00:00:00"/>
    <x v="1"/>
    <n v="2"/>
    <x v="10"/>
    <s v="77634-13918-GJ"/>
    <s v="L-M-0.2"/>
    <n v="2"/>
    <x v="32"/>
    <s v="zponting10@altervista.org"/>
    <x v="0"/>
    <x v="3"/>
    <s v="M"/>
    <x v="3"/>
    <n v="4.3650000000000002"/>
    <x v="31"/>
    <x v="3"/>
    <x v="0"/>
  </r>
  <r>
    <s v="LGD-24408-274"/>
    <d v="2019-04-25T00:00:00"/>
    <x v="0"/>
    <n v="4"/>
    <x v="8"/>
    <s v="13694-25001-LX"/>
    <s v="L-L-0.5"/>
    <n v="3"/>
    <x v="33"/>
    <s v="sstrase11@booking.com"/>
    <x v="0"/>
    <x v="3"/>
    <s v="L"/>
    <x v="1"/>
    <n v="9.51"/>
    <x v="32"/>
    <x v="3"/>
    <x v="1"/>
  </r>
  <r>
    <s v="HCT-95608-959"/>
    <d v="2020-04-25T00:00:00"/>
    <x v="3"/>
    <n v="4"/>
    <x v="8"/>
    <s v="08523-01791-TI"/>
    <s v="R-M-2.5"/>
    <n v="5"/>
    <x v="34"/>
    <s v="dde12@unesco.org"/>
    <x v="0"/>
    <x v="0"/>
    <s v="M"/>
    <x v="2"/>
    <n v="22.884999999999998"/>
    <x v="15"/>
    <x v="0"/>
    <x v="0"/>
  </r>
  <r>
    <s v="OFX-99147-470"/>
    <d v="2021-11-24T00:00:00"/>
    <x v="1"/>
    <n v="11"/>
    <x v="11"/>
    <s v="49860-68865-AB"/>
    <s v="R-M-1"/>
    <n v="6"/>
    <x v="35"/>
    <s v=""/>
    <x v="0"/>
    <x v="0"/>
    <s v="M"/>
    <x v="0"/>
    <n v="9.9499999999999993"/>
    <x v="33"/>
    <x v="0"/>
    <x v="0"/>
  </r>
  <r>
    <s v="LUO-37559-016"/>
    <d v="2021-04-19T00:00:00"/>
    <x v="1"/>
    <n v="4"/>
    <x v="8"/>
    <s v="21240-83132-SP"/>
    <s v="L-M-1"/>
    <n v="3"/>
    <x v="36"/>
    <s v=""/>
    <x v="0"/>
    <x v="3"/>
    <s v="M"/>
    <x v="0"/>
    <n v="14.55"/>
    <x v="34"/>
    <x v="3"/>
    <x v="0"/>
  </r>
  <r>
    <s v="XWC-20610-167"/>
    <d v="2022-07-07T00:00:00"/>
    <x v="2"/>
    <n v="7"/>
    <x v="2"/>
    <s v="08350-81623-TF"/>
    <s v="E-D-0.2"/>
    <n v="2"/>
    <x v="37"/>
    <s v="lyeoland15@pbs.org"/>
    <x v="0"/>
    <x v="1"/>
    <s v="D"/>
    <x v="3"/>
    <n v="3.645"/>
    <x v="35"/>
    <x v="1"/>
    <x v="2"/>
  </r>
  <r>
    <s v="GPU-79113-136"/>
    <d v="2019-05-22T00:00:00"/>
    <x v="0"/>
    <n v="5"/>
    <x v="5"/>
    <s v="73284-01385-SJ"/>
    <s v="R-D-0.2"/>
    <n v="3"/>
    <x v="38"/>
    <s v="atolworthy16@toplist.cz"/>
    <x v="0"/>
    <x v="0"/>
    <s v="D"/>
    <x v="3"/>
    <n v="2.6849999999999996"/>
    <x v="36"/>
    <x v="0"/>
    <x v="2"/>
  </r>
  <r>
    <s v="ULR-52653-960"/>
    <d v="2021-10-04T00:00:00"/>
    <x v="1"/>
    <n v="10"/>
    <x v="7"/>
    <s v="04152-34436-IE"/>
    <s v="L-L-2.5"/>
    <n v="2"/>
    <x v="39"/>
    <s v=""/>
    <x v="0"/>
    <x v="3"/>
    <s v="L"/>
    <x v="2"/>
    <n v="36.454999999999998"/>
    <x v="37"/>
    <x v="3"/>
    <x v="1"/>
  </r>
  <r>
    <s v="HPI-42308-142"/>
    <d v="2020-04-11T00:00:00"/>
    <x v="3"/>
    <n v="4"/>
    <x v="8"/>
    <s v="06631-86965-XP"/>
    <s v="E-M-0.5"/>
    <n v="2"/>
    <x v="40"/>
    <s v="obaudassi18@seesaa.net"/>
    <x v="0"/>
    <x v="1"/>
    <s v="M"/>
    <x v="1"/>
    <n v="8.25"/>
    <x v="38"/>
    <x v="1"/>
    <x v="0"/>
  </r>
  <r>
    <s v="XHI-30227-581"/>
    <d v="2022-01-31T00:00:00"/>
    <x v="2"/>
    <n v="1"/>
    <x v="4"/>
    <s v="54619-08558-ZU"/>
    <s v="L-D-2.5"/>
    <n v="6"/>
    <x v="41"/>
    <s v="pkingsbury19@comcast.net"/>
    <x v="0"/>
    <x v="3"/>
    <s v="D"/>
    <x v="2"/>
    <n v="29.784999999999997"/>
    <x v="39"/>
    <x v="3"/>
    <x v="2"/>
  </r>
  <r>
    <s v="DJH-05202-380"/>
    <d v="2019-11-07T00:00:00"/>
    <x v="0"/>
    <n v="11"/>
    <x v="11"/>
    <s v="85589-17020-CX"/>
    <s v="E-M-2.5"/>
    <n v="2"/>
    <x v="42"/>
    <s v=""/>
    <x v="0"/>
    <x v="1"/>
    <s v="M"/>
    <x v="2"/>
    <n v="31.624999999999996"/>
    <x v="40"/>
    <x v="1"/>
    <x v="0"/>
  </r>
  <r>
    <s v="VMW-26889-781"/>
    <d v="2019-06-28T00:00:00"/>
    <x v="0"/>
    <n v="6"/>
    <x v="1"/>
    <s v="36078-91009-WU"/>
    <s v="A-L-0.2"/>
    <n v="2"/>
    <x v="43"/>
    <s v="acurley1b@hao123.com"/>
    <x v="0"/>
    <x v="2"/>
    <s v="L"/>
    <x v="3"/>
    <n v="3.8849999999999998"/>
    <x v="41"/>
    <x v="2"/>
    <x v="1"/>
  </r>
  <r>
    <s v="DBU-81099-586"/>
    <d v="2020-09-11T00:00:00"/>
    <x v="3"/>
    <n v="9"/>
    <x v="0"/>
    <s v="15770-27099-GX"/>
    <s v="A-D-2.5"/>
    <n v="4"/>
    <x v="44"/>
    <s v="rmcgilvary1c@tamu.edu"/>
    <x v="0"/>
    <x v="2"/>
    <s v="D"/>
    <x v="2"/>
    <n v="22.884999999999998"/>
    <x v="21"/>
    <x v="2"/>
    <x v="2"/>
  </r>
  <r>
    <s v="PQA-54820-810"/>
    <d v="2022-08-17T00:00:00"/>
    <x v="2"/>
    <n v="8"/>
    <x v="3"/>
    <s v="91460-04823-BX"/>
    <s v="A-L-1"/>
    <n v="3"/>
    <x v="45"/>
    <s v="ipikett1d@xinhuanet.com"/>
    <x v="0"/>
    <x v="2"/>
    <s v="L"/>
    <x v="0"/>
    <n v="12.95"/>
    <x v="5"/>
    <x v="2"/>
    <x v="1"/>
  </r>
  <r>
    <s v="XKB-41924-202"/>
    <d v="2022-08-19T00:00:00"/>
    <x v="2"/>
    <n v="8"/>
    <x v="3"/>
    <s v="45089-52817-WN"/>
    <s v="L-D-0.5"/>
    <n v="2"/>
    <x v="46"/>
    <s v="ibouldon1e@gizmodo.com"/>
    <x v="0"/>
    <x v="3"/>
    <s v="D"/>
    <x v="1"/>
    <n v="7.77"/>
    <x v="42"/>
    <x v="3"/>
    <x v="2"/>
  </r>
  <r>
    <s v="DWZ-69106-473"/>
    <d v="2019-05-15T00:00:00"/>
    <x v="0"/>
    <n v="5"/>
    <x v="5"/>
    <s v="76447-50326-IC"/>
    <s v="L-L-2.5"/>
    <n v="4"/>
    <x v="47"/>
    <s v="kflanders1f@over-blog.com"/>
    <x v="1"/>
    <x v="3"/>
    <s v="L"/>
    <x v="2"/>
    <n v="36.454999999999998"/>
    <x v="43"/>
    <x v="3"/>
    <x v="1"/>
  </r>
  <r>
    <s v="YHV-68700-050"/>
    <d v="2019-09-11T00:00:00"/>
    <x v="0"/>
    <n v="9"/>
    <x v="0"/>
    <s v="26333-67911-OL"/>
    <s v="R-M-0.5"/>
    <n v="5"/>
    <x v="48"/>
    <s v="hmattioli1g@webmd.com"/>
    <x v="3"/>
    <x v="0"/>
    <s v="M"/>
    <x v="1"/>
    <n v="5.97"/>
    <x v="44"/>
    <x v="0"/>
    <x v="0"/>
  </r>
  <r>
    <s v="YHV-68700-050"/>
    <d v="2019-09-11T00:00:00"/>
    <x v="0"/>
    <n v="9"/>
    <x v="0"/>
    <s v="26333-67911-OL"/>
    <s v="L-L-2.5"/>
    <n v="2"/>
    <x v="48"/>
    <s v="hmattioli1g@webmd.com"/>
    <x v="3"/>
    <x v="3"/>
    <s v="L"/>
    <x v="2"/>
    <n v="36.454999999999998"/>
    <x v="37"/>
    <x v="3"/>
    <x v="1"/>
  </r>
  <r>
    <s v="KRB-88066-642"/>
    <d v="2021-03-16T00:00:00"/>
    <x v="1"/>
    <n v="3"/>
    <x v="6"/>
    <s v="22107-86640-SB"/>
    <s v="L-M-1"/>
    <n v="5"/>
    <x v="49"/>
    <s v="agillard1i@issuu.com"/>
    <x v="0"/>
    <x v="3"/>
    <s v="M"/>
    <x v="0"/>
    <n v="14.55"/>
    <x v="45"/>
    <x v="3"/>
    <x v="0"/>
  </r>
  <r>
    <s v="LQU-08404-173"/>
    <d v="2020-12-03T00:00:00"/>
    <x v="3"/>
    <n v="12"/>
    <x v="9"/>
    <s v="09960-34242-LZ"/>
    <s v="L-L-1"/>
    <n v="3"/>
    <x v="50"/>
    <s v=""/>
    <x v="0"/>
    <x v="3"/>
    <s v="L"/>
    <x v="0"/>
    <n v="15.85"/>
    <x v="46"/>
    <x v="3"/>
    <x v="1"/>
  </r>
  <r>
    <s v="CWK-60159-881"/>
    <d v="2020-01-27T00:00:00"/>
    <x v="3"/>
    <n v="1"/>
    <x v="4"/>
    <s v="04671-85591-RT"/>
    <s v="E-D-0.2"/>
    <n v="3"/>
    <x v="51"/>
    <s v="tgrizard1k@odnoklassniki.ru"/>
    <x v="0"/>
    <x v="1"/>
    <s v="D"/>
    <x v="3"/>
    <n v="3.645"/>
    <x v="47"/>
    <x v="1"/>
    <x v="2"/>
  </r>
  <r>
    <s v="EEG-74197-843"/>
    <d v="2022-07-17T00:00:00"/>
    <x v="2"/>
    <n v="7"/>
    <x v="2"/>
    <s v="25729-68859-UA"/>
    <s v="E-L-1"/>
    <n v="4"/>
    <x v="52"/>
    <s v="rrelton1l@stanford.edu"/>
    <x v="0"/>
    <x v="1"/>
    <s v="L"/>
    <x v="0"/>
    <n v="14.85"/>
    <x v="48"/>
    <x v="1"/>
    <x v="1"/>
  </r>
  <r>
    <s v="UCZ-59708-525"/>
    <d v="2022-03-04T00:00:00"/>
    <x v="2"/>
    <n v="3"/>
    <x v="6"/>
    <s v="05501-86351-NX"/>
    <s v="L-D-2.5"/>
    <n v="3"/>
    <x v="53"/>
    <s v=""/>
    <x v="0"/>
    <x v="3"/>
    <s v="D"/>
    <x v="2"/>
    <n v="29.784999999999997"/>
    <x v="49"/>
    <x v="3"/>
    <x v="2"/>
  </r>
  <r>
    <s v="HUB-47311-849"/>
    <d v="2021-12-07T00:00:00"/>
    <x v="1"/>
    <n v="12"/>
    <x v="9"/>
    <s v="04521-04300-OK"/>
    <s v="L-M-0.5"/>
    <n v="3"/>
    <x v="54"/>
    <s v="sgilroy1n@eepurl.com"/>
    <x v="0"/>
    <x v="3"/>
    <s v="M"/>
    <x v="1"/>
    <n v="8.73"/>
    <x v="50"/>
    <x v="3"/>
    <x v="0"/>
  </r>
  <r>
    <s v="WYM-17686-694"/>
    <d v="2021-02-25T00:00:00"/>
    <x v="1"/>
    <n v="2"/>
    <x v="10"/>
    <s v="58689-55264-VK"/>
    <s v="A-D-2.5"/>
    <n v="5"/>
    <x v="55"/>
    <s v="ccottingham1o@wikipedia.org"/>
    <x v="0"/>
    <x v="2"/>
    <s v="D"/>
    <x v="2"/>
    <n v="22.884999999999998"/>
    <x v="15"/>
    <x v="2"/>
    <x v="2"/>
  </r>
  <r>
    <s v="ZYQ-15797-695"/>
    <d v="2019-02-25T00:00:00"/>
    <x v="0"/>
    <n v="2"/>
    <x v="10"/>
    <s v="79436-73011-MM"/>
    <s v="R-D-0.5"/>
    <n v="5"/>
    <x v="56"/>
    <s v=""/>
    <x v="3"/>
    <x v="0"/>
    <s v="D"/>
    <x v="1"/>
    <n v="5.3699999999999992"/>
    <x v="51"/>
    <x v="0"/>
    <x v="2"/>
  </r>
  <r>
    <s v="EEJ-16185-108"/>
    <d v="2019-02-09T00:00:00"/>
    <x v="0"/>
    <n v="2"/>
    <x v="10"/>
    <s v="65552-60476-KY"/>
    <s v="L-L-0.2"/>
    <n v="5"/>
    <x v="57"/>
    <s v=""/>
    <x v="0"/>
    <x v="3"/>
    <s v="L"/>
    <x v="3"/>
    <n v="4.7549999999999999"/>
    <x v="29"/>
    <x v="3"/>
    <x v="1"/>
  </r>
  <r>
    <s v="RWR-77888-800"/>
    <d v="2020-02-07T00:00:00"/>
    <x v="3"/>
    <n v="2"/>
    <x v="10"/>
    <s v="69904-02729-YS"/>
    <s v="A-M-0.5"/>
    <n v="1"/>
    <x v="58"/>
    <s v="adykes1r@eventbrite.com"/>
    <x v="0"/>
    <x v="2"/>
    <s v="M"/>
    <x v="1"/>
    <n v="6.75"/>
    <x v="52"/>
    <x v="2"/>
    <x v="0"/>
  </r>
  <r>
    <s v="LHN-75209-742"/>
    <d v="2020-03-23T00:00:00"/>
    <x v="3"/>
    <n v="3"/>
    <x v="6"/>
    <s v="01433-04270-AX"/>
    <s v="R-M-0.5"/>
    <n v="6"/>
    <x v="59"/>
    <s v=""/>
    <x v="0"/>
    <x v="0"/>
    <s v="M"/>
    <x v="1"/>
    <n v="5.97"/>
    <x v="27"/>
    <x v="0"/>
    <x v="0"/>
  </r>
  <r>
    <s v="TIR-71396-998"/>
    <d v="2022-03-06T00:00:00"/>
    <x v="2"/>
    <n v="3"/>
    <x v="6"/>
    <s v="14204-14186-LA"/>
    <s v="R-D-2.5"/>
    <n v="4"/>
    <x v="60"/>
    <s v="acockrem1t@engadget.com"/>
    <x v="0"/>
    <x v="0"/>
    <s v="D"/>
    <x v="2"/>
    <n v="20.584999999999997"/>
    <x v="18"/>
    <x v="0"/>
    <x v="2"/>
  </r>
  <r>
    <s v="RXF-37618-213"/>
    <d v="2022-04-15T00:00:00"/>
    <x v="2"/>
    <n v="4"/>
    <x v="8"/>
    <s v="32948-34398-HC"/>
    <s v="R-L-0.5"/>
    <n v="1"/>
    <x v="61"/>
    <s v="bumpleby1u@soundcloud.com"/>
    <x v="0"/>
    <x v="0"/>
    <s v="L"/>
    <x v="1"/>
    <n v="7.169999999999999"/>
    <x v="53"/>
    <x v="0"/>
    <x v="1"/>
  </r>
  <r>
    <s v="ANM-16388-634"/>
    <d v="2021-11-19T00:00:00"/>
    <x v="1"/>
    <n v="11"/>
    <x v="11"/>
    <s v="77343-52608-FF"/>
    <s v="L-L-0.2"/>
    <n v="2"/>
    <x v="62"/>
    <s v="nsaleway1v@dedecms.com"/>
    <x v="0"/>
    <x v="3"/>
    <s v="L"/>
    <x v="3"/>
    <n v="4.7549999999999999"/>
    <x v="54"/>
    <x v="3"/>
    <x v="1"/>
  </r>
  <r>
    <s v="WYL-29300-070"/>
    <d v="2019-10-16T00:00:00"/>
    <x v="0"/>
    <n v="10"/>
    <x v="7"/>
    <s v="42770-36274-QA"/>
    <s v="R-M-0.2"/>
    <n v="1"/>
    <x v="63"/>
    <s v="hgoulter1w@abc.net.au"/>
    <x v="0"/>
    <x v="0"/>
    <s v="M"/>
    <x v="3"/>
    <n v="2.9849999999999999"/>
    <x v="55"/>
    <x v="0"/>
    <x v="0"/>
  </r>
  <r>
    <s v="JHW-74554-805"/>
    <d v="2019-11-26T00:00:00"/>
    <x v="0"/>
    <n v="11"/>
    <x v="11"/>
    <s v="14103-58987-ZU"/>
    <s v="R-M-1"/>
    <n v="6"/>
    <x v="64"/>
    <s v="grizzello1x@symantec.com"/>
    <x v="3"/>
    <x v="0"/>
    <s v="M"/>
    <x v="0"/>
    <n v="9.9499999999999993"/>
    <x v="33"/>
    <x v="0"/>
    <x v="0"/>
  </r>
  <r>
    <s v="KYS-27063-603"/>
    <d v="2019-06-30T00:00:00"/>
    <x v="0"/>
    <n v="6"/>
    <x v="1"/>
    <s v="69958-32065-SW"/>
    <s v="E-L-2.5"/>
    <n v="4"/>
    <x v="65"/>
    <s v="slist1y@mapquest.com"/>
    <x v="0"/>
    <x v="1"/>
    <s v="L"/>
    <x v="2"/>
    <n v="34.154999999999994"/>
    <x v="56"/>
    <x v="1"/>
    <x v="1"/>
  </r>
  <r>
    <s v="GAZ-58626-277"/>
    <d v="2021-01-04T00:00:00"/>
    <x v="1"/>
    <n v="1"/>
    <x v="4"/>
    <s v="69533-84907-FA"/>
    <s v="L-L-0.2"/>
    <n v="2"/>
    <x v="66"/>
    <s v="sedmondson1z@theguardian.com"/>
    <x v="1"/>
    <x v="3"/>
    <s v="L"/>
    <x v="3"/>
    <n v="4.7549999999999999"/>
    <x v="54"/>
    <x v="3"/>
    <x v="1"/>
  </r>
  <r>
    <s v="RPJ-37787-335"/>
    <d v="2020-10-27T00:00:00"/>
    <x v="3"/>
    <n v="10"/>
    <x v="7"/>
    <s v="76005-95461-CI"/>
    <s v="A-M-2.5"/>
    <n v="3"/>
    <x v="67"/>
    <s v=""/>
    <x v="0"/>
    <x v="2"/>
    <s v="M"/>
    <x v="2"/>
    <n v="25.874999999999996"/>
    <x v="57"/>
    <x v="2"/>
    <x v="0"/>
  </r>
  <r>
    <s v="LEF-83057-763"/>
    <d v="2021-06-15T00:00:00"/>
    <x v="1"/>
    <n v="6"/>
    <x v="1"/>
    <s v="15395-90855-VB"/>
    <s v="L-M-0.2"/>
    <n v="5"/>
    <x v="68"/>
    <s v=""/>
    <x v="0"/>
    <x v="3"/>
    <s v="M"/>
    <x v="3"/>
    <n v="4.3650000000000002"/>
    <x v="26"/>
    <x v="3"/>
    <x v="0"/>
  </r>
  <r>
    <s v="RPW-36123-215"/>
    <d v="2021-07-19T00:00:00"/>
    <x v="1"/>
    <n v="7"/>
    <x v="2"/>
    <s v="80640-45811-LB"/>
    <s v="E-L-0.5"/>
    <n v="2"/>
    <x v="69"/>
    <s v="jrangall22@newsvine.com"/>
    <x v="0"/>
    <x v="1"/>
    <s v="L"/>
    <x v="1"/>
    <n v="8.91"/>
    <x v="58"/>
    <x v="1"/>
    <x v="1"/>
  </r>
  <r>
    <s v="WLL-59044-117"/>
    <d v="2021-07-23T00:00:00"/>
    <x v="1"/>
    <n v="7"/>
    <x v="2"/>
    <s v="28476-04082-GR"/>
    <s v="R-D-1"/>
    <n v="6"/>
    <x v="70"/>
    <s v="kboorn23@ezinearticles.com"/>
    <x v="1"/>
    <x v="0"/>
    <s v="D"/>
    <x v="0"/>
    <n v="8.9499999999999993"/>
    <x v="59"/>
    <x v="0"/>
    <x v="2"/>
  </r>
  <r>
    <s v="AWT-22827-563"/>
    <d v="2020-01-25T00:00:00"/>
    <x v="3"/>
    <n v="1"/>
    <x v="4"/>
    <s v="12018-75670-EU"/>
    <s v="R-L-0.2"/>
    <n v="1"/>
    <x v="71"/>
    <s v=""/>
    <x v="1"/>
    <x v="0"/>
    <s v="L"/>
    <x v="3"/>
    <n v="3.5849999999999995"/>
    <x v="60"/>
    <x v="0"/>
    <x v="1"/>
  </r>
  <r>
    <s v="QLM-07145-668"/>
    <d v="2019-05-09T00:00:00"/>
    <x v="0"/>
    <n v="5"/>
    <x v="5"/>
    <s v="86437-17399-FK"/>
    <s v="E-D-0.2"/>
    <n v="2"/>
    <x v="72"/>
    <s v="celgey25@webs.com"/>
    <x v="0"/>
    <x v="1"/>
    <s v="D"/>
    <x v="3"/>
    <n v="3.645"/>
    <x v="35"/>
    <x v="1"/>
    <x v="2"/>
  </r>
  <r>
    <s v="HVQ-64398-930"/>
    <d v="2020-03-30T00:00:00"/>
    <x v="3"/>
    <n v="3"/>
    <x v="6"/>
    <s v="62979-53167-ML"/>
    <s v="A-M-0.5"/>
    <n v="6"/>
    <x v="73"/>
    <s v="lmizzi26@rakuten.co.jp"/>
    <x v="0"/>
    <x v="2"/>
    <s v="M"/>
    <x v="1"/>
    <n v="6.75"/>
    <x v="61"/>
    <x v="2"/>
    <x v="0"/>
  </r>
  <r>
    <s v="WRT-40778-247"/>
    <d v="2022-03-13T00:00:00"/>
    <x v="2"/>
    <n v="3"/>
    <x v="6"/>
    <s v="54810-81899-HL"/>
    <s v="R-L-1"/>
    <n v="4"/>
    <x v="74"/>
    <s v="cgiacomazzo27@jigsy.com"/>
    <x v="0"/>
    <x v="0"/>
    <s v="L"/>
    <x v="0"/>
    <n v="11.95"/>
    <x v="62"/>
    <x v="0"/>
    <x v="1"/>
  </r>
  <r>
    <s v="SUB-13006-125"/>
    <d v="2019-04-17T00:00:00"/>
    <x v="0"/>
    <n v="4"/>
    <x v="8"/>
    <s v="26103-41504-IB"/>
    <s v="A-L-0.5"/>
    <n v="5"/>
    <x v="75"/>
    <s v="aarnow28@arizona.edu"/>
    <x v="0"/>
    <x v="2"/>
    <s v="L"/>
    <x v="1"/>
    <n v="7.77"/>
    <x v="5"/>
    <x v="2"/>
    <x v="1"/>
  </r>
  <r>
    <s v="CQM-49696-263"/>
    <d v="2019-10-25T00:00:00"/>
    <x v="0"/>
    <n v="10"/>
    <x v="7"/>
    <s v="76534-45229-SG"/>
    <s v="L-L-2.5"/>
    <n v="3"/>
    <x v="76"/>
    <s v="syann29@senate.gov"/>
    <x v="0"/>
    <x v="3"/>
    <s v="L"/>
    <x v="2"/>
    <n v="36.454999999999998"/>
    <x v="63"/>
    <x v="3"/>
    <x v="1"/>
  </r>
  <r>
    <s v="KXN-85094-246"/>
    <d v="2019-09-13T00:00:00"/>
    <x v="0"/>
    <n v="9"/>
    <x v="0"/>
    <s v="81744-27332-RR"/>
    <s v="L-M-2.5"/>
    <n v="3"/>
    <x v="77"/>
    <s v="bnaulls2a@tiny.cc"/>
    <x v="1"/>
    <x v="3"/>
    <s v="M"/>
    <x v="2"/>
    <n v="33.464999999999996"/>
    <x v="64"/>
    <x v="3"/>
    <x v="0"/>
  </r>
  <r>
    <s v="XOQ-12405-419"/>
    <d v="2020-04-12T00:00:00"/>
    <x v="3"/>
    <n v="4"/>
    <x v="8"/>
    <s v="91513-75657-PH"/>
    <s v="R-D-2.5"/>
    <n v="4"/>
    <x v="78"/>
    <s v=""/>
    <x v="0"/>
    <x v="0"/>
    <s v="D"/>
    <x v="2"/>
    <n v="20.584999999999997"/>
    <x v="18"/>
    <x v="0"/>
    <x v="2"/>
  </r>
  <r>
    <s v="HYF-10254-369"/>
    <d v="2019-11-14T00:00:00"/>
    <x v="0"/>
    <n v="11"/>
    <x v="11"/>
    <s v="30373-66619-CB"/>
    <s v="L-L-0.5"/>
    <n v="1"/>
    <x v="79"/>
    <s v="zsherewood2c@apache.org"/>
    <x v="0"/>
    <x v="3"/>
    <s v="L"/>
    <x v="1"/>
    <n v="9.51"/>
    <x v="54"/>
    <x v="3"/>
    <x v="1"/>
  </r>
  <r>
    <s v="XXJ-47000-307"/>
    <d v="2019-07-18T00:00:00"/>
    <x v="0"/>
    <n v="7"/>
    <x v="2"/>
    <s v="31582-23562-FM"/>
    <s v="A-L-2.5"/>
    <n v="3"/>
    <x v="80"/>
    <s v="jdufaire2d@fc2.com"/>
    <x v="0"/>
    <x v="2"/>
    <s v="L"/>
    <x v="2"/>
    <n v="29.784999999999997"/>
    <x v="49"/>
    <x v="2"/>
    <x v="1"/>
  </r>
  <r>
    <s v="XXJ-47000-307"/>
    <d v="2019-07-18T00:00:00"/>
    <x v="0"/>
    <n v="7"/>
    <x v="2"/>
    <s v="31582-23562-FM"/>
    <s v="A-D-0.2"/>
    <n v="4"/>
    <x v="80"/>
    <s v="jdufaire2d@fc2.com"/>
    <x v="0"/>
    <x v="2"/>
    <s v="D"/>
    <x v="3"/>
    <n v="2.9849999999999999"/>
    <x v="22"/>
    <x v="2"/>
    <x v="2"/>
  </r>
  <r>
    <s v="ZDK-82166-357"/>
    <d v="2021-04-03T00:00:00"/>
    <x v="1"/>
    <n v="4"/>
    <x v="8"/>
    <s v="81431-12577-VD"/>
    <s v="A-M-1"/>
    <n v="3"/>
    <x v="81"/>
    <s v="bkeaveney2f@netlog.com"/>
    <x v="0"/>
    <x v="2"/>
    <s v="M"/>
    <x v="0"/>
    <n v="11.25"/>
    <x v="65"/>
    <x v="2"/>
    <x v="0"/>
  </r>
  <r>
    <s v="IHN-19982-362"/>
    <d v="2021-03-29T00:00:00"/>
    <x v="1"/>
    <n v="3"/>
    <x v="6"/>
    <s v="68894-91205-MP"/>
    <s v="R-L-1"/>
    <n v="3"/>
    <x v="82"/>
    <s v="egrise2g@cargocollective.com"/>
    <x v="0"/>
    <x v="0"/>
    <s v="L"/>
    <x v="0"/>
    <n v="11.95"/>
    <x v="66"/>
    <x v="0"/>
    <x v="1"/>
  </r>
  <r>
    <s v="VMT-10030-889"/>
    <d v="2021-12-15T00:00:00"/>
    <x v="1"/>
    <n v="12"/>
    <x v="9"/>
    <s v="87602-55754-VN"/>
    <s v="A-L-1"/>
    <n v="6"/>
    <x v="83"/>
    <s v="tgottelier2h@vistaprint.com"/>
    <x v="0"/>
    <x v="2"/>
    <s v="L"/>
    <x v="0"/>
    <n v="12.95"/>
    <x v="17"/>
    <x v="2"/>
    <x v="1"/>
  </r>
  <r>
    <s v="NHL-11063-100"/>
    <d v="2020-05-20T00:00:00"/>
    <x v="3"/>
    <n v="5"/>
    <x v="5"/>
    <s v="39181-35745-WH"/>
    <s v="A-L-1"/>
    <n v="4"/>
    <x v="84"/>
    <s v=""/>
    <x v="1"/>
    <x v="2"/>
    <s v="L"/>
    <x v="0"/>
    <n v="12.95"/>
    <x v="67"/>
    <x v="2"/>
    <x v="1"/>
  </r>
  <r>
    <s v="ROV-87448-086"/>
    <d v="2020-11-02T00:00:00"/>
    <x v="3"/>
    <n v="11"/>
    <x v="11"/>
    <s v="30381-64762-NG"/>
    <s v="A-M-2.5"/>
    <n v="4"/>
    <x v="85"/>
    <s v="agreenhead2j@dailymail.co.uk"/>
    <x v="0"/>
    <x v="2"/>
    <s v="M"/>
    <x v="2"/>
    <n v="25.874999999999996"/>
    <x v="68"/>
    <x v="2"/>
    <x v="0"/>
  </r>
  <r>
    <s v="DGY-35773-612"/>
    <d v="2020-07-25T00:00:00"/>
    <x v="3"/>
    <n v="7"/>
    <x v="2"/>
    <s v="17503-27693-ZH"/>
    <s v="E-L-1"/>
    <n v="3"/>
    <x v="86"/>
    <s v=""/>
    <x v="0"/>
    <x v="1"/>
    <s v="L"/>
    <x v="0"/>
    <n v="14.85"/>
    <x v="69"/>
    <x v="1"/>
    <x v="1"/>
  </r>
  <r>
    <s v="YWH-50638-556"/>
    <d v="2019-03-14T00:00:00"/>
    <x v="0"/>
    <n v="3"/>
    <x v="6"/>
    <s v="89442-35633-HJ"/>
    <s v="E-L-0.5"/>
    <n v="4"/>
    <x v="87"/>
    <s v="elangcaster2l@spotify.com"/>
    <x v="3"/>
    <x v="1"/>
    <s v="L"/>
    <x v="1"/>
    <n v="8.91"/>
    <x v="70"/>
    <x v="1"/>
    <x v="1"/>
  </r>
  <r>
    <s v="ISL-11200-600"/>
    <d v="2020-07-02T00:00:00"/>
    <x v="3"/>
    <n v="7"/>
    <x v="2"/>
    <s v="13654-85265-IL"/>
    <s v="A-D-0.2"/>
    <n v="6"/>
    <x v="88"/>
    <s v=""/>
    <x v="1"/>
    <x v="2"/>
    <s v="D"/>
    <x v="3"/>
    <n v="2.9849999999999999"/>
    <x v="8"/>
    <x v="2"/>
    <x v="2"/>
  </r>
  <r>
    <s v="LBZ-75997-047"/>
    <d v="2019-12-17T00:00:00"/>
    <x v="0"/>
    <n v="12"/>
    <x v="9"/>
    <s v="40946-22090-FP"/>
    <s v="A-M-2.5"/>
    <n v="6"/>
    <x v="89"/>
    <s v="nmagauran2n@51.la"/>
    <x v="0"/>
    <x v="2"/>
    <s v="M"/>
    <x v="2"/>
    <n v="25.874999999999996"/>
    <x v="71"/>
    <x v="2"/>
    <x v="0"/>
  </r>
  <r>
    <s v="EUH-08089-954"/>
    <d v="2020-12-06T00:00:00"/>
    <x v="3"/>
    <n v="12"/>
    <x v="9"/>
    <s v="29050-93691-TS"/>
    <s v="A-D-0.2"/>
    <n v="2"/>
    <x v="90"/>
    <s v="vkirdsch2o@google.fr"/>
    <x v="0"/>
    <x v="2"/>
    <s v="D"/>
    <x v="3"/>
    <n v="2.9849999999999999"/>
    <x v="9"/>
    <x v="2"/>
    <x v="2"/>
  </r>
  <r>
    <s v="BLD-12227-251"/>
    <d v="2021-03-04T00:00:00"/>
    <x v="1"/>
    <n v="3"/>
    <x v="6"/>
    <s v="64395-74865-WF"/>
    <s v="A-M-0.5"/>
    <n v="2"/>
    <x v="91"/>
    <s v="iwhapple2p@com.com"/>
    <x v="0"/>
    <x v="2"/>
    <s v="M"/>
    <x v="1"/>
    <n v="6.75"/>
    <x v="72"/>
    <x v="2"/>
    <x v="0"/>
  </r>
  <r>
    <s v="OPY-30711-853"/>
    <d v="2021-07-17T00:00:00"/>
    <x v="1"/>
    <n v="7"/>
    <x v="2"/>
    <s v="81861-66046-SU"/>
    <s v="A-D-0.2"/>
    <n v="1"/>
    <x v="92"/>
    <s v=""/>
    <x v="1"/>
    <x v="2"/>
    <s v="D"/>
    <x v="3"/>
    <n v="2.9849999999999999"/>
    <x v="55"/>
    <x v="2"/>
    <x v="2"/>
  </r>
  <r>
    <s v="DBC-44122-300"/>
    <d v="2020-11-04T00:00:00"/>
    <x v="3"/>
    <n v="11"/>
    <x v="11"/>
    <s v="13366-78506-KP"/>
    <s v="L-M-0.2"/>
    <n v="3"/>
    <x v="93"/>
    <s v=""/>
    <x v="0"/>
    <x v="3"/>
    <s v="M"/>
    <x v="3"/>
    <n v="4.3650000000000002"/>
    <x v="73"/>
    <x v="3"/>
    <x v="0"/>
  </r>
  <r>
    <s v="FJQ-60035-234"/>
    <d v="2021-04-05T00:00:00"/>
    <x v="1"/>
    <n v="4"/>
    <x v="8"/>
    <s v="08847-29858-HN"/>
    <s v="A-L-0.2"/>
    <n v="2"/>
    <x v="94"/>
    <s v=""/>
    <x v="0"/>
    <x v="2"/>
    <s v="L"/>
    <x v="3"/>
    <n v="3.8849999999999998"/>
    <x v="41"/>
    <x v="2"/>
    <x v="1"/>
  </r>
  <r>
    <s v="HSF-66926-425"/>
    <d v="2020-03-01T00:00:00"/>
    <x v="3"/>
    <n v="3"/>
    <x v="6"/>
    <s v="00539-42510-RY"/>
    <s v="L-D-2.5"/>
    <n v="5"/>
    <x v="95"/>
    <s v="nyoules2t@reference.com"/>
    <x v="1"/>
    <x v="3"/>
    <s v="D"/>
    <x v="2"/>
    <n v="29.784999999999997"/>
    <x v="74"/>
    <x v="3"/>
    <x v="2"/>
  </r>
  <r>
    <s v="LQG-41416-375"/>
    <d v="2021-10-19T00:00:00"/>
    <x v="1"/>
    <n v="10"/>
    <x v="7"/>
    <s v="45190-08727-NV"/>
    <s v="L-D-1"/>
    <n v="3"/>
    <x v="96"/>
    <s v="daizikovitz2u@answers.com"/>
    <x v="1"/>
    <x v="3"/>
    <s v="D"/>
    <x v="0"/>
    <n v="12.95"/>
    <x v="5"/>
    <x v="3"/>
    <x v="2"/>
  </r>
  <r>
    <s v="VZO-97265-841"/>
    <d v="2022-07-08T00:00:00"/>
    <x v="2"/>
    <n v="7"/>
    <x v="2"/>
    <s v="87049-37901-FU"/>
    <s v="R-M-0.2"/>
    <n v="4"/>
    <x v="97"/>
    <s v="brevel2v@fastcompany.com"/>
    <x v="0"/>
    <x v="0"/>
    <s v="M"/>
    <x v="3"/>
    <n v="2.9849999999999999"/>
    <x v="22"/>
    <x v="0"/>
    <x v="0"/>
  </r>
  <r>
    <s v="MOR-12987-399"/>
    <d v="2019-08-17T00:00:00"/>
    <x v="0"/>
    <n v="8"/>
    <x v="3"/>
    <s v="34015-31593-JC"/>
    <s v="L-M-1"/>
    <n v="6"/>
    <x v="98"/>
    <s v="epriddis2w@nationalgeographic.com"/>
    <x v="0"/>
    <x v="3"/>
    <s v="M"/>
    <x v="0"/>
    <n v="14.55"/>
    <x v="75"/>
    <x v="3"/>
    <x v="0"/>
  </r>
  <r>
    <s v="UOA-23786-489"/>
    <d v="2020-05-31T00:00:00"/>
    <x v="3"/>
    <n v="5"/>
    <x v="5"/>
    <s v="90305-50099-SV"/>
    <s v="A-M-0.5"/>
    <n v="6"/>
    <x v="99"/>
    <s v="qveel2x@jugem.jp"/>
    <x v="0"/>
    <x v="2"/>
    <s v="M"/>
    <x v="1"/>
    <n v="6.75"/>
    <x v="61"/>
    <x v="2"/>
    <x v="0"/>
  </r>
  <r>
    <s v="AJL-52941-018"/>
    <d v="2020-05-05T00:00:00"/>
    <x v="3"/>
    <n v="5"/>
    <x v="5"/>
    <s v="55871-61935-MF"/>
    <s v="E-D-1"/>
    <n v="2"/>
    <x v="100"/>
    <s v="lconyers2y@twitter.com"/>
    <x v="0"/>
    <x v="1"/>
    <s v="D"/>
    <x v="0"/>
    <n v="12.15"/>
    <x v="76"/>
    <x v="1"/>
    <x v="2"/>
  </r>
  <r>
    <s v="XSZ-84273-421"/>
    <d v="2019-04-14T00:00:00"/>
    <x v="0"/>
    <n v="4"/>
    <x v="8"/>
    <s v="15405-60469-TM"/>
    <s v="R-M-0.5"/>
    <n v="3"/>
    <x v="101"/>
    <s v="pwye2z@dagondesign.com"/>
    <x v="0"/>
    <x v="0"/>
    <s v="M"/>
    <x v="1"/>
    <n v="5.97"/>
    <x v="8"/>
    <x v="0"/>
    <x v="0"/>
  </r>
  <r>
    <s v="NUN-48214-216"/>
    <d v="2020-07-29T00:00:00"/>
    <x v="3"/>
    <n v="7"/>
    <x v="2"/>
    <s v="06953-94794-FB"/>
    <s v="A-M-0.5"/>
    <n v="4"/>
    <x v="102"/>
    <s v=""/>
    <x v="0"/>
    <x v="2"/>
    <s v="M"/>
    <x v="1"/>
    <n v="6.75"/>
    <x v="25"/>
    <x v="2"/>
    <x v="0"/>
  </r>
  <r>
    <s v="AKV-93064-769"/>
    <d v="2019-12-12T00:00:00"/>
    <x v="0"/>
    <n v="12"/>
    <x v="9"/>
    <s v="22305-40299-CY"/>
    <s v="L-D-0.5"/>
    <n v="1"/>
    <x v="103"/>
    <s v="tsheryn31@mtv.com"/>
    <x v="0"/>
    <x v="3"/>
    <s v="D"/>
    <x v="1"/>
    <n v="7.77"/>
    <x v="41"/>
    <x v="3"/>
    <x v="2"/>
  </r>
  <r>
    <s v="BRB-40903-533"/>
    <d v="2022-06-15T00:00:00"/>
    <x v="2"/>
    <n v="6"/>
    <x v="1"/>
    <s v="09020-56774-GU"/>
    <s v="E-L-0.2"/>
    <n v="3"/>
    <x v="104"/>
    <s v="mredgrave32@cargocollective.com"/>
    <x v="0"/>
    <x v="1"/>
    <s v="L"/>
    <x v="3"/>
    <n v="4.4550000000000001"/>
    <x v="77"/>
    <x v="1"/>
    <x v="1"/>
  </r>
  <r>
    <s v="GPR-19973-483"/>
    <d v="2019-06-26T00:00:00"/>
    <x v="0"/>
    <n v="6"/>
    <x v="1"/>
    <s v="92926-08470-YS"/>
    <s v="R-D-0.5"/>
    <n v="5"/>
    <x v="105"/>
    <s v="bfominov33@yale.edu"/>
    <x v="0"/>
    <x v="0"/>
    <s v="D"/>
    <x v="1"/>
    <n v="5.3699999999999992"/>
    <x v="51"/>
    <x v="0"/>
    <x v="2"/>
  </r>
  <r>
    <s v="XIY-43041-882"/>
    <d v="2021-10-12T00:00:00"/>
    <x v="1"/>
    <n v="10"/>
    <x v="7"/>
    <s v="07250-63194-JO"/>
    <s v="A-M-1"/>
    <n v="1"/>
    <x v="106"/>
    <s v="scritchlow34@un.org"/>
    <x v="0"/>
    <x v="2"/>
    <s v="M"/>
    <x v="0"/>
    <n v="11.25"/>
    <x v="23"/>
    <x v="2"/>
    <x v="0"/>
  </r>
  <r>
    <s v="YGY-98425-969"/>
    <d v="2019-04-01T00:00:00"/>
    <x v="0"/>
    <n v="4"/>
    <x v="8"/>
    <s v="63787-96257-TQ"/>
    <s v="L-M-1"/>
    <n v="1"/>
    <x v="107"/>
    <s v="msteptow35@earthlink.net"/>
    <x v="1"/>
    <x v="3"/>
    <s v="M"/>
    <x v="0"/>
    <n v="14.55"/>
    <x v="78"/>
    <x v="3"/>
    <x v="0"/>
  </r>
  <r>
    <s v="MSB-08397-648"/>
    <d v="2021-03-10T00:00:00"/>
    <x v="1"/>
    <n v="3"/>
    <x v="6"/>
    <s v="49530-25460-RW"/>
    <s v="R-L-0.2"/>
    <n v="4"/>
    <x v="108"/>
    <s v=""/>
    <x v="0"/>
    <x v="0"/>
    <s v="L"/>
    <x v="3"/>
    <n v="3.5849999999999995"/>
    <x v="79"/>
    <x v="0"/>
    <x v="1"/>
  </r>
  <r>
    <s v="WDR-06028-345"/>
    <d v="2019-08-16T00:00:00"/>
    <x v="0"/>
    <n v="8"/>
    <x v="3"/>
    <s v="66508-21373-OQ"/>
    <s v="L-L-1"/>
    <n v="1"/>
    <x v="109"/>
    <s v="imulliner37@pinterest.com"/>
    <x v="3"/>
    <x v="3"/>
    <s v="L"/>
    <x v="0"/>
    <n v="15.85"/>
    <x v="80"/>
    <x v="3"/>
    <x v="1"/>
  </r>
  <r>
    <s v="MXM-42948-061"/>
    <d v="2020-08-11T00:00:00"/>
    <x v="3"/>
    <n v="8"/>
    <x v="3"/>
    <s v="20203-03950-FY"/>
    <s v="L-L-0.2"/>
    <n v="4"/>
    <x v="110"/>
    <s v="gstandley38@dion.ne.jp"/>
    <x v="1"/>
    <x v="3"/>
    <s v="L"/>
    <x v="3"/>
    <n v="4.7549999999999999"/>
    <x v="81"/>
    <x v="3"/>
    <x v="1"/>
  </r>
  <r>
    <s v="MGQ-98961-173"/>
    <d v="2022-04-05T00:00:00"/>
    <x v="2"/>
    <n v="4"/>
    <x v="8"/>
    <s v="83895-90735-XH"/>
    <s v="L-L-0.5"/>
    <n v="4"/>
    <x v="111"/>
    <s v="bdrage39@youku.com"/>
    <x v="0"/>
    <x v="3"/>
    <s v="L"/>
    <x v="1"/>
    <n v="9.51"/>
    <x v="82"/>
    <x v="3"/>
    <x v="1"/>
  </r>
  <r>
    <s v="RFH-64349-897"/>
    <d v="2019-10-22T00:00:00"/>
    <x v="0"/>
    <n v="10"/>
    <x v="7"/>
    <s v="61954-61462-RJ"/>
    <s v="E-D-0.5"/>
    <n v="3"/>
    <x v="112"/>
    <s v="myallop3a@fema.gov"/>
    <x v="0"/>
    <x v="1"/>
    <s v="D"/>
    <x v="1"/>
    <n v="7.29"/>
    <x v="6"/>
    <x v="1"/>
    <x v="2"/>
  </r>
  <r>
    <s v="TKL-20738-660"/>
    <d v="2021-10-02T00:00:00"/>
    <x v="1"/>
    <n v="10"/>
    <x v="7"/>
    <s v="47939-53158-LS"/>
    <s v="E-M-0.2"/>
    <n v="1"/>
    <x v="113"/>
    <s v="cswitsur3b@chronoengine.com"/>
    <x v="0"/>
    <x v="1"/>
    <s v="M"/>
    <x v="3"/>
    <n v="4.125"/>
    <x v="83"/>
    <x v="1"/>
    <x v="0"/>
  </r>
  <r>
    <s v="TKL-20738-660"/>
    <d v="2021-10-02T00:00:00"/>
    <x v="1"/>
    <n v="10"/>
    <x v="7"/>
    <s v="47939-53158-LS"/>
    <s v="A-L-0.2"/>
    <n v="1"/>
    <x v="113"/>
    <s v="cswitsur3b@chronoengine.com"/>
    <x v="0"/>
    <x v="2"/>
    <s v="L"/>
    <x v="3"/>
    <n v="3.8849999999999998"/>
    <x v="84"/>
    <x v="2"/>
    <x v="1"/>
  </r>
  <r>
    <s v="TKL-20738-660"/>
    <d v="2021-10-02T00:00:00"/>
    <x v="1"/>
    <n v="10"/>
    <x v="7"/>
    <s v="47939-53158-LS"/>
    <s v="E-M-1"/>
    <n v="5"/>
    <x v="28"/>
    <s v="Not Found"/>
    <x v="2"/>
    <x v="1"/>
    <s v="M"/>
    <x v="0"/>
    <n v="13.75"/>
    <x v="85"/>
    <x v="1"/>
    <x v="0"/>
  </r>
  <r>
    <s v="GOW-03198-575"/>
    <d v="2021-03-13T00:00:00"/>
    <x v="1"/>
    <n v="3"/>
    <x v="6"/>
    <s v="61513-27752-FA"/>
    <s v="A-D-0.5"/>
    <n v="4"/>
    <x v="114"/>
    <s v="mludwell3e@blogger.com"/>
    <x v="0"/>
    <x v="2"/>
    <s v="D"/>
    <x v="1"/>
    <n v="5.97"/>
    <x v="86"/>
    <x v="2"/>
    <x v="2"/>
  </r>
  <r>
    <s v="QJB-90477-635"/>
    <d v="2022-06-12T00:00:00"/>
    <x v="2"/>
    <n v="6"/>
    <x v="1"/>
    <s v="89714-19856-WX"/>
    <s v="L-L-2.5"/>
    <n v="4"/>
    <x v="115"/>
    <s v="dbeauchamp3f@usda.gov"/>
    <x v="0"/>
    <x v="3"/>
    <s v="L"/>
    <x v="2"/>
    <n v="36.454999999999998"/>
    <x v="43"/>
    <x v="3"/>
    <x v="1"/>
  </r>
  <r>
    <s v="MWP-46239-785"/>
    <d v="2019-04-27T00:00:00"/>
    <x v="0"/>
    <n v="4"/>
    <x v="8"/>
    <s v="87979-56781-YV"/>
    <s v="L-M-0.2"/>
    <n v="5"/>
    <x v="116"/>
    <s v="srodliff3g@ted.com"/>
    <x v="0"/>
    <x v="3"/>
    <s v="M"/>
    <x v="3"/>
    <n v="4.3650000000000002"/>
    <x v="26"/>
    <x v="3"/>
    <x v="0"/>
  </r>
  <r>
    <s v="QDV-03406-248"/>
    <d v="2019-05-23T00:00:00"/>
    <x v="0"/>
    <n v="5"/>
    <x v="5"/>
    <s v="74126-88836-KA"/>
    <s v="L-M-0.5"/>
    <n v="3"/>
    <x v="117"/>
    <s v="swoodham3h@businesswire.com"/>
    <x v="1"/>
    <x v="3"/>
    <s v="M"/>
    <x v="1"/>
    <n v="8.73"/>
    <x v="50"/>
    <x v="3"/>
    <x v="0"/>
  </r>
  <r>
    <s v="GPH-40635-105"/>
    <d v="2020-07-14T00:00:00"/>
    <x v="3"/>
    <n v="7"/>
    <x v="2"/>
    <s v="37397-05992-VO"/>
    <s v="A-M-1"/>
    <n v="1"/>
    <x v="118"/>
    <s v="hsynnot3i@about.com"/>
    <x v="0"/>
    <x v="2"/>
    <s v="M"/>
    <x v="0"/>
    <n v="11.25"/>
    <x v="23"/>
    <x v="2"/>
    <x v="0"/>
  </r>
  <r>
    <s v="JOM-80930-071"/>
    <d v="2021-11-10T00:00:00"/>
    <x v="1"/>
    <n v="11"/>
    <x v="11"/>
    <s v="54904-18397-UD"/>
    <s v="L-D-1"/>
    <n v="6"/>
    <x v="119"/>
    <s v="rlepere3j@shop-pro.jp"/>
    <x v="1"/>
    <x v="3"/>
    <s v="D"/>
    <x v="0"/>
    <n v="12.95"/>
    <x v="17"/>
    <x v="3"/>
    <x v="2"/>
  </r>
  <r>
    <s v="OIL-26493-755"/>
    <d v="2021-08-31T00:00:00"/>
    <x v="1"/>
    <n v="8"/>
    <x v="3"/>
    <s v="19017-95853-EK"/>
    <s v="A-M-0.5"/>
    <n v="1"/>
    <x v="120"/>
    <s v="twoofinden3k@businesswire.com"/>
    <x v="0"/>
    <x v="2"/>
    <s v="M"/>
    <x v="1"/>
    <n v="6.75"/>
    <x v="52"/>
    <x v="2"/>
    <x v="0"/>
  </r>
  <r>
    <s v="CYV-13426-645"/>
    <d v="2019-07-06T00:00:00"/>
    <x v="0"/>
    <n v="7"/>
    <x v="2"/>
    <s v="88593-59934-VU"/>
    <s v="E-D-1"/>
    <n v="1"/>
    <x v="121"/>
    <s v="edacca3l@google.pl"/>
    <x v="0"/>
    <x v="1"/>
    <s v="D"/>
    <x v="0"/>
    <n v="12.15"/>
    <x v="87"/>
    <x v="1"/>
    <x v="2"/>
  </r>
  <r>
    <s v="WRP-39846-614"/>
    <d v="2022-03-04T00:00:00"/>
    <x v="2"/>
    <n v="3"/>
    <x v="6"/>
    <s v="47493-68564-YM"/>
    <s v="A-L-2.5"/>
    <n v="5"/>
    <x v="122"/>
    <s v=""/>
    <x v="1"/>
    <x v="2"/>
    <s v="L"/>
    <x v="2"/>
    <n v="29.784999999999997"/>
    <x v="74"/>
    <x v="2"/>
    <x v="1"/>
  </r>
  <r>
    <s v="VDZ-76673-968"/>
    <d v="2020-12-31T00:00:00"/>
    <x v="3"/>
    <n v="12"/>
    <x v="9"/>
    <s v="82246-82543-DW"/>
    <s v="E-D-0.5"/>
    <n v="2"/>
    <x v="123"/>
    <s v="bhindsberg3n@blogs.com"/>
    <x v="0"/>
    <x v="1"/>
    <s v="D"/>
    <x v="1"/>
    <n v="7.29"/>
    <x v="20"/>
    <x v="1"/>
    <x v="2"/>
  </r>
  <r>
    <s v="VTV-03546-175"/>
    <d v="2020-07-31T00:00:00"/>
    <x v="3"/>
    <n v="7"/>
    <x v="2"/>
    <s v="03384-62101-IY"/>
    <s v="A-L-2.5"/>
    <n v="5"/>
    <x v="124"/>
    <s v="orobins3o@salon.com"/>
    <x v="0"/>
    <x v="2"/>
    <s v="L"/>
    <x v="2"/>
    <n v="29.784999999999997"/>
    <x v="74"/>
    <x v="2"/>
    <x v="1"/>
  </r>
  <r>
    <s v="GHR-72274-715"/>
    <d v="2021-05-24T00:00:00"/>
    <x v="1"/>
    <n v="5"/>
    <x v="5"/>
    <s v="86881-41559-OR"/>
    <s v="L-D-1"/>
    <n v="1"/>
    <x v="125"/>
    <s v="osyseland3p@independent.co.uk"/>
    <x v="0"/>
    <x v="3"/>
    <s v="D"/>
    <x v="0"/>
    <n v="12.95"/>
    <x v="2"/>
    <x v="3"/>
    <x v="2"/>
  </r>
  <r>
    <s v="ZGK-97262-313"/>
    <d v="2022-07-16T00:00:00"/>
    <x v="2"/>
    <n v="7"/>
    <x v="2"/>
    <s v="02536-18494-AQ"/>
    <s v="E-M-2.5"/>
    <n v="3"/>
    <x v="126"/>
    <s v=""/>
    <x v="0"/>
    <x v="1"/>
    <s v="M"/>
    <x v="2"/>
    <n v="31.624999999999996"/>
    <x v="88"/>
    <x v="1"/>
    <x v="0"/>
  </r>
  <r>
    <s v="ZFS-30776-804"/>
    <d v="2021-02-05T00:00:00"/>
    <x v="1"/>
    <n v="2"/>
    <x v="10"/>
    <s v="58638-01029-CB"/>
    <s v="A-L-0.5"/>
    <n v="5"/>
    <x v="28"/>
    <s v="Not Found"/>
    <x v="2"/>
    <x v="2"/>
    <s v="L"/>
    <x v="1"/>
    <n v="7.77"/>
    <x v="5"/>
    <x v="2"/>
    <x v="1"/>
  </r>
  <r>
    <s v="QUU-91729-492"/>
    <d v="2021-07-29T00:00:00"/>
    <x v="1"/>
    <n v="7"/>
    <x v="2"/>
    <s v="90312-11148-LA"/>
    <s v="A-D-0.2"/>
    <n v="4"/>
    <x v="127"/>
    <s v="lkeenleyside3s@topsy.com"/>
    <x v="0"/>
    <x v="2"/>
    <s v="D"/>
    <x v="3"/>
    <n v="2.9849999999999999"/>
    <x v="22"/>
    <x v="2"/>
    <x v="2"/>
  </r>
  <r>
    <s v="PVI-72795-960"/>
    <d v="2022-03-17T00:00:00"/>
    <x v="2"/>
    <n v="3"/>
    <x v="6"/>
    <s v="68239-74809-TF"/>
    <s v="E-L-2.5"/>
    <n v="3"/>
    <x v="128"/>
    <s v=""/>
    <x v="1"/>
    <x v="1"/>
    <s v="L"/>
    <x v="2"/>
    <n v="34.154999999999994"/>
    <x v="89"/>
    <x v="1"/>
    <x v="1"/>
  </r>
  <r>
    <s v="PPP-78935-365"/>
    <d v="2021-02-11T00:00:00"/>
    <x v="1"/>
    <n v="2"/>
    <x v="10"/>
    <s v="91074-60023-IP"/>
    <s v="E-D-1"/>
    <n v="4"/>
    <x v="129"/>
    <s v=""/>
    <x v="0"/>
    <x v="1"/>
    <s v="D"/>
    <x v="0"/>
    <n v="12.15"/>
    <x v="90"/>
    <x v="1"/>
    <x v="2"/>
  </r>
  <r>
    <s v="JUO-34131-517"/>
    <d v="2019-02-13T00:00:00"/>
    <x v="0"/>
    <n v="2"/>
    <x v="10"/>
    <s v="07972-83748-JI"/>
    <s v="L-D-1"/>
    <n v="6"/>
    <x v="130"/>
    <s v=""/>
    <x v="0"/>
    <x v="3"/>
    <s v="D"/>
    <x v="0"/>
    <n v="12.95"/>
    <x v="17"/>
    <x v="3"/>
    <x v="2"/>
  </r>
  <r>
    <s v="ZJE-89333-489"/>
    <d v="2022-05-13T00:00:00"/>
    <x v="2"/>
    <n v="5"/>
    <x v="5"/>
    <s v="08694-57330-XR"/>
    <s v="L-D-2.5"/>
    <n v="1"/>
    <x v="131"/>
    <s v="vkundt3w@bigcartel.com"/>
    <x v="1"/>
    <x v="3"/>
    <s v="D"/>
    <x v="2"/>
    <n v="29.784999999999997"/>
    <x v="91"/>
    <x v="3"/>
    <x v="2"/>
  </r>
  <r>
    <s v="LOO-35324-159"/>
    <d v="2020-05-19T00:00:00"/>
    <x v="3"/>
    <n v="5"/>
    <x v="5"/>
    <s v="68412-11126-YJ"/>
    <s v="A-L-0.2"/>
    <n v="4"/>
    <x v="132"/>
    <s v="bbett3x@google.de"/>
    <x v="0"/>
    <x v="2"/>
    <s v="L"/>
    <x v="3"/>
    <n v="3.8849999999999998"/>
    <x v="42"/>
    <x v="2"/>
    <x v="1"/>
  </r>
  <r>
    <s v="JBQ-93412-846"/>
    <d v="2022-04-27T00:00:00"/>
    <x v="2"/>
    <n v="4"/>
    <x v="8"/>
    <s v="69037-66822-DW"/>
    <s v="E-L-2.5"/>
    <n v="4"/>
    <x v="133"/>
    <s v=""/>
    <x v="1"/>
    <x v="1"/>
    <s v="L"/>
    <x v="2"/>
    <n v="34.154999999999994"/>
    <x v="56"/>
    <x v="1"/>
    <x v="1"/>
  </r>
  <r>
    <s v="EHX-66333-637"/>
    <d v="2020-09-09T00:00:00"/>
    <x v="3"/>
    <n v="9"/>
    <x v="0"/>
    <s v="01297-94364-XH"/>
    <s v="L-M-0.5"/>
    <n v="2"/>
    <x v="134"/>
    <s v="dstaite3z@scientificamerican.com"/>
    <x v="0"/>
    <x v="3"/>
    <s v="M"/>
    <x v="1"/>
    <n v="8.73"/>
    <x v="92"/>
    <x v="3"/>
    <x v="0"/>
  </r>
  <r>
    <s v="WXG-25759-236"/>
    <d v="2021-03-10T00:00:00"/>
    <x v="1"/>
    <n v="3"/>
    <x v="6"/>
    <s v="39919-06540-ZI"/>
    <s v="E-L-2.5"/>
    <n v="2"/>
    <x v="135"/>
    <s v="wkeyse40@apple.com"/>
    <x v="0"/>
    <x v="1"/>
    <s v="L"/>
    <x v="2"/>
    <n v="34.154999999999994"/>
    <x v="93"/>
    <x v="1"/>
    <x v="1"/>
  </r>
  <r>
    <s v="QNA-31113-984"/>
    <d v="2019-04-07T00:00:00"/>
    <x v="0"/>
    <n v="4"/>
    <x v="8"/>
    <s v="60512-78550-WS"/>
    <s v="L-M-0.2"/>
    <n v="4"/>
    <x v="136"/>
    <s v="oclausenthue41@marriott.com"/>
    <x v="0"/>
    <x v="3"/>
    <s v="M"/>
    <x v="3"/>
    <n v="4.3650000000000002"/>
    <x v="92"/>
    <x v="3"/>
    <x v="0"/>
  </r>
  <r>
    <s v="ZWI-52029-159"/>
    <d v="2020-07-12T00:00:00"/>
    <x v="3"/>
    <n v="7"/>
    <x v="2"/>
    <s v="40172-12000-AU"/>
    <s v="L-M-1"/>
    <n v="3"/>
    <x v="137"/>
    <s v="lfrancisco42@fema.gov"/>
    <x v="0"/>
    <x v="3"/>
    <s v="M"/>
    <x v="0"/>
    <n v="14.55"/>
    <x v="34"/>
    <x v="3"/>
    <x v="0"/>
  </r>
  <r>
    <s v="ZWI-52029-159"/>
    <d v="2020-07-12T00:00:00"/>
    <x v="3"/>
    <n v="7"/>
    <x v="2"/>
    <s v="40172-12000-AU"/>
    <s v="E-M-1"/>
    <n v="2"/>
    <x v="137"/>
    <s v="lfrancisco42@fema.gov"/>
    <x v="0"/>
    <x v="1"/>
    <s v="M"/>
    <x v="0"/>
    <n v="13.75"/>
    <x v="3"/>
    <x v="1"/>
    <x v="0"/>
  </r>
  <r>
    <s v="DFS-49954-707"/>
    <d v="2021-12-21T00:00:00"/>
    <x v="1"/>
    <n v="12"/>
    <x v="9"/>
    <s v="39019-13649-CL"/>
    <s v="E-D-0.2"/>
    <n v="5"/>
    <x v="138"/>
    <s v="gskingle44@clickbank.net"/>
    <x v="0"/>
    <x v="1"/>
    <s v="D"/>
    <x v="3"/>
    <n v="3.645"/>
    <x v="94"/>
    <x v="1"/>
    <x v="2"/>
  </r>
  <r>
    <s v="VYP-89830-878"/>
    <d v="2020-10-04T00:00:00"/>
    <x v="3"/>
    <n v="10"/>
    <x v="7"/>
    <s v="12715-05198-QU"/>
    <s v="A-M-2.5"/>
    <n v="2"/>
    <x v="139"/>
    <s v=""/>
    <x v="0"/>
    <x v="2"/>
    <s v="M"/>
    <x v="2"/>
    <n v="25.874999999999996"/>
    <x v="95"/>
    <x v="2"/>
    <x v="0"/>
  </r>
  <r>
    <s v="AMT-40418-362"/>
    <d v="2020-08-08T00:00:00"/>
    <x v="3"/>
    <n v="8"/>
    <x v="3"/>
    <s v="04513-76520-QO"/>
    <s v="L-D-1"/>
    <n v="1"/>
    <x v="140"/>
    <s v="jbalsillie46@princeton.edu"/>
    <x v="0"/>
    <x v="3"/>
    <s v="D"/>
    <x v="0"/>
    <n v="12.95"/>
    <x v="2"/>
    <x v="3"/>
    <x v="2"/>
  </r>
  <r>
    <s v="NFQ-23241-793"/>
    <d v="2020-10-11T00:00:00"/>
    <x v="3"/>
    <n v="10"/>
    <x v="7"/>
    <s v="88446-59251-SQ"/>
    <s v="A-M-1"/>
    <n v="3"/>
    <x v="141"/>
    <s v=""/>
    <x v="0"/>
    <x v="2"/>
    <s v="M"/>
    <x v="0"/>
    <n v="11.25"/>
    <x v="65"/>
    <x v="2"/>
    <x v="0"/>
  </r>
  <r>
    <s v="JQK-64922-985"/>
    <d v="2021-11-10T00:00:00"/>
    <x v="1"/>
    <n v="11"/>
    <x v="11"/>
    <s v="23779-10274-KN"/>
    <s v="R-M-2.5"/>
    <n v="3"/>
    <x v="142"/>
    <s v="bleffek48@ning.com"/>
    <x v="0"/>
    <x v="0"/>
    <s v="M"/>
    <x v="2"/>
    <n v="22.884999999999998"/>
    <x v="96"/>
    <x v="0"/>
    <x v="0"/>
  </r>
  <r>
    <s v="YET-17732-678"/>
    <d v="2021-06-20T00:00:00"/>
    <x v="1"/>
    <n v="6"/>
    <x v="1"/>
    <s v="57235-92842-DK"/>
    <s v="R-D-0.2"/>
    <n v="1"/>
    <x v="143"/>
    <s v=""/>
    <x v="0"/>
    <x v="0"/>
    <s v="D"/>
    <x v="3"/>
    <n v="2.6849999999999996"/>
    <x v="97"/>
    <x v="0"/>
    <x v="2"/>
  </r>
  <r>
    <s v="NKW-24945-846"/>
    <d v="2021-10-04T00:00:00"/>
    <x v="1"/>
    <n v="10"/>
    <x v="7"/>
    <s v="75977-30364-AY"/>
    <s v="A-D-2.5"/>
    <n v="5"/>
    <x v="144"/>
    <s v="jpray4a@youtube.com"/>
    <x v="0"/>
    <x v="2"/>
    <s v="D"/>
    <x v="2"/>
    <n v="22.884999999999998"/>
    <x v="15"/>
    <x v="2"/>
    <x v="2"/>
  </r>
  <r>
    <s v="VKA-82720-513"/>
    <d v="2019-06-24T00:00:00"/>
    <x v="0"/>
    <n v="6"/>
    <x v="1"/>
    <s v="12299-30914-NG"/>
    <s v="A-M-2.5"/>
    <n v="6"/>
    <x v="145"/>
    <s v="gholborn4b@ow.ly"/>
    <x v="0"/>
    <x v="2"/>
    <s v="M"/>
    <x v="2"/>
    <n v="25.874999999999996"/>
    <x v="71"/>
    <x v="2"/>
    <x v="0"/>
  </r>
  <r>
    <s v="THA-60599-417"/>
    <d v="2019-10-26T00:00:00"/>
    <x v="0"/>
    <n v="10"/>
    <x v="7"/>
    <s v="59971-35626-YJ"/>
    <s v="A-M-2.5"/>
    <n v="3"/>
    <x v="146"/>
    <s v="fkeinrat4c@dailymail.co.uk"/>
    <x v="0"/>
    <x v="2"/>
    <s v="M"/>
    <x v="2"/>
    <n v="25.874999999999996"/>
    <x v="57"/>
    <x v="2"/>
    <x v="0"/>
  </r>
  <r>
    <s v="MEK-39769-035"/>
    <d v="2021-06-27T00:00:00"/>
    <x v="1"/>
    <n v="6"/>
    <x v="1"/>
    <s v="15380-76513-PS"/>
    <s v="R-D-2.5"/>
    <n v="3"/>
    <x v="147"/>
    <s v="pyea4d@aol.com"/>
    <x v="1"/>
    <x v="0"/>
    <s v="D"/>
    <x v="2"/>
    <n v="20.584999999999997"/>
    <x v="98"/>
    <x v="0"/>
    <x v="2"/>
  </r>
  <r>
    <s v="JAF-18294-750"/>
    <d v="2019-09-06T00:00:00"/>
    <x v="0"/>
    <n v="9"/>
    <x v="0"/>
    <s v="73564-98204-EY"/>
    <s v="R-D-2.5"/>
    <n v="6"/>
    <x v="148"/>
    <s v=""/>
    <x v="0"/>
    <x v="0"/>
    <s v="D"/>
    <x v="2"/>
    <n v="20.584999999999997"/>
    <x v="99"/>
    <x v="0"/>
    <x v="2"/>
  </r>
  <r>
    <s v="TME-59627-221"/>
    <d v="2021-04-30T00:00:00"/>
    <x v="1"/>
    <n v="4"/>
    <x v="8"/>
    <s v="72282-40594-RX"/>
    <s v="L-L-2.5"/>
    <n v="6"/>
    <x v="149"/>
    <s v=""/>
    <x v="0"/>
    <x v="3"/>
    <s v="L"/>
    <x v="2"/>
    <n v="36.454999999999998"/>
    <x v="100"/>
    <x v="3"/>
    <x v="1"/>
  </r>
  <r>
    <s v="UDG-65353-824"/>
    <d v="2020-01-07T00:00:00"/>
    <x v="3"/>
    <n v="1"/>
    <x v="4"/>
    <s v="17514-94165-RJ"/>
    <s v="E-M-0.5"/>
    <n v="4"/>
    <x v="150"/>
    <s v="kswede4g@addthis.com"/>
    <x v="0"/>
    <x v="1"/>
    <s v="M"/>
    <x v="1"/>
    <n v="8.25"/>
    <x v="101"/>
    <x v="1"/>
    <x v="0"/>
  </r>
  <r>
    <s v="ENQ-42923-176"/>
    <d v="2021-01-11T00:00:00"/>
    <x v="1"/>
    <n v="1"/>
    <x v="4"/>
    <s v="56248-75861-JX"/>
    <s v="A-L-0.5"/>
    <n v="3"/>
    <x v="151"/>
    <s v="lrubrow4h@microsoft.com"/>
    <x v="0"/>
    <x v="2"/>
    <s v="L"/>
    <x v="1"/>
    <n v="7.77"/>
    <x v="102"/>
    <x v="2"/>
    <x v="1"/>
  </r>
  <r>
    <s v="CBT-55781-720"/>
    <d v="2021-11-15T00:00:00"/>
    <x v="1"/>
    <n v="11"/>
    <x v="11"/>
    <s v="97855-54761-IS"/>
    <s v="E-D-0.5"/>
    <n v="3"/>
    <x v="152"/>
    <s v="dtift4i@netvibes.com"/>
    <x v="0"/>
    <x v="1"/>
    <s v="D"/>
    <x v="1"/>
    <n v="7.29"/>
    <x v="6"/>
    <x v="1"/>
    <x v="2"/>
  </r>
  <r>
    <s v="NEU-86533-016"/>
    <d v="2019-06-03T00:00:00"/>
    <x v="0"/>
    <n v="6"/>
    <x v="1"/>
    <s v="96544-91644-IT"/>
    <s v="R-D-0.2"/>
    <n v="6"/>
    <x v="153"/>
    <s v="gschonfeld4j@oracle.com"/>
    <x v="0"/>
    <x v="0"/>
    <s v="D"/>
    <x v="3"/>
    <n v="2.6849999999999996"/>
    <x v="103"/>
    <x v="0"/>
    <x v="2"/>
  </r>
  <r>
    <s v="BYU-58154-603"/>
    <d v="2020-12-17T00:00:00"/>
    <x v="3"/>
    <n v="12"/>
    <x v="9"/>
    <s v="51971-70393-QM"/>
    <s v="E-D-0.5"/>
    <n v="4"/>
    <x v="154"/>
    <s v="cfeye4k@google.co.jp"/>
    <x v="1"/>
    <x v="1"/>
    <s v="D"/>
    <x v="1"/>
    <n v="7.29"/>
    <x v="104"/>
    <x v="1"/>
    <x v="2"/>
  </r>
  <r>
    <s v="EHJ-05910-257"/>
    <d v="2021-02-07T00:00:00"/>
    <x v="1"/>
    <n v="2"/>
    <x v="10"/>
    <s v="06812-11924-IK"/>
    <s v="R-D-1"/>
    <n v="6"/>
    <x v="155"/>
    <s v=""/>
    <x v="0"/>
    <x v="0"/>
    <s v="D"/>
    <x v="0"/>
    <n v="8.9499999999999993"/>
    <x v="59"/>
    <x v="0"/>
    <x v="2"/>
  </r>
  <r>
    <s v="EIL-44855-309"/>
    <d v="2021-03-15T00:00:00"/>
    <x v="1"/>
    <n v="3"/>
    <x v="6"/>
    <s v="59741-90220-OW"/>
    <s v="R-D-0.5"/>
    <n v="5"/>
    <x v="156"/>
    <s v=""/>
    <x v="0"/>
    <x v="0"/>
    <s v="D"/>
    <x v="1"/>
    <n v="5.3699999999999992"/>
    <x v="51"/>
    <x v="0"/>
    <x v="2"/>
  </r>
  <r>
    <s v="HCA-87224-420"/>
    <d v="2022-08-04T00:00:00"/>
    <x v="2"/>
    <n v="8"/>
    <x v="3"/>
    <s v="62682-27930-PD"/>
    <s v="E-M-0.5"/>
    <n v="5"/>
    <x v="157"/>
    <s v="tfero4n@comsenz.com"/>
    <x v="0"/>
    <x v="1"/>
    <s v="M"/>
    <x v="1"/>
    <n v="8.25"/>
    <x v="1"/>
    <x v="1"/>
    <x v="0"/>
  </r>
  <r>
    <s v="ABO-29054-365"/>
    <d v="2019-01-19T00:00:00"/>
    <x v="0"/>
    <n v="1"/>
    <x v="4"/>
    <s v="00256-19905-YG"/>
    <s v="A-M-0.5"/>
    <n v="6"/>
    <x v="158"/>
    <s v=""/>
    <x v="1"/>
    <x v="2"/>
    <s v="M"/>
    <x v="1"/>
    <n v="6.75"/>
    <x v="61"/>
    <x v="2"/>
    <x v="0"/>
  </r>
  <r>
    <s v="TKN-58485-031"/>
    <d v="2022-03-23T00:00:00"/>
    <x v="2"/>
    <n v="3"/>
    <x v="6"/>
    <s v="38890-22576-UI"/>
    <s v="R-D-1"/>
    <n v="2"/>
    <x v="159"/>
    <s v="fdauney4p@sphinn.com"/>
    <x v="1"/>
    <x v="0"/>
    <s v="D"/>
    <x v="0"/>
    <n v="8.9499999999999993"/>
    <x v="105"/>
    <x v="0"/>
    <x v="2"/>
  </r>
  <r>
    <s v="RCK-04069-371"/>
    <d v="2021-10-07T00:00:00"/>
    <x v="1"/>
    <n v="10"/>
    <x v="7"/>
    <s v="94573-61802-PH"/>
    <s v="E-L-2.5"/>
    <n v="2"/>
    <x v="160"/>
    <s v="searley4q@youku.com"/>
    <x v="3"/>
    <x v="1"/>
    <s v="L"/>
    <x v="2"/>
    <n v="34.154999999999994"/>
    <x v="93"/>
    <x v="1"/>
    <x v="1"/>
  </r>
  <r>
    <s v="IRJ-67095-738"/>
    <d v="2019-03-20T00:00:00"/>
    <x v="0"/>
    <n v="3"/>
    <x v="6"/>
    <s v="86447-02699-UT"/>
    <s v="E-M-2.5"/>
    <n v="2"/>
    <x v="161"/>
    <s v="mchamberlayne4r@bigcartel.com"/>
    <x v="0"/>
    <x v="1"/>
    <s v="M"/>
    <x v="2"/>
    <n v="31.624999999999996"/>
    <x v="40"/>
    <x v="1"/>
    <x v="0"/>
  </r>
  <r>
    <s v="VEA-31961-977"/>
    <d v="2021-12-15T00:00:00"/>
    <x v="1"/>
    <n v="12"/>
    <x v="9"/>
    <s v="51432-27169-KN"/>
    <s v="E-D-0.5"/>
    <n v="3"/>
    <x v="162"/>
    <s v="bflaherty4s@moonfruit.com"/>
    <x v="1"/>
    <x v="1"/>
    <s v="D"/>
    <x v="1"/>
    <n v="7.29"/>
    <x v="6"/>
    <x v="1"/>
    <x v="2"/>
  </r>
  <r>
    <s v="BAF-42286-205"/>
    <d v="2022-06-08T00:00:00"/>
    <x v="2"/>
    <n v="6"/>
    <x v="1"/>
    <s v="43074-00987-PB"/>
    <s v="R-M-2.5"/>
    <n v="4"/>
    <x v="163"/>
    <s v="ocolbeck4t@sina.com.cn"/>
    <x v="0"/>
    <x v="0"/>
    <s v="M"/>
    <x v="2"/>
    <n v="22.884999999999998"/>
    <x v="21"/>
    <x v="0"/>
    <x v="0"/>
  </r>
  <r>
    <s v="WOR-52762-511"/>
    <d v="2019-12-14T00:00:00"/>
    <x v="0"/>
    <n v="12"/>
    <x v="9"/>
    <s v="04739-85772-QT"/>
    <s v="E-L-2.5"/>
    <n v="6"/>
    <x v="164"/>
    <s v=""/>
    <x v="0"/>
    <x v="1"/>
    <s v="L"/>
    <x v="2"/>
    <n v="34.154999999999994"/>
    <x v="106"/>
    <x v="1"/>
    <x v="1"/>
  </r>
  <r>
    <s v="ZWK-03995-815"/>
    <d v="2021-04-10T00:00:00"/>
    <x v="1"/>
    <n v="4"/>
    <x v="8"/>
    <s v="28279-78469-YW"/>
    <s v="E-M-2.5"/>
    <n v="2"/>
    <x v="165"/>
    <s v="ehobbing4v@nsw.gov.au"/>
    <x v="0"/>
    <x v="1"/>
    <s v="M"/>
    <x v="2"/>
    <n v="31.624999999999996"/>
    <x v="40"/>
    <x v="1"/>
    <x v="0"/>
  </r>
  <r>
    <s v="CKF-43291-846"/>
    <d v="2020-03-10T00:00:00"/>
    <x v="3"/>
    <n v="3"/>
    <x v="6"/>
    <s v="91829-99544-DS"/>
    <s v="E-L-2.5"/>
    <n v="1"/>
    <x v="166"/>
    <s v="othynne4w@auda.org.au"/>
    <x v="0"/>
    <x v="1"/>
    <s v="L"/>
    <x v="2"/>
    <n v="34.154999999999994"/>
    <x v="107"/>
    <x v="1"/>
    <x v="1"/>
  </r>
  <r>
    <s v="RMW-74160-339"/>
    <d v="2020-10-16T00:00:00"/>
    <x v="3"/>
    <n v="10"/>
    <x v="7"/>
    <s v="38978-59582-JP"/>
    <s v="R-L-2.5"/>
    <n v="4"/>
    <x v="167"/>
    <s v="eheining4x@flickr.com"/>
    <x v="0"/>
    <x v="0"/>
    <s v="L"/>
    <x v="2"/>
    <n v="27.484999999999996"/>
    <x v="108"/>
    <x v="0"/>
    <x v="1"/>
  </r>
  <r>
    <s v="FMT-94584-786"/>
    <d v="2019-10-08T00:00:00"/>
    <x v="0"/>
    <n v="10"/>
    <x v="7"/>
    <s v="86504-96610-BH"/>
    <s v="A-L-1"/>
    <n v="2"/>
    <x v="168"/>
    <s v="kmelloi4y@imdb.com"/>
    <x v="0"/>
    <x v="2"/>
    <s v="L"/>
    <x v="0"/>
    <n v="12.95"/>
    <x v="109"/>
    <x v="2"/>
    <x v="1"/>
  </r>
  <r>
    <s v="NWT-78222-575"/>
    <d v="2019-12-31T00:00:00"/>
    <x v="0"/>
    <n v="12"/>
    <x v="9"/>
    <s v="75986-98864-EZ"/>
    <s v="A-D-0.2"/>
    <n v="1"/>
    <x v="169"/>
    <s v=""/>
    <x v="1"/>
    <x v="2"/>
    <s v="D"/>
    <x v="3"/>
    <n v="2.9849999999999999"/>
    <x v="55"/>
    <x v="2"/>
    <x v="2"/>
  </r>
  <r>
    <s v="EOI-02511-919"/>
    <d v="2020-03-20T00:00:00"/>
    <x v="3"/>
    <n v="3"/>
    <x v="6"/>
    <s v="66776-88682-RG"/>
    <s v="E-L-0.2"/>
    <n v="5"/>
    <x v="170"/>
    <s v="amussen50@51.la"/>
    <x v="0"/>
    <x v="1"/>
    <s v="L"/>
    <x v="3"/>
    <n v="4.4550000000000001"/>
    <x v="110"/>
    <x v="1"/>
    <x v="1"/>
  </r>
  <r>
    <s v="EOI-02511-919"/>
    <d v="2020-03-20T00:00:00"/>
    <x v="3"/>
    <n v="3"/>
    <x v="6"/>
    <s v="66776-88682-RG"/>
    <s v="A-D-0.5"/>
    <n v="5"/>
    <x v="170"/>
    <s v="amussen50@51.la"/>
    <x v="0"/>
    <x v="2"/>
    <s v="D"/>
    <x v="1"/>
    <n v="5.97"/>
    <x v="44"/>
    <x v="2"/>
    <x v="2"/>
  </r>
  <r>
    <s v="UCT-03935-589"/>
    <d v="2021-03-29T00:00:00"/>
    <x v="1"/>
    <n v="3"/>
    <x v="6"/>
    <s v="85851-78384-DM"/>
    <s v="R-D-0.5"/>
    <n v="6"/>
    <x v="171"/>
    <s v="amundford52@nbcnews.com"/>
    <x v="0"/>
    <x v="0"/>
    <s v="D"/>
    <x v="1"/>
    <n v="5.3699999999999992"/>
    <x v="111"/>
    <x v="0"/>
    <x v="2"/>
  </r>
  <r>
    <s v="SBI-60013-494"/>
    <d v="2021-11-12T00:00:00"/>
    <x v="1"/>
    <n v="11"/>
    <x v="11"/>
    <s v="55232-81621-BX"/>
    <s v="E-M-0.2"/>
    <n v="2"/>
    <x v="172"/>
    <s v="twalas53@google.ca"/>
    <x v="0"/>
    <x v="1"/>
    <s v="M"/>
    <x v="3"/>
    <n v="4.125"/>
    <x v="112"/>
    <x v="1"/>
    <x v="0"/>
  </r>
  <r>
    <s v="QRA-73277-814"/>
    <d v="2021-07-20T00:00:00"/>
    <x v="1"/>
    <n v="7"/>
    <x v="2"/>
    <s v="80310-92912-JA"/>
    <s v="A-L-0.5"/>
    <n v="4"/>
    <x v="173"/>
    <s v="iblazewicz54@thetimes.co.uk"/>
    <x v="0"/>
    <x v="2"/>
    <s v="L"/>
    <x v="1"/>
    <n v="7.77"/>
    <x v="113"/>
    <x v="2"/>
    <x v="1"/>
  </r>
  <r>
    <s v="EQE-31648-909"/>
    <d v="2019-01-18T00:00:00"/>
    <x v="0"/>
    <n v="1"/>
    <x v="4"/>
    <s v="19821-05175-WZ"/>
    <s v="E-D-0.5"/>
    <n v="5"/>
    <x v="174"/>
    <s v="arizzetti55@naver.com"/>
    <x v="0"/>
    <x v="1"/>
    <s v="D"/>
    <x v="1"/>
    <n v="7.29"/>
    <x v="114"/>
    <x v="1"/>
    <x v="2"/>
  </r>
  <r>
    <s v="QOO-24615-950"/>
    <d v="2019-08-07T00:00:00"/>
    <x v="0"/>
    <n v="8"/>
    <x v="3"/>
    <s v="01338-83217-GV"/>
    <s v="R-M-2.5"/>
    <n v="3"/>
    <x v="175"/>
    <s v="mmeriet56@noaa.gov"/>
    <x v="0"/>
    <x v="0"/>
    <s v="M"/>
    <x v="2"/>
    <n v="22.884999999999998"/>
    <x v="96"/>
    <x v="0"/>
    <x v="0"/>
  </r>
  <r>
    <s v="WDV-73864-037"/>
    <d v="2022-03-13T00:00:00"/>
    <x v="2"/>
    <n v="3"/>
    <x v="6"/>
    <s v="66044-25298-TA"/>
    <s v="L-M-0.5"/>
    <n v="5"/>
    <x v="176"/>
    <s v="lpratt57@netvibes.com"/>
    <x v="0"/>
    <x v="3"/>
    <s v="M"/>
    <x v="1"/>
    <n v="8.73"/>
    <x v="34"/>
    <x v="3"/>
    <x v="0"/>
  </r>
  <r>
    <s v="PKR-88575-066"/>
    <d v="2022-05-17T00:00:00"/>
    <x v="2"/>
    <n v="5"/>
    <x v="5"/>
    <s v="28728-47861-TZ"/>
    <s v="E-L-0.2"/>
    <n v="1"/>
    <x v="177"/>
    <s v="akitchingham58@com.com"/>
    <x v="0"/>
    <x v="1"/>
    <s v="L"/>
    <x v="3"/>
    <n v="4.4550000000000001"/>
    <x v="115"/>
    <x v="1"/>
    <x v="1"/>
  </r>
  <r>
    <s v="BWR-85735-955"/>
    <d v="2019-12-14T00:00:00"/>
    <x v="0"/>
    <n v="12"/>
    <x v="9"/>
    <s v="32638-38620-AX"/>
    <s v="L-M-1"/>
    <n v="3"/>
    <x v="178"/>
    <s v="bbartholin59@xinhuanet.com"/>
    <x v="0"/>
    <x v="3"/>
    <s v="M"/>
    <x v="0"/>
    <n v="14.55"/>
    <x v="34"/>
    <x v="3"/>
    <x v="0"/>
  </r>
  <r>
    <s v="YFX-64795-136"/>
    <d v="2020-01-15T00:00:00"/>
    <x v="3"/>
    <n v="1"/>
    <x v="4"/>
    <s v="83163-65741-IH"/>
    <s v="L-M-2.5"/>
    <n v="1"/>
    <x v="179"/>
    <s v="mprinn5a@usa.gov"/>
    <x v="0"/>
    <x v="3"/>
    <s v="M"/>
    <x v="2"/>
    <n v="33.464999999999996"/>
    <x v="116"/>
    <x v="3"/>
    <x v="0"/>
  </r>
  <r>
    <s v="DDO-71442-967"/>
    <d v="2019-04-12T00:00:00"/>
    <x v="0"/>
    <n v="4"/>
    <x v="8"/>
    <s v="89422-58281-FD"/>
    <s v="L-D-0.2"/>
    <n v="5"/>
    <x v="180"/>
    <s v="abaudino5b@netvibes.com"/>
    <x v="0"/>
    <x v="3"/>
    <s v="D"/>
    <x v="3"/>
    <n v="3.8849999999999998"/>
    <x v="117"/>
    <x v="3"/>
    <x v="2"/>
  </r>
  <r>
    <s v="ILQ-11027-588"/>
    <d v="2020-03-29T00:00:00"/>
    <x v="3"/>
    <n v="3"/>
    <x v="6"/>
    <s v="76293-30918-DQ"/>
    <s v="E-D-1"/>
    <n v="6"/>
    <x v="181"/>
    <s v="ppetrushanko5c@blinklist.com"/>
    <x v="1"/>
    <x v="1"/>
    <s v="D"/>
    <x v="0"/>
    <n v="12.15"/>
    <x v="118"/>
    <x v="1"/>
    <x v="2"/>
  </r>
  <r>
    <s v="KRZ-13868-122"/>
    <d v="2022-03-24T00:00:00"/>
    <x v="2"/>
    <n v="3"/>
    <x v="6"/>
    <s v="86779-84838-EJ"/>
    <s v="E-L-1"/>
    <n v="3"/>
    <x v="182"/>
    <s v=""/>
    <x v="0"/>
    <x v="1"/>
    <s v="L"/>
    <x v="0"/>
    <n v="14.85"/>
    <x v="69"/>
    <x v="1"/>
    <x v="1"/>
  </r>
  <r>
    <s v="VRM-93594-914"/>
    <d v="2021-07-21T00:00:00"/>
    <x v="1"/>
    <n v="7"/>
    <x v="2"/>
    <s v="66806-41795-MX"/>
    <s v="E-D-0.5"/>
    <n v="5"/>
    <x v="183"/>
    <s v="elaird5e@bing.com"/>
    <x v="0"/>
    <x v="1"/>
    <s v="D"/>
    <x v="1"/>
    <n v="7.29"/>
    <x v="114"/>
    <x v="1"/>
    <x v="2"/>
  </r>
  <r>
    <s v="HXL-22497-359"/>
    <d v="2019-08-06T00:00:00"/>
    <x v="0"/>
    <n v="8"/>
    <x v="3"/>
    <s v="64875-71224-UI"/>
    <s v="A-L-1"/>
    <n v="3"/>
    <x v="184"/>
    <s v="mhowsden5f@infoseek.co.jp"/>
    <x v="0"/>
    <x v="2"/>
    <s v="L"/>
    <x v="0"/>
    <n v="12.95"/>
    <x v="5"/>
    <x v="2"/>
    <x v="1"/>
  </r>
  <r>
    <s v="NOP-21394-646"/>
    <d v="2021-05-23T00:00:00"/>
    <x v="1"/>
    <n v="5"/>
    <x v="5"/>
    <s v="16982-35708-BZ"/>
    <s v="E-L-0.5"/>
    <n v="6"/>
    <x v="185"/>
    <s v="ncuttler5g@parallels.com"/>
    <x v="0"/>
    <x v="1"/>
    <s v="L"/>
    <x v="1"/>
    <n v="8.91"/>
    <x v="119"/>
    <x v="1"/>
    <x v="1"/>
  </r>
  <r>
    <s v="NOP-21394-646"/>
    <d v="2021-05-23T00:00:00"/>
    <x v="1"/>
    <n v="5"/>
    <x v="5"/>
    <s v="16982-35708-BZ"/>
    <s v="L-D-2.5"/>
    <n v="2"/>
    <x v="185"/>
    <s v="ncuttler5g@parallels.com"/>
    <x v="0"/>
    <x v="3"/>
    <s v="D"/>
    <x v="2"/>
    <n v="29.784999999999997"/>
    <x v="120"/>
    <x v="3"/>
    <x v="2"/>
  </r>
  <r>
    <s v="NOP-21394-646"/>
    <d v="2021-05-23T00:00:00"/>
    <x v="1"/>
    <n v="5"/>
    <x v="5"/>
    <s v="16982-35708-BZ"/>
    <s v="L-D-2.5"/>
    <n v="3"/>
    <x v="28"/>
    <s v="Not Found"/>
    <x v="2"/>
    <x v="3"/>
    <s v="D"/>
    <x v="2"/>
    <n v="29.784999999999997"/>
    <x v="49"/>
    <x v="3"/>
    <x v="2"/>
  </r>
  <r>
    <s v="NOP-21394-646"/>
    <d v="2021-05-23T00:00:00"/>
    <x v="1"/>
    <n v="5"/>
    <x v="5"/>
    <s v="16982-35708-BZ"/>
    <s v="L-L-0.5"/>
    <n v="4"/>
    <x v="28"/>
    <s v="Not Found"/>
    <x v="2"/>
    <x v="3"/>
    <s v="L"/>
    <x v="1"/>
    <n v="9.51"/>
    <x v="82"/>
    <x v="3"/>
    <x v="1"/>
  </r>
  <r>
    <s v="NOP-21394-646"/>
    <d v="2021-05-23T00:00:00"/>
    <x v="1"/>
    <n v="5"/>
    <x v="5"/>
    <s v="16982-35708-BZ"/>
    <s v="E-M-1"/>
    <n v="3"/>
    <x v="28"/>
    <s v="Not Found"/>
    <x v="2"/>
    <x v="1"/>
    <s v="M"/>
    <x v="0"/>
    <n v="13.75"/>
    <x v="1"/>
    <x v="1"/>
    <x v="0"/>
  </r>
  <r>
    <s v="FTV-77095-168"/>
    <d v="2021-04-08T00:00:00"/>
    <x v="1"/>
    <n v="4"/>
    <x v="8"/>
    <s v="66708-26678-QK"/>
    <s v="L-L-0.5"/>
    <n v="6"/>
    <x v="186"/>
    <s v=""/>
    <x v="0"/>
    <x v="3"/>
    <s v="L"/>
    <x v="1"/>
    <n v="9.51"/>
    <x v="30"/>
    <x v="3"/>
    <x v="1"/>
  </r>
  <r>
    <s v="BOR-02906-411"/>
    <d v="2021-10-17T00:00:00"/>
    <x v="1"/>
    <n v="10"/>
    <x v="7"/>
    <s v="08743-09057-OO"/>
    <s v="L-D-2.5"/>
    <n v="6"/>
    <x v="187"/>
    <s v="tfelip5m@typepad.com"/>
    <x v="0"/>
    <x v="3"/>
    <s v="D"/>
    <x v="2"/>
    <n v="29.784999999999997"/>
    <x v="39"/>
    <x v="3"/>
    <x v="2"/>
  </r>
  <r>
    <s v="WMP-68847-770"/>
    <d v="2022-02-16T00:00:00"/>
    <x v="2"/>
    <n v="2"/>
    <x v="10"/>
    <s v="37490-01572-JW"/>
    <s v="L-L-0.2"/>
    <n v="1"/>
    <x v="188"/>
    <s v="vle5n@disqus.com"/>
    <x v="0"/>
    <x v="3"/>
    <s v="L"/>
    <x v="3"/>
    <n v="4.7549999999999999"/>
    <x v="7"/>
    <x v="3"/>
    <x v="1"/>
  </r>
  <r>
    <s v="TMO-22785-872"/>
    <d v="2020-07-15T00:00:00"/>
    <x v="3"/>
    <n v="7"/>
    <x v="2"/>
    <s v="01811-60350-CU"/>
    <s v="E-M-1"/>
    <n v="6"/>
    <x v="189"/>
    <s v=""/>
    <x v="0"/>
    <x v="1"/>
    <s v="M"/>
    <x v="0"/>
    <n v="13.75"/>
    <x v="121"/>
    <x v="1"/>
    <x v="0"/>
  </r>
  <r>
    <s v="TJG-73587-353"/>
    <d v="2020-02-22T00:00:00"/>
    <x v="3"/>
    <n v="2"/>
    <x v="10"/>
    <s v="24766-58139-GT"/>
    <s v="R-D-0.2"/>
    <n v="3"/>
    <x v="190"/>
    <s v=""/>
    <x v="0"/>
    <x v="0"/>
    <s v="D"/>
    <x v="3"/>
    <n v="2.6849999999999996"/>
    <x v="36"/>
    <x v="0"/>
    <x v="2"/>
  </r>
  <r>
    <s v="OOU-61343-455"/>
    <d v="2021-01-15T00:00:00"/>
    <x v="1"/>
    <n v="1"/>
    <x v="4"/>
    <s v="90123-70970-NY"/>
    <s v="A-M-1"/>
    <n v="2"/>
    <x v="191"/>
    <s v="npoolman5q@howstuffworks.com"/>
    <x v="0"/>
    <x v="2"/>
    <s v="M"/>
    <x v="0"/>
    <n v="11.25"/>
    <x v="122"/>
    <x v="2"/>
    <x v="0"/>
  </r>
  <r>
    <s v="RMA-08327-369"/>
    <d v="2021-01-11T00:00:00"/>
    <x v="1"/>
    <n v="1"/>
    <x v="4"/>
    <s v="93809-05424-MG"/>
    <s v="A-M-0.5"/>
    <n v="6"/>
    <x v="192"/>
    <s v="oduny5r@constantcontact.com"/>
    <x v="0"/>
    <x v="2"/>
    <s v="M"/>
    <x v="1"/>
    <n v="6.75"/>
    <x v="61"/>
    <x v="2"/>
    <x v="0"/>
  </r>
  <r>
    <s v="SFB-97929-779"/>
    <d v="2022-04-08T00:00:00"/>
    <x v="2"/>
    <n v="4"/>
    <x v="8"/>
    <s v="85425-33494-HQ"/>
    <s v="E-D-0.5"/>
    <n v="4"/>
    <x v="193"/>
    <s v="chalfhide5s@google.ru"/>
    <x v="1"/>
    <x v="1"/>
    <s v="D"/>
    <x v="1"/>
    <n v="7.29"/>
    <x v="104"/>
    <x v="1"/>
    <x v="2"/>
  </r>
  <r>
    <s v="AUP-10128-606"/>
    <d v="2020-10-01T00:00:00"/>
    <x v="3"/>
    <n v="10"/>
    <x v="7"/>
    <s v="54387-64897-XC"/>
    <s v="A-M-0.5"/>
    <n v="1"/>
    <x v="194"/>
    <s v="fmalecky5t@list-manage.com"/>
    <x v="3"/>
    <x v="2"/>
    <s v="M"/>
    <x v="1"/>
    <n v="6.75"/>
    <x v="52"/>
    <x v="2"/>
    <x v="0"/>
  </r>
  <r>
    <s v="YTW-40242-005"/>
    <d v="2019-10-28T00:00:00"/>
    <x v="0"/>
    <n v="10"/>
    <x v="7"/>
    <s v="01035-70465-UO"/>
    <s v="L-D-1"/>
    <n v="4"/>
    <x v="195"/>
    <s v="aattwater5u@wikia.com"/>
    <x v="0"/>
    <x v="3"/>
    <s v="D"/>
    <x v="0"/>
    <n v="12.95"/>
    <x v="67"/>
    <x v="3"/>
    <x v="2"/>
  </r>
  <r>
    <s v="PRP-53390-819"/>
    <d v="2021-03-28T00:00:00"/>
    <x v="1"/>
    <n v="3"/>
    <x v="6"/>
    <s v="84260-39432-ML"/>
    <s v="E-L-0.5"/>
    <n v="6"/>
    <x v="196"/>
    <s v="mwhellans5v@mapquest.com"/>
    <x v="0"/>
    <x v="1"/>
    <s v="L"/>
    <x v="1"/>
    <n v="8.91"/>
    <x v="119"/>
    <x v="1"/>
    <x v="1"/>
  </r>
  <r>
    <s v="GSJ-01065-125"/>
    <d v="2020-03-31T00:00:00"/>
    <x v="3"/>
    <n v="3"/>
    <x v="6"/>
    <s v="69779-40609-RS"/>
    <s v="E-D-0.2"/>
    <n v="4"/>
    <x v="197"/>
    <s v="dcamilletti5w@businesswire.com"/>
    <x v="0"/>
    <x v="1"/>
    <s v="D"/>
    <x v="3"/>
    <n v="3.645"/>
    <x v="20"/>
    <x v="1"/>
    <x v="2"/>
  </r>
  <r>
    <s v="YQU-65147-580"/>
    <d v="2022-03-26T00:00:00"/>
    <x v="2"/>
    <n v="3"/>
    <x v="6"/>
    <s v="80247-70000-HT"/>
    <s v="R-D-2.5"/>
    <n v="1"/>
    <x v="198"/>
    <s v="egalgey5x@wufoo.com"/>
    <x v="0"/>
    <x v="0"/>
    <s v="D"/>
    <x v="2"/>
    <n v="20.584999999999997"/>
    <x v="123"/>
    <x v="0"/>
    <x v="2"/>
  </r>
  <r>
    <s v="QPM-95832-683"/>
    <d v="2019-11-06T00:00:00"/>
    <x v="0"/>
    <n v="11"/>
    <x v="11"/>
    <s v="35058-04550-VC"/>
    <s v="L-L-1"/>
    <n v="2"/>
    <x v="199"/>
    <s v="mhame5y@newsvine.com"/>
    <x v="1"/>
    <x v="3"/>
    <s v="L"/>
    <x v="0"/>
    <n v="15.85"/>
    <x v="124"/>
    <x v="3"/>
    <x v="1"/>
  </r>
  <r>
    <s v="BNQ-88920-567"/>
    <d v="2019-12-30T00:00:00"/>
    <x v="0"/>
    <n v="12"/>
    <x v="9"/>
    <s v="27226-53717-SY"/>
    <s v="L-D-0.2"/>
    <n v="6"/>
    <x v="200"/>
    <s v="igurnee5z@usnews.com"/>
    <x v="0"/>
    <x v="3"/>
    <s v="D"/>
    <x v="3"/>
    <n v="3.8849999999999998"/>
    <x v="102"/>
    <x v="3"/>
    <x v="2"/>
  </r>
  <r>
    <s v="PUX-47906-110"/>
    <d v="2021-10-01T00:00:00"/>
    <x v="1"/>
    <n v="10"/>
    <x v="7"/>
    <s v="02002-98725-CH"/>
    <s v="L-M-1"/>
    <n v="4"/>
    <x v="201"/>
    <s v="asnowding60@comsenz.com"/>
    <x v="0"/>
    <x v="3"/>
    <s v="M"/>
    <x v="0"/>
    <n v="14.55"/>
    <x v="125"/>
    <x v="3"/>
    <x v="0"/>
  </r>
  <r>
    <s v="COL-72079-610"/>
    <d v="2020-12-09T00:00:00"/>
    <x v="3"/>
    <n v="12"/>
    <x v="9"/>
    <s v="38487-01549-MV"/>
    <s v="E-L-0.5"/>
    <n v="4"/>
    <x v="202"/>
    <s v="gpoinsett61@berkeley.edu"/>
    <x v="0"/>
    <x v="1"/>
    <s v="L"/>
    <x v="1"/>
    <n v="8.91"/>
    <x v="70"/>
    <x v="1"/>
    <x v="1"/>
  </r>
  <r>
    <s v="LBC-45686-819"/>
    <d v="2021-05-01T00:00:00"/>
    <x v="1"/>
    <n v="5"/>
    <x v="5"/>
    <s v="98573-41811-EQ"/>
    <s v="A-M-1"/>
    <n v="5"/>
    <x v="203"/>
    <s v="rfurman62@t.co"/>
    <x v="1"/>
    <x v="2"/>
    <s v="M"/>
    <x v="0"/>
    <n v="11.25"/>
    <x v="126"/>
    <x v="2"/>
    <x v="0"/>
  </r>
  <r>
    <s v="BLQ-03709-265"/>
    <d v="2022-08-04T00:00:00"/>
    <x v="2"/>
    <n v="8"/>
    <x v="3"/>
    <s v="72463-75685-MV"/>
    <s v="R-L-0.2"/>
    <n v="3"/>
    <x v="204"/>
    <s v="ccrosier63@xrea.com"/>
    <x v="0"/>
    <x v="0"/>
    <s v="L"/>
    <x v="3"/>
    <n v="3.5849999999999995"/>
    <x v="127"/>
    <x v="0"/>
    <x v="1"/>
  </r>
  <r>
    <s v="BLQ-03709-265"/>
    <d v="2022-08-04T00:00:00"/>
    <x v="2"/>
    <n v="8"/>
    <x v="3"/>
    <s v="72463-75685-MV"/>
    <s v="R-M-0.2"/>
    <n v="5"/>
    <x v="204"/>
    <s v="ccrosier63@xrea.com"/>
    <x v="0"/>
    <x v="0"/>
    <s v="M"/>
    <x v="3"/>
    <n v="2.9849999999999999"/>
    <x v="128"/>
    <x v="0"/>
    <x v="0"/>
  </r>
  <r>
    <s v="VFZ-91673-181"/>
    <d v="2021-11-13T00:00:00"/>
    <x v="1"/>
    <n v="11"/>
    <x v="11"/>
    <s v="10225-91535-AI"/>
    <s v="A-L-1"/>
    <n v="6"/>
    <x v="205"/>
    <s v="lrushmer65@europa.eu"/>
    <x v="0"/>
    <x v="2"/>
    <s v="L"/>
    <x v="0"/>
    <n v="12.95"/>
    <x v="17"/>
    <x v="2"/>
    <x v="1"/>
  </r>
  <r>
    <s v="WKD-81956-870"/>
    <d v="2020-09-16T00:00:00"/>
    <x v="3"/>
    <n v="9"/>
    <x v="0"/>
    <s v="48090-06534-HI"/>
    <s v="L-D-0.5"/>
    <n v="3"/>
    <x v="206"/>
    <s v="wedinborough66@github.io"/>
    <x v="0"/>
    <x v="3"/>
    <s v="D"/>
    <x v="1"/>
    <n v="7.77"/>
    <x v="102"/>
    <x v="3"/>
    <x v="2"/>
  </r>
  <r>
    <s v="TNI-91067-006"/>
    <d v="2020-10-05T00:00:00"/>
    <x v="3"/>
    <n v="10"/>
    <x v="7"/>
    <s v="80444-58185-FX"/>
    <s v="E-L-1"/>
    <n v="4"/>
    <x v="207"/>
    <s v=""/>
    <x v="0"/>
    <x v="1"/>
    <s v="L"/>
    <x v="0"/>
    <n v="14.85"/>
    <x v="48"/>
    <x v="1"/>
    <x v="1"/>
  </r>
  <r>
    <s v="IZA-61469-812"/>
    <d v="2020-01-06T00:00:00"/>
    <x v="3"/>
    <n v="1"/>
    <x v="4"/>
    <s v="13561-92774-WP"/>
    <s v="L-D-2.5"/>
    <n v="4"/>
    <x v="208"/>
    <s v="kbromehead68@un.org"/>
    <x v="0"/>
    <x v="3"/>
    <s v="D"/>
    <x v="2"/>
    <n v="29.784999999999997"/>
    <x v="129"/>
    <x v="3"/>
    <x v="2"/>
  </r>
  <r>
    <s v="PSS-22466-862"/>
    <d v="2021-05-21T00:00:00"/>
    <x v="1"/>
    <n v="5"/>
    <x v="5"/>
    <s v="11550-78378-GE"/>
    <s v="R-L-0.2"/>
    <n v="4"/>
    <x v="209"/>
    <s v="ewesterman69@si.edu"/>
    <x v="1"/>
    <x v="0"/>
    <s v="L"/>
    <x v="3"/>
    <n v="3.5849999999999995"/>
    <x v="79"/>
    <x v="0"/>
    <x v="1"/>
  </r>
  <r>
    <s v="REH-56504-397"/>
    <d v="2020-02-26T00:00:00"/>
    <x v="3"/>
    <n v="2"/>
    <x v="10"/>
    <s v="90961-35603-RP"/>
    <s v="A-M-2.5"/>
    <n v="5"/>
    <x v="210"/>
    <s v="ahutchens6a@amazonaws.com"/>
    <x v="0"/>
    <x v="2"/>
    <s v="M"/>
    <x v="2"/>
    <n v="25.874999999999996"/>
    <x v="130"/>
    <x v="2"/>
    <x v="0"/>
  </r>
  <r>
    <s v="ALA-62598-016"/>
    <d v="2020-02-19T00:00:00"/>
    <x v="3"/>
    <n v="2"/>
    <x v="10"/>
    <s v="57145-03803-ZL"/>
    <s v="R-D-0.2"/>
    <n v="6"/>
    <x v="211"/>
    <s v="nwyvill6b@naver.com"/>
    <x v="3"/>
    <x v="0"/>
    <s v="D"/>
    <x v="3"/>
    <n v="2.6849999999999996"/>
    <x v="103"/>
    <x v="0"/>
    <x v="2"/>
  </r>
  <r>
    <s v="EYE-70374-835"/>
    <d v="2021-06-29T00:00:00"/>
    <x v="1"/>
    <n v="6"/>
    <x v="1"/>
    <s v="89115-11966-VF"/>
    <s v="R-L-0.2"/>
    <n v="5"/>
    <x v="212"/>
    <s v="bmathon6c@barnesandnoble.com"/>
    <x v="0"/>
    <x v="0"/>
    <s v="L"/>
    <x v="3"/>
    <n v="3.5849999999999995"/>
    <x v="131"/>
    <x v="0"/>
    <x v="1"/>
  </r>
  <r>
    <s v="CCZ-19589-212"/>
    <d v="2021-03-27T00:00:00"/>
    <x v="1"/>
    <n v="3"/>
    <x v="6"/>
    <s v="05754-41702-FG"/>
    <s v="L-M-0.2"/>
    <n v="2"/>
    <x v="213"/>
    <s v="kstreight6d@about.com"/>
    <x v="0"/>
    <x v="3"/>
    <s v="M"/>
    <x v="3"/>
    <n v="4.3650000000000002"/>
    <x v="31"/>
    <x v="3"/>
    <x v="0"/>
  </r>
  <r>
    <s v="BPT-83989-157"/>
    <d v="2021-10-27T00:00:00"/>
    <x v="1"/>
    <n v="10"/>
    <x v="7"/>
    <s v="84269-49816-ML"/>
    <s v="A-M-2.5"/>
    <n v="2"/>
    <x v="214"/>
    <s v="pcutchie6e@globo.com"/>
    <x v="0"/>
    <x v="2"/>
    <s v="M"/>
    <x v="2"/>
    <n v="25.874999999999996"/>
    <x v="95"/>
    <x v="2"/>
    <x v="0"/>
  </r>
  <r>
    <s v="YFH-87456-208"/>
    <d v="2019-06-12T00:00:00"/>
    <x v="0"/>
    <n v="6"/>
    <x v="1"/>
    <s v="23600-98432-ME"/>
    <s v="L-M-0.2"/>
    <n v="2"/>
    <x v="215"/>
    <s v=""/>
    <x v="0"/>
    <x v="3"/>
    <s v="M"/>
    <x v="3"/>
    <n v="4.3650000000000002"/>
    <x v="31"/>
    <x v="3"/>
    <x v="0"/>
  </r>
  <r>
    <s v="JLN-14700-924"/>
    <d v="2020-06-28T00:00:00"/>
    <x v="3"/>
    <n v="6"/>
    <x v="1"/>
    <s v="79058-02767-CP"/>
    <s v="L-L-0.2"/>
    <n v="5"/>
    <x v="216"/>
    <s v="cgheraldi6g@opera.com"/>
    <x v="3"/>
    <x v="3"/>
    <s v="L"/>
    <x v="3"/>
    <n v="4.7549999999999999"/>
    <x v="29"/>
    <x v="3"/>
    <x v="1"/>
  </r>
  <r>
    <s v="JVW-22582-137"/>
    <d v="2021-03-23T00:00:00"/>
    <x v="1"/>
    <n v="3"/>
    <x v="6"/>
    <s v="89208-74646-UK"/>
    <s v="E-M-0.2"/>
    <n v="5"/>
    <x v="217"/>
    <s v="bkenwell6h@over-blog.com"/>
    <x v="0"/>
    <x v="1"/>
    <s v="M"/>
    <x v="3"/>
    <n v="4.125"/>
    <x v="132"/>
    <x v="1"/>
    <x v="0"/>
  </r>
  <r>
    <s v="LAA-41879-001"/>
    <d v="2022-02-10T00:00:00"/>
    <x v="2"/>
    <n v="2"/>
    <x v="10"/>
    <s v="11408-81032-UR"/>
    <s v="L-L-2.5"/>
    <n v="1"/>
    <x v="218"/>
    <s v="tsutty6i@google.es"/>
    <x v="0"/>
    <x v="3"/>
    <s v="L"/>
    <x v="2"/>
    <n v="36.454999999999998"/>
    <x v="133"/>
    <x v="3"/>
    <x v="1"/>
  </r>
  <r>
    <s v="BRV-64870-915"/>
    <d v="2019-04-16T00:00:00"/>
    <x v="0"/>
    <n v="4"/>
    <x v="8"/>
    <s v="32070-55528-UG"/>
    <s v="L-L-2.5"/>
    <n v="5"/>
    <x v="219"/>
    <s v=""/>
    <x v="1"/>
    <x v="3"/>
    <s v="L"/>
    <x v="2"/>
    <n v="36.454999999999998"/>
    <x v="134"/>
    <x v="3"/>
    <x v="1"/>
  </r>
  <r>
    <s v="RGJ-12544-083"/>
    <d v="2020-02-12T00:00:00"/>
    <x v="3"/>
    <n v="2"/>
    <x v="10"/>
    <s v="48873-84433-PN"/>
    <s v="L-D-2.5"/>
    <n v="3"/>
    <x v="220"/>
    <s v="charce6k@cafepress.com"/>
    <x v="1"/>
    <x v="3"/>
    <s v="D"/>
    <x v="2"/>
    <n v="29.784999999999997"/>
    <x v="49"/>
    <x v="3"/>
    <x v="2"/>
  </r>
  <r>
    <s v="JJX-83339-346"/>
    <d v="2022-01-02T00:00:00"/>
    <x v="2"/>
    <n v="1"/>
    <x v="4"/>
    <s v="32928-18158-OW"/>
    <s v="R-L-0.2"/>
    <n v="1"/>
    <x v="221"/>
    <s v=""/>
    <x v="0"/>
    <x v="0"/>
    <s v="L"/>
    <x v="3"/>
    <n v="3.5849999999999995"/>
    <x v="60"/>
    <x v="0"/>
    <x v="1"/>
  </r>
  <r>
    <s v="BIU-21970-705"/>
    <d v="2020-12-07T00:00:00"/>
    <x v="3"/>
    <n v="12"/>
    <x v="9"/>
    <s v="89711-56688-GG"/>
    <s v="R-M-2.5"/>
    <n v="2"/>
    <x v="222"/>
    <s v="fdrysdale6m@symantec.com"/>
    <x v="0"/>
    <x v="0"/>
    <s v="M"/>
    <x v="2"/>
    <n v="22.884999999999998"/>
    <x v="135"/>
    <x v="0"/>
    <x v="0"/>
  </r>
  <r>
    <s v="ELJ-87741-745"/>
    <d v="2020-02-20T00:00:00"/>
    <x v="3"/>
    <n v="2"/>
    <x v="10"/>
    <s v="48389-71976-JB"/>
    <s v="E-L-1"/>
    <n v="4"/>
    <x v="223"/>
    <s v="dmagowan6n@fc2.com"/>
    <x v="0"/>
    <x v="1"/>
    <s v="L"/>
    <x v="0"/>
    <n v="14.85"/>
    <x v="48"/>
    <x v="1"/>
    <x v="1"/>
  </r>
  <r>
    <s v="SGI-48226-857"/>
    <d v="2020-06-11T00:00:00"/>
    <x v="3"/>
    <n v="6"/>
    <x v="1"/>
    <s v="84033-80762-EQ"/>
    <s v="A-M-2.5"/>
    <n v="6"/>
    <x v="224"/>
    <s v=""/>
    <x v="0"/>
    <x v="2"/>
    <s v="M"/>
    <x v="2"/>
    <n v="25.874999999999996"/>
    <x v="71"/>
    <x v="2"/>
    <x v="0"/>
  </r>
  <r>
    <s v="AHV-66988-037"/>
    <d v="2020-09-08T00:00:00"/>
    <x v="3"/>
    <n v="9"/>
    <x v="0"/>
    <s v="12743-00952-KO"/>
    <s v="R-M-2.5"/>
    <n v="2"/>
    <x v="225"/>
    <s v=""/>
    <x v="0"/>
    <x v="0"/>
    <s v="M"/>
    <x v="2"/>
    <n v="22.884999999999998"/>
    <x v="135"/>
    <x v="0"/>
    <x v="0"/>
  </r>
  <r>
    <s v="ISK-42066-094"/>
    <d v="2020-03-28T00:00:00"/>
    <x v="3"/>
    <n v="3"/>
    <x v="6"/>
    <s v="41505-42181-EF"/>
    <s v="E-D-1"/>
    <n v="3"/>
    <x v="226"/>
    <s v="srushbrooke6q@youku.com"/>
    <x v="0"/>
    <x v="1"/>
    <s v="D"/>
    <x v="0"/>
    <n v="12.15"/>
    <x v="114"/>
    <x v="1"/>
    <x v="2"/>
  </r>
  <r>
    <s v="FTC-35822-530"/>
    <d v="2020-10-10T00:00:00"/>
    <x v="3"/>
    <n v="10"/>
    <x v="7"/>
    <s v="14307-87663-KB"/>
    <s v="E-D-0.5"/>
    <n v="4"/>
    <x v="227"/>
    <s v="tdrynan6r@deviantart.com"/>
    <x v="0"/>
    <x v="1"/>
    <s v="D"/>
    <x v="1"/>
    <n v="7.29"/>
    <x v="104"/>
    <x v="1"/>
    <x v="2"/>
  </r>
  <r>
    <s v="VSS-56247-688"/>
    <d v="2022-05-21T00:00:00"/>
    <x v="2"/>
    <n v="5"/>
    <x v="5"/>
    <s v="08360-19442-GB"/>
    <s v="L-M-2.5"/>
    <n v="4"/>
    <x v="228"/>
    <s v="eyurkov6s@hud.gov"/>
    <x v="0"/>
    <x v="3"/>
    <s v="M"/>
    <x v="2"/>
    <n v="33.464999999999996"/>
    <x v="136"/>
    <x v="3"/>
    <x v="0"/>
  </r>
  <r>
    <s v="HVW-25584-144"/>
    <d v="2020-04-30T00:00:00"/>
    <x v="3"/>
    <n v="4"/>
    <x v="8"/>
    <s v="93405-51204-UW"/>
    <s v="L-L-0.2"/>
    <n v="5"/>
    <x v="229"/>
    <s v="lmallan6t@state.gov"/>
    <x v="0"/>
    <x v="3"/>
    <s v="L"/>
    <x v="3"/>
    <n v="4.7549999999999999"/>
    <x v="29"/>
    <x v="3"/>
    <x v="1"/>
  </r>
  <r>
    <s v="MUY-15309-209"/>
    <d v="2021-12-12T00:00:00"/>
    <x v="1"/>
    <n v="12"/>
    <x v="9"/>
    <s v="97152-03355-IW"/>
    <s v="L-D-1"/>
    <n v="3"/>
    <x v="230"/>
    <s v="gbentjens6u@netlog.com"/>
    <x v="3"/>
    <x v="3"/>
    <s v="D"/>
    <x v="0"/>
    <n v="12.95"/>
    <x v="5"/>
    <x v="3"/>
    <x v="2"/>
  </r>
  <r>
    <s v="VAJ-44572-469"/>
    <d v="2020-10-27T00:00:00"/>
    <x v="3"/>
    <n v="10"/>
    <x v="7"/>
    <s v="79216-73157-TE"/>
    <s v="R-L-0.2"/>
    <n v="6"/>
    <x v="231"/>
    <s v=""/>
    <x v="1"/>
    <x v="0"/>
    <s v="L"/>
    <x v="3"/>
    <n v="3.5849999999999995"/>
    <x v="137"/>
    <x v="0"/>
    <x v="1"/>
  </r>
  <r>
    <s v="YJU-84377-606"/>
    <d v="2020-07-07T00:00:00"/>
    <x v="3"/>
    <n v="7"/>
    <x v="2"/>
    <s v="20259-47723-AC"/>
    <s v="A-D-1"/>
    <n v="1"/>
    <x v="232"/>
    <s v="lentwistle6w@omniture.com"/>
    <x v="0"/>
    <x v="2"/>
    <s v="D"/>
    <x v="0"/>
    <n v="9.9499999999999993"/>
    <x v="138"/>
    <x v="2"/>
    <x v="2"/>
  </r>
  <r>
    <s v="VNC-93921-469"/>
    <d v="2020-01-31T00:00:00"/>
    <x v="3"/>
    <n v="1"/>
    <x v="4"/>
    <s v="04666-71569-RI"/>
    <s v="L-L-1"/>
    <n v="1"/>
    <x v="233"/>
    <s v="zkiffe74@cyberchimps.com"/>
    <x v="0"/>
    <x v="3"/>
    <s v="L"/>
    <x v="0"/>
    <n v="15.85"/>
    <x v="80"/>
    <x v="3"/>
    <x v="1"/>
  </r>
  <r>
    <s v="OGB-91614-810"/>
    <d v="2020-02-18T00:00:00"/>
    <x v="3"/>
    <n v="2"/>
    <x v="10"/>
    <s v="08909-77713-CG"/>
    <s v="R-M-0.2"/>
    <n v="1"/>
    <x v="234"/>
    <s v="macott6y@pagesperso-orange.fr"/>
    <x v="0"/>
    <x v="0"/>
    <s v="M"/>
    <x v="3"/>
    <n v="2.9849999999999999"/>
    <x v="55"/>
    <x v="0"/>
    <x v="0"/>
  </r>
  <r>
    <s v="BQI-61647-496"/>
    <d v="2021-06-13T00:00:00"/>
    <x v="1"/>
    <n v="6"/>
    <x v="1"/>
    <s v="84340-73931-VV"/>
    <s v="E-M-1"/>
    <n v="5"/>
    <x v="235"/>
    <s v="cheaviside6z@rediff.com"/>
    <x v="0"/>
    <x v="1"/>
    <s v="M"/>
    <x v="0"/>
    <n v="13.75"/>
    <x v="85"/>
    <x v="1"/>
    <x v="0"/>
  </r>
  <r>
    <s v="IOM-51636-823"/>
    <d v="2022-08-06T00:00:00"/>
    <x v="2"/>
    <n v="8"/>
    <x v="3"/>
    <s v="04609-95151-XH"/>
    <s v="A-D-1"/>
    <n v="3"/>
    <x v="236"/>
    <s v=""/>
    <x v="0"/>
    <x v="2"/>
    <s v="D"/>
    <x v="0"/>
    <n v="9.9499999999999993"/>
    <x v="44"/>
    <x v="2"/>
    <x v="2"/>
  </r>
  <r>
    <s v="GGD-38107-641"/>
    <d v="2021-11-23T00:00:00"/>
    <x v="1"/>
    <n v="11"/>
    <x v="11"/>
    <s v="99562-88650-YF"/>
    <s v="L-M-1"/>
    <n v="4"/>
    <x v="237"/>
    <s v="lkernan71@wsj.com"/>
    <x v="0"/>
    <x v="3"/>
    <s v="M"/>
    <x v="0"/>
    <n v="14.55"/>
    <x v="125"/>
    <x v="3"/>
    <x v="0"/>
  </r>
  <r>
    <s v="LTO-95975-728"/>
    <d v="2021-10-13T00:00:00"/>
    <x v="1"/>
    <n v="10"/>
    <x v="7"/>
    <s v="46560-73885-PJ"/>
    <s v="R-L-0.5"/>
    <n v="4"/>
    <x v="238"/>
    <s v="rmclae72@dailymotion.com"/>
    <x v="3"/>
    <x v="0"/>
    <s v="L"/>
    <x v="1"/>
    <n v="7.169999999999999"/>
    <x v="139"/>
    <x v="0"/>
    <x v="1"/>
  </r>
  <r>
    <s v="IGM-84664-265"/>
    <d v="2021-08-31T00:00:00"/>
    <x v="1"/>
    <n v="8"/>
    <x v="3"/>
    <s v="80179-44620-WN"/>
    <s v="R-L-0.5"/>
    <n v="3"/>
    <x v="239"/>
    <s v="cblowfelde73@ustream.tv"/>
    <x v="0"/>
    <x v="0"/>
    <s v="L"/>
    <x v="1"/>
    <n v="7.169999999999999"/>
    <x v="137"/>
    <x v="0"/>
    <x v="1"/>
  </r>
  <r>
    <s v="SKO-45740-621"/>
    <d v="2020-01-16T00:00:00"/>
    <x v="3"/>
    <n v="1"/>
    <x v="4"/>
    <s v="04666-71569-RI"/>
    <s v="L-M-0.5"/>
    <n v="2"/>
    <x v="233"/>
    <s v="zkiffe74@cyberchimps.com"/>
    <x v="0"/>
    <x v="3"/>
    <s v="M"/>
    <x v="1"/>
    <n v="8.73"/>
    <x v="92"/>
    <x v="3"/>
    <x v="0"/>
  </r>
  <r>
    <s v="FOJ-02234-063"/>
    <d v="2022-04-25T00:00:00"/>
    <x v="2"/>
    <n v="4"/>
    <x v="8"/>
    <s v="59081-87231-VP"/>
    <s v="E-D-2.5"/>
    <n v="1"/>
    <x v="240"/>
    <s v="docalleran75@ucla.edu"/>
    <x v="0"/>
    <x v="1"/>
    <s v="D"/>
    <x v="2"/>
    <n v="27.945"/>
    <x v="140"/>
    <x v="1"/>
    <x v="2"/>
  </r>
  <r>
    <s v="MSJ-11909-468"/>
    <d v="2021-11-13T00:00:00"/>
    <x v="1"/>
    <n v="11"/>
    <x v="11"/>
    <s v="07878-45872-CC"/>
    <s v="E-D-2.5"/>
    <n v="5"/>
    <x v="241"/>
    <s v="ccromwell76@desdev.cn"/>
    <x v="0"/>
    <x v="1"/>
    <s v="D"/>
    <x v="2"/>
    <n v="27.945"/>
    <x v="141"/>
    <x v="1"/>
    <x v="2"/>
  </r>
  <r>
    <s v="DKB-78053-329"/>
    <d v="2021-06-08T00:00:00"/>
    <x v="1"/>
    <n v="6"/>
    <x v="1"/>
    <s v="12444-05174-OO"/>
    <s v="R-M-0.2"/>
    <n v="2"/>
    <x v="242"/>
    <s v="ihay77@lulu.com"/>
    <x v="3"/>
    <x v="0"/>
    <s v="M"/>
    <x v="3"/>
    <n v="2.9849999999999999"/>
    <x v="9"/>
    <x v="0"/>
    <x v="0"/>
  </r>
  <r>
    <s v="DFZ-45083-941"/>
    <d v="2020-11-21T00:00:00"/>
    <x v="3"/>
    <n v="11"/>
    <x v="11"/>
    <s v="34665-62561-AU"/>
    <s v="R-L-2.5"/>
    <n v="1"/>
    <x v="243"/>
    <s v="ttaffarello78@sciencedaily.com"/>
    <x v="0"/>
    <x v="0"/>
    <s v="L"/>
    <x v="2"/>
    <n v="27.484999999999996"/>
    <x v="142"/>
    <x v="0"/>
    <x v="1"/>
  </r>
  <r>
    <s v="OTA-40969-710"/>
    <d v="2019-03-14T00:00:00"/>
    <x v="0"/>
    <n v="3"/>
    <x v="6"/>
    <s v="77877-11993-QH"/>
    <s v="R-L-1"/>
    <n v="5"/>
    <x v="244"/>
    <s v="mcanty79@jigsy.com"/>
    <x v="0"/>
    <x v="0"/>
    <s v="L"/>
    <x v="0"/>
    <n v="11.95"/>
    <x v="143"/>
    <x v="0"/>
    <x v="1"/>
  </r>
  <r>
    <s v="GRH-45571-667"/>
    <d v="2019-08-16T00:00:00"/>
    <x v="0"/>
    <n v="8"/>
    <x v="3"/>
    <s v="32291-18308-YZ"/>
    <s v="E-M-1"/>
    <n v="3"/>
    <x v="245"/>
    <s v="jkopke7a@auda.org.au"/>
    <x v="0"/>
    <x v="1"/>
    <s v="M"/>
    <x v="0"/>
    <n v="13.75"/>
    <x v="1"/>
    <x v="1"/>
    <x v="0"/>
  </r>
  <r>
    <s v="NXV-05302-067"/>
    <d v="2019-04-22T00:00:00"/>
    <x v="0"/>
    <n v="4"/>
    <x v="8"/>
    <s v="25754-33191-ZI"/>
    <s v="L-M-2.5"/>
    <n v="4"/>
    <x v="246"/>
    <s v=""/>
    <x v="0"/>
    <x v="3"/>
    <s v="M"/>
    <x v="2"/>
    <n v="33.464999999999996"/>
    <x v="136"/>
    <x v="3"/>
    <x v="0"/>
  </r>
  <r>
    <s v="VZH-86274-142"/>
    <d v="2022-05-02T00:00:00"/>
    <x v="2"/>
    <n v="5"/>
    <x v="5"/>
    <s v="53120-45532-KL"/>
    <s v="R-L-1"/>
    <n v="5"/>
    <x v="247"/>
    <s v=""/>
    <x v="1"/>
    <x v="0"/>
    <s v="L"/>
    <x v="0"/>
    <n v="11.95"/>
    <x v="143"/>
    <x v="0"/>
    <x v="1"/>
  </r>
  <r>
    <s v="KIX-93248-135"/>
    <d v="2020-02-11T00:00:00"/>
    <x v="3"/>
    <n v="2"/>
    <x v="10"/>
    <s v="36605-83052-WB"/>
    <s v="A-D-0.5"/>
    <n v="1"/>
    <x v="248"/>
    <s v="vhellmore7d@bbc.co.uk"/>
    <x v="0"/>
    <x v="2"/>
    <s v="D"/>
    <x v="1"/>
    <n v="5.97"/>
    <x v="9"/>
    <x v="2"/>
    <x v="2"/>
  </r>
  <r>
    <s v="AXR-10962-010"/>
    <d v="2021-03-28T00:00:00"/>
    <x v="1"/>
    <n v="3"/>
    <x v="6"/>
    <s v="53683-35977-KI"/>
    <s v="E-D-1"/>
    <n v="2"/>
    <x v="249"/>
    <s v="mseawright7e@nbcnews.com"/>
    <x v="3"/>
    <x v="1"/>
    <s v="D"/>
    <x v="0"/>
    <n v="12.15"/>
    <x v="76"/>
    <x v="1"/>
    <x v="2"/>
  </r>
  <r>
    <s v="IHS-71573-008"/>
    <d v="2021-05-08T00:00:00"/>
    <x v="1"/>
    <n v="5"/>
    <x v="5"/>
    <s v="07972-83134-NM"/>
    <s v="E-D-0.2"/>
    <n v="6"/>
    <x v="250"/>
    <s v="snortheast7f@mashable.com"/>
    <x v="0"/>
    <x v="1"/>
    <s v="D"/>
    <x v="3"/>
    <n v="3.645"/>
    <x v="6"/>
    <x v="1"/>
    <x v="2"/>
  </r>
  <r>
    <s v="QTR-19001-114"/>
    <d v="2019-11-21T00:00:00"/>
    <x v="0"/>
    <n v="11"/>
    <x v="11"/>
    <s v="01035-70465-UO"/>
    <s v="A-D-1"/>
    <n v="2"/>
    <x v="28"/>
    <s v="Not Found"/>
    <x v="2"/>
    <x v="2"/>
    <s v="D"/>
    <x v="0"/>
    <n v="9.9499999999999993"/>
    <x v="0"/>
    <x v="2"/>
    <x v="2"/>
  </r>
  <r>
    <s v="WBK-62297-910"/>
    <d v="2021-05-17T00:00:00"/>
    <x v="1"/>
    <n v="5"/>
    <x v="5"/>
    <s v="25514-23938-IQ"/>
    <s v="A-D-0.2"/>
    <n v="2"/>
    <x v="251"/>
    <s v="mfearon7h@reverbnation.com"/>
    <x v="0"/>
    <x v="2"/>
    <s v="D"/>
    <x v="3"/>
    <n v="2.9849999999999999"/>
    <x v="9"/>
    <x v="2"/>
    <x v="2"/>
  </r>
  <r>
    <s v="OGY-19377-175"/>
    <d v="2019-07-09T00:00:00"/>
    <x v="0"/>
    <n v="7"/>
    <x v="2"/>
    <s v="49084-44492-OJ"/>
    <s v="E-D-0.5"/>
    <n v="1"/>
    <x v="252"/>
    <s v=""/>
    <x v="1"/>
    <x v="1"/>
    <s v="D"/>
    <x v="1"/>
    <n v="7.29"/>
    <x v="35"/>
    <x v="1"/>
    <x v="2"/>
  </r>
  <r>
    <s v="ESR-66651-814"/>
    <d v="2020-05-20T00:00:00"/>
    <x v="3"/>
    <n v="5"/>
    <x v="5"/>
    <s v="76624-72205-CK"/>
    <s v="A-D-0.2"/>
    <n v="4"/>
    <x v="253"/>
    <s v="jsisneros7j@a8.net"/>
    <x v="0"/>
    <x v="2"/>
    <s v="D"/>
    <x v="3"/>
    <n v="2.9849999999999999"/>
    <x v="22"/>
    <x v="2"/>
    <x v="2"/>
  </r>
  <r>
    <s v="CPX-46916-770"/>
    <d v="2021-08-27T00:00:00"/>
    <x v="1"/>
    <n v="8"/>
    <x v="3"/>
    <s v="12729-50170-JE"/>
    <s v="R-L-1"/>
    <n v="6"/>
    <x v="254"/>
    <s v="zcarlson7k@bigcartel.com"/>
    <x v="1"/>
    <x v="0"/>
    <s v="L"/>
    <x v="0"/>
    <n v="11.95"/>
    <x v="144"/>
    <x v="0"/>
    <x v="1"/>
  </r>
  <r>
    <s v="MDC-03318-645"/>
    <d v="2022-04-30T00:00:00"/>
    <x v="2"/>
    <n v="4"/>
    <x v="8"/>
    <s v="43974-44760-QI"/>
    <s v="A-L-0.2"/>
    <n v="2"/>
    <x v="255"/>
    <s v="wmaddox7l@timesonline.co.uk"/>
    <x v="0"/>
    <x v="2"/>
    <s v="L"/>
    <x v="3"/>
    <n v="3.8849999999999998"/>
    <x v="41"/>
    <x v="2"/>
    <x v="1"/>
  </r>
  <r>
    <s v="SFF-86059-407"/>
    <d v="2020-06-03T00:00:00"/>
    <x v="3"/>
    <n v="6"/>
    <x v="1"/>
    <s v="30585-48726-BK"/>
    <s v="A-M-2.5"/>
    <n v="1"/>
    <x v="256"/>
    <s v="dhedlestone7m@craigslist.org"/>
    <x v="0"/>
    <x v="2"/>
    <s v="M"/>
    <x v="2"/>
    <n v="25.874999999999996"/>
    <x v="145"/>
    <x v="2"/>
    <x v="0"/>
  </r>
  <r>
    <s v="SCL-94540-788"/>
    <d v="2022-06-13T00:00:00"/>
    <x v="2"/>
    <n v="6"/>
    <x v="1"/>
    <s v="16123-07017-TY"/>
    <s v="E-L-2.5"/>
    <n v="6"/>
    <x v="257"/>
    <s v="tcrowthe7n@europa.eu"/>
    <x v="0"/>
    <x v="1"/>
    <s v="L"/>
    <x v="2"/>
    <n v="34.154999999999994"/>
    <x v="106"/>
    <x v="1"/>
    <x v="1"/>
  </r>
  <r>
    <s v="HVU-21634-076"/>
    <d v="2020-06-10T00:00:00"/>
    <x v="3"/>
    <n v="6"/>
    <x v="1"/>
    <s v="27723-45097-MH"/>
    <s v="R-L-2.5"/>
    <n v="4"/>
    <x v="258"/>
    <s v="dbury7o@tinyurl.com"/>
    <x v="1"/>
    <x v="0"/>
    <s v="L"/>
    <x v="2"/>
    <n v="27.484999999999996"/>
    <x v="108"/>
    <x v="0"/>
    <x v="1"/>
  </r>
  <r>
    <s v="XUS-73326-418"/>
    <d v="2020-12-18T00:00:00"/>
    <x v="3"/>
    <n v="12"/>
    <x v="9"/>
    <s v="37078-56703-AF"/>
    <s v="E-L-1"/>
    <n v="6"/>
    <x v="259"/>
    <s v="gbroadbear7p@omniture.com"/>
    <x v="0"/>
    <x v="1"/>
    <s v="L"/>
    <x v="0"/>
    <n v="14.85"/>
    <x v="146"/>
    <x v="1"/>
    <x v="1"/>
  </r>
  <r>
    <s v="XWD-18933-006"/>
    <d v="2019-08-31T00:00:00"/>
    <x v="0"/>
    <n v="8"/>
    <x v="3"/>
    <s v="79420-11075-MY"/>
    <s v="A-L-0.2"/>
    <n v="2"/>
    <x v="260"/>
    <s v="epalfrey7q@devhub.com"/>
    <x v="0"/>
    <x v="2"/>
    <s v="L"/>
    <x v="3"/>
    <n v="3.8849999999999998"/>
    <x v="41"/>
    <x v="2"/>
    <x v="1"/>
  </r>
  <r>
    <s v="HPD-65272-772"/>
    <d v="2019-02-25T00:00:00"/>
    <x v="0"/>
    <n v="2"/>
    <x v="10"/>
    <s v="57504-13456-UO"/>
    <s v="L-M-2.5"/>
    <n v="1"/>
    <x v="261"/>
    <s v="pmetrick7r@rakuten.co.jp"/>
    <x v="0"/>
    <x v="3"/>
    <s v="M"/>
    <x v="2"/>
    <n v="33.464999999999996"/>
    <x v="116"/>
    <x v="3"/>
    <x v="0"/>
  </r>
  <r>
    <s v="JEG-93140-224"/>
    <d v="2021-02-07T00:00:00"/>
    <x v="1"/>
    <n v="2"/>
    <x v="10"/>
    <s v="53751-57560-CN"/>
    <s v="E-M-0.5"/>
    <n v="5"/>
    <x v="262"/>
    <s v=""/>
    <x v="0"/>
    <x v="1"/>
    <s v="M"/>
    <x v="1"/>
    <n v="8.25"/>
    <x v="1"/>
    <x v="1"/>
    <x v="0"/>
  </r>
  <r>
    <s v="NNH-62058-950"/>
    <d v="2021-01-14T00:00:00"/>
    <x v="1"/>
    <n v="1"/>
    <x v="4"/>
    <s v="96112-42558-EA"/>
    <s v="E-L-1"/>
    <n v="4"/>
    <x v="263"/>
    <s v="kkarby7t@sbwire.com"/>
    <x v="0"/>
    <x v="1"/>
    <s v="L"/>
    <x v="0"/>
    <n v="14.85"/>
    <x v="48"/>
    <x v="1"/>
    <x v="1"/>
  </r>
  <r>
    <s v="LTD-71429-845"/>
    <d v="2019-02-24T00:00:00"/>
    <x v="0"/>
    <n v="2"/>
    <x v="10"/>
    <s v="03157-23165-UB"/>
    <s v="A-L-0.5"/>
    <n v="1"/>
    <x v="264"/>
    <s v="fcrumpe7u@ftc.gov"/>
    <x v="3"/>
    <x v="2"/>
    <s v="L"/>
    <x v="1"/>
    <n v="7.77"/>
    <x v="41"/>
    <x v="2"/>
    <x v="1"/>
  </r>
  <r>
    <s v="MPV-26985-215"/>
    <d v="2019-06-23T00:00:00"/>
    <x v="0"/>
    <n v="6"/>
    <x v="1"/>
    <s v="51466-52850-AG"/>
    <s v="R-D-0.5"/>
    <n v="1"/>
    <x v="265"/>
    <s v="achatto7v@sakura.ne.jp"/>
    <x v="3"/>
    <x v="0"/>
    <s v="D"/>
    <x v="1"/>
    <n v="5.3699999999999992"/>
    <x v="147"/>
    <x v="0"/>
    <x v="2"/>
  </r>
  <r>
    <s v="IYO-10245-081"/>
    <d v="2020-05-09T00:00:00"/>
    <x v="3"/>
    <n v="5"/>
    <x v="5"/>
    <s v="57145-31023-FK"/>
    <s v="E-M-2.5"/>
    <n v="3"/>
    <x v="266"/>
    <s v=""/>
    <x v="0"/>
    <x v="1"/>
    <s v="M"/>
    <x v="2"/>
    <n v="31.624999999999996"/>
    <x v="88"/>
    <x v="1"/>
    <x v="0"/>
  </r>
  <r>
    <s v="BYZ-39669-954"/>
    <d v="2020-07-18T00:00:00"/>
    <x v="3"/>
    <n v="7"/>
    <x v="2"/>
    <s v="66408-53777-VE"/>
    <s v="L-L-2.5"/>
    <n v="1"/>
    <x v="267"/>
    <s v=""/>
    <x v="0"/>
    <x v="3"/>
    <s v="L"/>
    <x v="2"/>
    <n v="36.454999999999998"/>
    <x v="133"/>
    <x v="3"/>
    <x v="1"/>
  </r>
  <r>
    <s v="EFB-72860-209"/>
    <d v="2019-10-17T00:00:00"/>
    <x v="0"/>
    <n v="10"/>
    <x v="7"/>
    <s v="53035-99701-WG"/>
    <s v="A-M-0.2"/>
    <n v="4"/>
    <x v="268"/>
    <s v="bmergue7y@umn.edu"/>
    <x v="0"/>
    <x v="2"/>
    <s v="M"/>
    <x v="3"/>
    <n v="3.375"/>
    <x v="72"/>
    <x v="2"/>
    <x v="0"/>
  </r>
  <r>
    <s v="GMM-72397-378"/>
    <d v="2022-05-16T00:00:00"/>
    <x v="2"/>
    <n v="5"/>
    <x v="5"/>
    <s v="45899-92796-EI"/>
    <s v="R-L-0.2"/>
    <n v="4"/>
    <x v="269"/>
    <s v="kpatise7z@jigsy.com"/>
    <x v="0"/>
    <x v="0"/>
    <s v="L"/>
    <x v="3"/>
    <n v="3.5849999999999995"/>
    <x v="79"/>
    <x v="0"/>
    <x v="1"/>
  </r>
  <r>
    <s v="LYP-52345-883"/>
    <d v="2021-03-24T00:00:00"/>
    <x v="1"/>
    <n v="3"/>
    <x v="6"/>
    <s v="17649-28133-PY"/>
    <s v="E-M-0.5"/>
    <n v="1"/>
    <x v="270"/>
    <s v=""/>
    <x v="1"/>
    <x v="1"/>
    <s v="M"/>
    <x v="1"/>
    <n v="8.25"/>
    <x v="112"/>
    <x v="1"/>
    <x v="0"/>
  </r>
  <r>
    <s v="DFK-35846-692"/>
    <d v="2019-11-03T00:00:00"/>
    <x v="0"/>
    <n v="11"/>
    <x v="11"/>
    <s v="49612-33852-CN"/>
    <s v="R-D-0.2"/>
    <n v="5"/>
    <x v="271"/>
    <s v=""/>
    <x v="0"/>
    <x v="0"/>
    <s v="D"/>
    <x v="3"/>
    <n v="2.6849999999999996"/>
    <x v="148"/>
    <x v="0"/>
    <x v="2"/>
  </r>
  <r>
    <s v="XAH-93337-609"/>
    <d v="2021-10-28T00:00:00"/>
    <x v="1"/>
    <n v="10"/>
    <x v="7"/>
    <s v="66976-43829-YG"/>
    <s v="A-D-1"/>
    <n v="5"/>
    <x v="272"/>
    <s v="dduke82@vkontakte.ru"/>
    <x v="0"/>
    <x v="2"/>
    <s v="D"/>
    <x v="0"/>
    <n v="9.9499999999999993"/>
    <x v="12"/>
    <x v="2"/>
    <x v="2"/>
  </r>
  <r>
    <s v="QKA-72582-644"/>
    <d v="2020-12-16T00:00:00"/>
    <x v="3"/>
    <n v="12"/>
    <x v="9"/>
    <s v="64852-04619-XZ"/>
    <s v="E-M-0.5"/>
    <n v="2"/>
    <x v="273"/>
    <s v=""/>
    <x v="1"/>
    <x v="1"/>
    <s v="M"/>
    <x v="1"/>
    <n v="8.25"/>
    <x v="38"/>
    <x v="1"/>
    <x v="0"/>
  </r>
  <r>
    <s v="ZDK-84567-102"/>
    <d v="2021-11-29T00:00:00"/>
    <x v="1"/>
    <n v="11"/>
    <x v="11"/>
    <s v="58690-31815-VY"/>
    <s v="A-D-0.5"/>
    <n v="3"/>
    <x v="274"/>
    <s v="ihussey84@mapy.cz"/>
    <x v="0"/>
    <x v="2"/>
    <s v="D"/>
    <x v="1"/>
    <n v="5.97"/>
    <x v="8"/>
    <x v="2"/>
    <x v="2"/>
  </r>
  <r>
    <s v="WAV-38301-984"/>
    <d v="2021-03-20T00:00:00"/>
    <x v="1"/>
    <n v="3"/>
    <x v="6"/>
    <s v="62863-81239-DT"/>
    <s v="A-D-0.5"/>
    <n v="5"/>
    <x v="275"/>
    <s v="cpinkerton85@upenn.edu"/>
    <x v="0"/>
    <x v="2"/>
    <s v="D"/>
    <x v="1"/>
    <n v="5.97"/>
    <x v="44"/>
    <x v="2"/>
    <x v="2"/>
  </r>
  <r>
    <s v="KZR-33023-209"/>
    <d v="2022-04-08T00:00:00"/>
    <x v="2"/>
    <n v="4"/>
    <x v="8"/>
    <s v="21177-40725-CF"/>
    <s v="E-L-1"/>
    <n v="3"/>
    <x v="276"/>
    <s v=""/>
    <x v="0"/>
    <x v="1"/>
    <s v="L"/>
    <x v="0"/>
    <n v="14.85"/>
    <x v="69"/>
    <x v="1"/>
    <x v="1"/>
  </r>
  <r>
    <s v="ULM-49433-003"/>
    <d v="2020-08-14T00:00:00"/>
    <x v="3"/>
    <n v="8"/>
    <x v="3"/>
    <s v="99421-80253-UI"/>
    <s v="E-M-1"/>
    <n v="2"/>
    <x v="277"/>
    <s v=""/>
    <x v="0"/>
    <x v="1"/>
    <s v="M"/>
    <x v="0"/>
    <n v="13.75"/>
    <x v="3"/>
    <x v="1"/>
    <x v="0"/>
  </r>
  <r>
    <s v="SIB-83254-136"/>
    <d v="2019-05-12T00:00:00"/>
    <x v="0"/>
    <n v="5"/>
    <x v="5"/>
    <s v="45315-50206-DK"/>
    <s v="R-M-0.5"/>
    <n v="6"/>
    <x v="278"/>
    <s v="dvizor88@furl.net"/>
    <x v="0"/>
    <x v="0"/>
    <s v="M"/>
    <x v="1"/>
    <n v="5.97"/>
    <x v="27"/>
    <x v="0"/>
    <x v="0"/>
  </r>
  <r>
    <s v="NOK-50349-551"/>
    <d v="2021-03-03T00:00:00"/>
    <x v="1"/>
    <n v="3"/>
    <x v="6"/>
    <s v="09595-95726-OV"/>
    <s v="R-D-0.5"/>
    <n v="3"/>
    <x v="279"/>
    <s v="esedgebeer89@oaic.gov.au"/>
    <x v="0"/>
    <x v="0"/>
    <s v="D"/>
    <x v="1"/>
    <n v="5.3699999999999992"/>
    <x v="103"/>
    <x v="0"/>
    <x v="2"/>
  </r>
  <r>
    <s v="YIS-96268-844"/>
    <d v="2020-02-11T00:00:00"/>
    <x v="3"/>
    <n v="2"/>
    <x v="10"/>
    <s v="60221-67036-TD"/>
    <s v="E-L-0.2"/>
    <n v="6"/>
    <x v="280"/>
    <s v="klestrange8a@lulu.com"/>
    <x v="0"/>
    <x v="1"/>
    <s v="L"/>
    <x v="3"/>
    <n v="4.4550000000000001"/>
    <x v="149"/>
    <x v="1"/>
    <x v="1"/>
  </r>
  <r>
    <s v="CXI-04933-855"/>
    <d v="2019-04-27T00:00:00"/>
    <x v="0"/>
    <n v="4"/>
    <x v="8"/>
    <s v="62923-29397-KX"/>
    <s v="E-L-2.5"/>
    <n v="6"/>
    <x v="281"/>
    <s v="ltanti8b@techcrunch.com"/>
    <x v="0"/>
    <x v="1"/>
    <s v="L"/>
    <x v="2"/>
    <n v="34.154999999999994"/>
    <x v="106"/>
    <x v="1"/>
    <x v="1"/>
  </r>
  <r>
    <s v="IZU-90429-382"/>
    <d v="2022-03-26T00:00:00"/>
    <x v="2"/>
    <n v="3"/>
    <x v="6"/>
    <s v="33011-52383-BA"/>
    <s v="A-L-1"/>
    <n v="3"/>
    <x v="282"/>
    <s v="ade8c@1und1.de"/>
    <x v="0"/>
    <x v="2"/>
    <s v="L"/>
    <x v="0"/>
    <n v="12.95"/>
    <x v="5"/>
    <x v="2"/>
    <x v="1"/>
  </r>
  <r>
    <s v="WIT-40912-783"/>
    <d v="2020-09-28T00:00:00"/>
    <x v="3"/>
    <n v="9"/>
    <x v="0"/>
    <s v="86768-91598-FA"/>
    <s v="L-D-0.2"/>
    <n v="4"/>
    <x v="283"/>
    <s v="tjedrachowicz8d@acquirethisname.com"/>
    <x v="0"/>
    <x v="3"/>
    <s v="D"/>
    <x v="3"/>
    <n v="3.8849999999999998"/>
    <x v="42"/>
    <x v="3"/>
    <x v="2"/>
  </r>
  <r>
    <s v="PSD-57291-590"/>
    <d v="2019-10-24T00:00:00"/>
    <x v="0"/>
    <n v="10"/>
    <x v="7"/>
    <s v="37191-12203-MX"/>
    <s v="A-M-0.5"/>
    <n v="1"/>
    <x v="284"/>
    <s v="pstonner8e@moonfruit.com"/>
    <x v="0"/>
    <x v="2"/>
    <s v="M"/>
    <x v="1"/>
    <n v="6.75"/>
    <x v="52"/>
    <x v="2"/>
    <x v="0"/>
  </r>
  <r>
    <s v="GOI-41472-677"/>
    <d v="2021-08-04T00:00:00"/>
    <x v="1"/>
    <n v="8"/>
    <x v="3"/>
    <s v="16545-76328-JY"/>
    <s v="E-D-2.5"/>
    <n v="4"/>
    <x v="285"/>
    <s v="dtingly8f@goo.ne.jp"/>
    <x v="0"/>
    <x v="1"/>
    <s v="D"/>
    <x v="2"/>
    <n v="27.945"/>
    <x v="150"/>
    <x v="1"/>
    <x v="2"/>
  </r>
  <r>
    <s v="KTX-17944-494"/>
    <d v="2019-12-29T00:00:00"/>
    <x v="0"/>
    <n v="12"/>
    <x v="9"/>
    <s v="74330-29286-RO"/>
    <s v="A-L-0.2"/>
    <n v="1"/>
    <x v="286"/>
    <s v="crushe8n@about.me"/>
    <x v="0"/>
    <x v="2"/>
    <s v="L"/>
    <x v="3"/>
    <n v="3.8849999999999998"/>
    <x v="84"/>
    <x v="2"/>
    <x v="1"/>
  </r>
  <r>
    <s v="RDM-99811-230"/>
    <d v="2019-11-27T00:00:00"/>
    <x v="0"/>
    <n v="11"/>
    <x v="11"/>
    <s v="22349-47389-GY"/>
    <s v="L-M-0.2"/>
    <n v="5"/>
    <x v="287"/>
    <s v="bchecci8h@usa.gov"/>
    <x v="3"/>
    <x v="3"/>
    <s v="M"/>
    <x v="3"/>
    <n v="4.3650000000000002"/>
    <x v="26"/>
    <x v="3"/>
    <x v="0"/>
  </r>
  <r>
    <s v="JTU-55897-581"/>
    <d v="2020-02-29T00:00:00"/>
    <x v="3"/>
    <n v="2"/>
    <x v="10"/>
    <s v="70290-38099-GB"/>
    <s v="R-M-0.2"/>
    <n v="5"/>
    <x v="288"/>
    <s v="jbagot8i@mac.com"/>
    <x v="0"/>
    <x v="0"/>
    <s v="M"/>
    <x v="3"/>
    <n v="2.9849999999999999"/>
    <x v="128"/>
    <x v="0"/>
    <x v="0"/>
  </r>
  <r>
    <s v="CRK-07584-240"/>
    <d v="2021-01-31T00:00:00"/>
    <x v="1"/>
    <n v="1"/>
    <x v="4"/>
    <s v="18741-72071-PP"/>
    <s v="A-M-1"/>
    <n v="3"/>
    <x v="289"/>
    <s v="ebeeble8j@soundcloud.com"/>
    <x v="0"/>
    <x v="2"/>
    <s v="M"/>
    <x v="0"/>
    <n v="11.25"/>
    <x v="65"/>
    <x v="2"/>
    <x v="0"/>
  </r>
  <r>
    <s v="MKE-75518-399"/>
    <d v="2022-06-17T00:00:00"/>
    <x v="2"/>
    <n v="6"/>
    <x v="1"/>
    <s v="62588-82624-II"/>
    <s v="A-M-1"/>
    <n v="3"/>
    <x v="290"/>
    <s v="cfluin8k@flickr.com"/>
    <x v="3"/>
    <x v="2"/>
    <s v="M"/>
    <x v="0"/>
    <n v="11.25"/>
    <x v="65"/>
    <x v="2"/>
    <x v="0"/>
  </r>
  <r>
    <s v="AEL-51169-725"/>
    <d v="2020-02-03T00:00:00"/>
    <x v="3"/>
    <n v="2"/>
    <x v="10"/>
    <s v="37430-29579-HD"/>
    <s v="L-M-0.2"/>
    <n v="6"/>
    <x v="291"/>
    <s v="ebletsor8l@vinaora.com"/>
    <x v="0"/>
    <x v="3"/>
    <s v="M"/>
    <x v="3"/>
    <n v="4.3650000000000002"/>
    <x v="50"/>
    <x v="3"/>
    <x v="0"/>
  </r>
  <r>
    <s v="ZGM-83108-823"/>
    <d v="2022-01-25T00:00:00"/>
    <x v="2"/>
    <n v="1"/>
    <x v="4"/>
    <s v="84132-22322-QT"/>
    <s v="E-L-1"/>
    <n v="1"/>
    <x v="292"/>
    <s v="pbrydell8m@bloglovin.com"/>
    <x v="1"/>
    <x v="1"/>
    <s v="L"/>
    <x v="0"/>
    <n v="14.85"/>
    <x v="151"/>
    <x v="1"/>
    <x v="1"/>
  </r>
  <r>
    <s v="JBP-78754-392"/>
    <d v="2020-04-30T00:00:00"/>
    <x v="3"/>
    <n v="4"/>
    <x v="8"/>
    <s v="74330-29286-RO"/>
    <s v="E-M-2.5"/>
    <n v="6"/>
    <x v="286"/>
    <s v="crushe8n@about.me"/>
    <x v="0"/>
    <x v="1"/>
    <s v="M"/>
    <x v="2"/>
    <n v="31.624999999999996"/>
    <x v="152"/>
    <x v="1"/>
    <x v="0"/>
  </r>
  <r>
    <s v="RNH-54912-747"/>
    <d v="2021-05-01T00:00:00"/>
    <x v="1"/>
    <n v="5"/>
    <x v="5"/>
    <s v="37445-17791-NQ"/>
    <s v="R-M-0.5"/>
    <n v="1"/>
    <x v="293"/>
    <s v="nleethem8o@mac.com"/>
    <x v="0"/>
    <x v="0"/>
    <s v="M"/>
    <x v="1"/>
    <n v="5.97"/>
    <x v="9"/>
    <x v="0"/>
    <x v="0"/>
  </r>
  <r>
    <s v="JDS-33440-914"/>
    <d v="2021-10-28T00:00:00"/>
    <x v="1"/>
    <n v="10"/>
    <x v="7"/>
    <s v="58511-10548-ZU"/>
    <s v="R-M-1"/>
    <n v="3"/>
    <x v="294"/>
    <s v="anesfield8p@people.com.cn"/>
    <x v="3"/>
    <x v="0"/>
    <s v="M"/>
    <x v="0"/>
    <n v="9.9499999999999993"/>
    <x v="44"/>
    <x v="0"/>
    <x v="0"/>
  </r>
  <r>
    <s v="SYX-48878-182"/>
    <d v="2021-08-29T00:00:00"/>
    <x v="1"/>
    <n v="8"/>
    <x v="3"/>
    <s v="47725-34771-FJ"/>
    <s v="R-D-1"/>
    <n v="5"/>
    <x v="295"/>
    <s v=""/>
    <x v="0"/>
    <x v="0"/>
    <s v="D"/>
    <x v="0"/>
    <n v="8.9499999999999993"/>
    <x v="153"/>
    <x v="0"/>
    <x v="2"/>
  </r>
  <r>
    <s v="ZGD-94763-868"/>
    <d v="2019-12-27T00:00:00"/>
    <x v="0"/>
    <n v="12"/>
    <x v="9"/>
    <s v="53086-67334-KT"/>
    <s v="E-L-2.5"/>
    <n v="1"/>
    <x v="296"/>
    <s v="mbrockway8r@ibm.com"/>
    <x v="0"/>
    <x v="1"/>
    <s v="L"/>
    <x v="2"/>
    <n v="34.154999999999994"/>
    <x v="107"/>
    <x v="1"/>
    <x v="1"/>
  </r>
  <r>
    <s v="CZY-70361-485"/>
    <d v="2019-06-25T00:00:00"/>
    <x v="0"/>
    <n v="6"/>
    <x v="1"/>
    <s v="83308-82257-UN"/>
    <s v="E-L-2.5"/>
    <n v="6"/>
    <x v="297"/>
    <s v="nlush8s@dedecms.com"/>
    <x v="1"/>
    <x v="1"/>
    <s v="L"/>
    <x v="2"/>
    <n v="34.154999999999994"/>
    <x v="106"/>
    <x v="1"/>
    <x v="1"/>
  </r>
  <r>
    <s v="RJR-12175-899"/>
    <d v="2019-03-02T00:00:00"/>
    <x v="0"/>
    <n v="3"/>
    <x v="6"/>
    <s v="37274-08534-FM"/>
    <s v="E-D-0.5"/>
    <n v="3"/>
    <x v="298"/>
    <s v="smcmillian8t@csmonitor.com"/>
    <x v="0"/>
    <x v="1"/>
    <s v="D"/>
    <x v="1"/>
    <n v="7.29"/>
    <x v="6"/>
    <x v="1"/>
    <x v="2"/>
  </r>
  <r>
    <s v="ELB-07929-407"/>
    <d v="2022-01-02T00:00:00"/>
    <x v="2"/>
    <n v="1"/>
    <x v="4"/>
    <s v="54004-04664-AA"/>
    <s v="A-M-2.5"/>
    <n v="2"/>
    <x v="299"/>
    <s v="tbennison8u@google.cn"/>
    <x v="0"/>
    <x v="2"/>
    <s v="M"/>
    <x v="2"/>
    <n v="25.874999999999996"/>
    <x v="95"/>
    <x v="2"/>
    <x v="0"/>
  </r>
  <r>
    <s v="UJQ-54441-340"/>
    <d v="2019-07-30T00:00:00"/>
    <x v="0"/>
    <n v="7"/>
    <x v="2"/>
    <s v="26822-19510-SD"/>
    <s v="E-M-0.2"/>
    <n v="2"/>
    <x v="300"/>
    <s v="gtweed8v@yolasite.com"/>
    <x v="0"/>
    <x v="1"/>
    <s v="M"/>
    <x v="3"/>
    <n v="4.125"/>
    <x v="112"/>
    <x v="1"/>
    <x v="0"/>
  </r>
  <r>
    <s v="UJQ-54441-340"/>
    <d v="2019-07-30T00:00:00"/>
    <x v="0"/>
    <n v="7"/>
    <x v="2"/>
    <s v="26822-19510-SD"/>
    <s v="A-L-0.2"/>
    <n v="5"/>
    <x v="300"/>
    <s v="gtweed8v@yolasite.com"/>
    <x v="0"/>
    <x v="2"/>
    <s v="L"/>
    <x v="3"/>
    <n v="3.8849999999999998"/>
    <x v="117"/>
    <x v="2"/>
    <x v="1"/>
  </r>
  <r>
    <s v="OWY-43108-475"/>
    <d v="2020-12-05T00:00:00"/>
    <x v="3"/>
    <n v="12"/>
    <x v="9"/>
    <s v="06432-73165-ML"/>
    <s v="A-M-0.2"/>
    <n v="6"/>
    <x v="301"/>
    <s v="ggoggin8x@wix.com"/>
    <x v="1"/>
    <x v="2"/>
    <s v="M"/>
    <x v="3"/>
    <n v="3.375"/>
    <x v="16"/>
    <x v="2"/>
    <x v="0"/>
  </r>
  <r>
    <s v="GNO-91911-159"/>
    <d v="2020-12-17T00:00:00"/>
    <x v="3"/>
    <n v="12"/>
    <x v="9"/>
    <s v="96503-31833-CW"/>
    <s v="L-D-0.5"/>
    <n v="3"/>
    <x v="302"/>
    <s v="sjeyness8y@biglobe.ne.jp"/>
    <x v="1"/>
    <x v="3"/>
    <s v="D"/>
    <x v="1"/>
    <n v="7.77"/>
    <x v="102"/>
    <x v="3"/>
    <x v="2"/>
  </r>
  <r>
    <s v="CNY-06284-066"/>
    <d v="2021-06-26T00:00:00"/>
    <x v="1"/>
    <n v="6"/>
    <x v="1"/>
    <s v="63985-64148-MG"/>
    <s v="E-D-0.2"/>
    <n v="5"/>
    <x v="303"/>
    <s v="dbonhome8z@shinystat.com"/>
    <x v="0"/>
    <x v="1"/>
    <s v="D"/>
    <x v="3"/>
    <n v="3.645"/>
    <x v="94"/>
    <x v="1"/>
    <x v="2"/>
  </r>
  <r>
    <s v="OQS-46321-904"/>
    <d v="2019-07-20T00:00:00"/>
    <x v="0"/>
    <n v="7"/>
    <x v="2"/>
    <s v="19597-91185-CM"/>
    <s v="E-M-1"/>
    <n v="1"/>
    <x v="304"/>
    <s v=""/>
    <x v="0"/>
    <x v="1"/>
    <s v="M"/>
    <x v="0"/>
    <n v="13.75"/>
    <x v="154"/>
    <x v="1"/>
    <x v="0"/>
  </r>
  <r>
    <s v="IBW-87442-480"/>
    <d v="2022-07-14T00:00:00"/>
    <x v="2"/>
    <n v="7"/>
    <x v="2"/>
    <s v="79814-23626-JR"/>
    <s v="A-L-2.5"/>
    <n v="1"/>
    <x v="305"/>
    <s v="tle91@epa.gov"/>
    <x v="0"/>
    <x v="2"/>
    <s v="L"/>
    <x v="2"/>
    <n v="29.784999999999997"/>
    <x v="91"/>
    <x v="2"/>
    <x v="1"/>
  </r>
  <r>
    <s v="DGZ-82537-477"/>
    <d v="2020-08-14T00:00:00"/>
    <x v="3"/>
    <n v="8"/>
    <x v="3"/>
    <s v="43439-94003-DW"/>
    <s v="R-D-1"/>
    <n v="5"/>
    <x v="306"/>
    <s v=""/>
    <x v="0"/>
    <x v="0"/>
    <s v="D"/>
    <x v="0"/>
    <n v="8.9499999999999993"/>
    <x v="153"/>
    <x v="0"/>
    <x v="2"/>
  </r>
  <r>
    <s v="LPS-39089-432"/>
    <d v="2019-04-24T00:00:00"/>
    <x v="0"/>
    <n v="4"/>
    <x v="8"/>
    <s v="97655-45555-LI"/>
    <s v="R-D-1"/>
    <n v="5"/>
    <x v="307"/>
    <s v="balldridge93@yandex.ru"/>
    <x v="0"/>
    <x v="0"/>
    <s v="D"/>
    <x v="0"/>
    <n v="8.9499999999999993"/>
    <x v="153"/>
    <x v="0"/>
    <x v="2"/>
  </r>
  <r>
    <s v="MQU-86100-929"/>
    <d v="2019-06-04T00:00:00"/>
    <x v="0"/>
    <n v="6"/>
    <x v="1"/>
    <s v="64418-01720-VW"/>
    <s v="L-L-0.5"/>
    <n v="4"/>
    <x v="308"/>
    <s v=""/>
    <x v="0"/>
    <x v="3"/>
    <s v="L"/>
    <x v="1"/>
    <n v="9.51"/>
    <x v="82"/>
    <x v="3"/>
    <x v="1"/>
  </r>
  <r>
    <s v="XUR-14132-391"/>
    <d v="2022-08-08T00:00:00"/>
    <x v="2"/>
    <n v="8"/>
    <x v="3"/>
    <s v="96836-09258-RI"/>
    <s v="R-D-0.5"/>
    <n v="4"/>
    <x v="309"/>
    <s v="lgoodger95@guardian.co.uk"/>
    <x v="0"/>
    <x v="0"/>
    <s v="D"/>
    <x v="1"/>
    <n v="5.3699999999999992"/>
    <x v="155"/>
    <x v="0"/>
    <x v="2"/>
  </r>
  <r>
    <s v="OVI-27064-381"/>
    <d v="2019-11-13T00:00:00"/>
    <x v="0"/>
    <n v="11"/>
    <x v="11"/>
    <s v="37274-08534-FM"/>
    <s v="R-D-0.5"/>
    <n v="3"/>
    <x v="28"/>
    <s v="Not Found"/>
    <x v="2"/>
    <x v="0"/>
    <s v="D"/>
    <x v="1"/>
    <n v="5.3699999999999992"/>
    <x v="103"/>
    <x v="0"/>
    <x v="2"/>
  </r>
  <r>
    <s v="SHP-17012-870"/>
    <d v="2020-06-07T00:00:00"/>
    <x v="3"/>
    <n v="6"/>
    <x v="1"/>
    <s v="69529-07533-CV"/>
    <s v="R-M-2.5"/>
    <n v="1"/>
    <x v="310"/>
    <s v="cdrewett97@wikipedia.org"/>
    <x v="0"/>
    <x v="0"/>
    <s v="M"/>
    <x v="2"/>
    <n v="22.884999999999998"/>
    <x v="156"/>
    <x v="0"/>
    <x v="0"/>
  </r>
  <r>
    <s v="FDY-03414-903"/>
    <d v="2019-08-12T00:00:00"/>
    <x v="0"/>
    <n v="8"/>
    <x v="3"/>
    <s v="94840-49457-UD"/>
    <s v="A-D-0.5"/>
    <n v="3"/>
    <x v="311"/>
    <s v="qparsons98@blogtalkradio.com"/>
    <x v="0"/>
    <x v="2"/>
    <s v="D"/>
    <x v="1"/>
    <n v="5.97"/>
    <x v="8"/>
    <x v="2"/>
    <x v="2"/>
  </r>
  <r>
    <s v="WXT-85291-143"/>
    <d v="2019-09-04T00:00:00"/>
    <x v="0"/>
    <n v="9"/>
    <x v="0"/>
    <s v="81414-81273-DK"/>
    <s v="R-M-0.5"/>
    <n v="4"/>
    <x v="312"/>
    <s v="vceely99@auda.org.au"/>
    <x v="0"/>
    <x v="0"/>
    <s v="M"/>
    <x v="1"/>
    <n v="5.97"/>
    <x v="86"/>
    <x v="0"/>
    <x v="0"/>
  </r>
  <r>
    <s v="QNP-18893-547"/>
    <d v="2019-10-04T00:00:00"/>
    <x v="0"/>
    <n v="10"/>
    <x v="7"/>
    <s v="76930-61689-CH"/>
    <s v="R-L-1"/>
    <n v="5"/>
    <x v="313"/>
    <s v=""/>
    <x v="0"/>
    <x v="0"/>
    <s v="L"/>
    <x v="0"/>
    <n v="11.95"/>
    <x v="143"/>
    <x v="0"/>
    <x v="1"/>
  </r>
  <r>
    <s v="DOH-92927-530"/>
    <d v="2020-02-24T00:00:00"/>
    <x v="3"/>
    <n v="2"/>
    <x v="10"/>
    <s v="12839-56537-TQ"/>
    <s v="L-L-0.2"/>
    <n v="6"/>
    <x v="314"/>
    <s v="cvasiliev9b@discuz.net"/>
    <x v="0"/>
    <x v="3"/>
    <s v="L"/>
    <x v="3"/>
    <n v="4.7549999999999999"/>
    <x v="32"/>
    <x v="3"/>
    <x v="1"/>
  </r>
  <r>
    <s v="HGJ-82768-173"/>
    <d v="2021-08-26T00:00:00"/>
    <x v="1"/>
    <n v="8"/>
    <x v="3"/>
    <s v="62741-01322-HU"/>
    <s v="A-M-1"/>
    <n v="4"/>
    <x v="315"/>
    <s v="tomoylan9c@liveinternet.ru"/>
    <x v="3"/>
    <x v="2"/>
    <s v="M"/>
    <x v="0"/>
    <n v="11.25"/>
    <x v="157"/>
    <x v="2"/>
    <x v="0"/>
  </r>
  <r>
    <s v="YPT-95383-088"/>
    <d v="2021-10-03T00:00:00"/>
    <x v="1"/>
    <n v="10"/>
    <x v="7"/>
    <s v="43439-94003-DW"/>
    <s v="E-D-2.5"/>
    <n v="2"/>
    <x v="28"/>
    <s v="Not Found"/>
    <x v="2"/>
    <x v="1"/>
    <s v="D"/>
    <x v="2"/>
    <n v="27.945"/>
    <x v="158"/>
    <x v="1"/>
    <x v="2"/>
  </r>
  <r>
    <s v="OYH-16533-767"/>
    <d v="2020-06-13T00:00:00"/>
    <x v="3"/>
    <n v="6"/>
    <x v="1"/>
    <s v="44932-34838-RM"/>
    <s v="E-L-1"/>
    <n v="4"/>
    <x v="316"/>
    <s v="wfetherston9e@constantcontact.com"/>
    <x v="0"/>
    <x v="1"/>
    <s v="L"/>
    <x v="0"/>
    <n v="14.85"/>
    <x v="48"/>
    <x v="1"/>
    <x v="1"/>
  </r>
  <r>
    <s v="DWW-28642-549"/>
    <d v="2021-03-01T00:00:00"/>
    <x v="1"/>
    <n v="3"/>
    <x v="6"/>
    <s v="91181-19412-RQ"/>
    <s v="E-D-0.2"/>
    <n v="2"/>
    <x v="317"/>
    <s v="erasmus9f@techcrunch.com"/>
    <x v="0"/>
    <x v="1"/>
    <s v="D"/>
    <x v="3"/>
    <n v="3.645"/>
    <x v="35"/>
    <x v="1"/>
    <x v="2"/>
  </r>
  <r>
    <s v="CGO-79583-871"/>
    <d v="2019-03-04T00:00:00"/>
    <x v="0"/>
    <n v="3"/>
    <x v="6"/>
    <s v="37182-54930-XC"/>
    <s v="E-D-0.5"/>
    <n v="1"/>
    <x v="318"/>
    <s v="wgiorgioni9g@wikipedia.org"/>
    <x v="0"/>
    <x v="1"/>
    <s v="D"/>
    <x v="1"/>
    <n v="7.29"/>
    <x v="35"/>
    <x v="1"/>
    <x v="2"/>
  </r>
  <r>
    <s v="TFY-52090-386"/>
    <d v="2019-10-13T00:00:00"/>
    <x v="0"/>
    <n v="10"/>
    <x v="7"/>
    <s v="08613-17327-XT"/>
    <s v="E-L-0.5"/>
    <n v="2"/>
    <x v="319"/>
    <s v="lscargle9h@myspace.com"/>
    <x v="0"/>
    <x v="1"/>
    <s v="L"/>
    <x v="1"/>
    <n v="8.91"/>
    <x v="58"/>
    <x v="1"/>
    <x v="1"/>
  </r>
  <r>
    <s v="TFY-52090-386"/>
    <d v="2019-10-13T00:00:00"/>
    <x v="0"/>
    <n v="10"/>
    <x v="7"/>
    <s v="08613-17327-XT"/>
    <s v="L-D-0.5"/>
    <n v="5"/>
    <x v="319"/>
    <s v="lscargle9h@myspace.com"/>
    <x v="0"/>
    <x v="3"/>
    <s v="D"/>
    <x v="1"/>
    <n v="7.77"/>
    <x v="5"/>
    <x v="3"/>
    <x v="2"/>
  </r>
  <r>
    <s v="NYY-73968-094"/>
    <d v="2019-08-15T00:00:00"/>
    <x v="0"/>
    <n v="8"/>
    <x v="3"/>
    <s v="70451-38048-AH"/>
    <s v="R-D-0.5"/>
    <n v="6"/>
    <x v="320"/>
    <s v="nclimance9j@europa.eu"/>
    <x v="0"/>
    <x v="0"/>
    <s v="D"/>
    <x v="1"/>
    <n v="5.3699999999999992"/>
    <x v="111"/>
    <x v="0"/>
    <x v="2"/>
  </r>
  <r>
    <s v="QEY-71761-460"/>
    <d v="2021-11-29T00:00:00"/>
    <x v="1"/>
    <n v="11"/>
    <x v="11"/>
    <s v="35442-75769-PL"/>
    <s v="R-M-1"/>
    <n v="2"/>
    <x v="321"/>
    <s v=""/>
    <x v="1"/>
    <x v="0"/>
    <s v="M"/>
    <x v="0"/>
    <n v="9.9499999999999993"/>
    <x v="0"/>
    <x v="0"/>
    <x v="0"/>
  </r>
  <r>
    <s v="GKQ-82603-910"/>
    <d v="2020-01-19T00:00:00"/>
    <x v="3"/>
    <n v="1"/>
    <x v="4"/>
    <s v="83737-56117-JE"/>
    <s v="R-L-1"/>
    <n v="5"/>
    <x v="322"/>
    <s v="asnazle9l@oracle.com"/>
    <x v="0"/>
    <x v="0"/>
    <s v="L"/>
    <x v="0"/>
    <n v="11.95"/>
    <x v="143"/>
    <x v="0"/>
    <x v="1"/>
  </r>
  <r>
    <s v="IOB-32673-745"/>
    <d v="2021-05-28T00:00:00"/>
    <x v="1"/>
    <n v="5"/>
    <x v="5"/>
    <s v="07095-81281-NJ"/>
    <s v="A-L-0.5"/>
    <n v="3"/>
    <x v="323"/>
    <s v="rworg9m@arstechnica.com"/>
    <x v="0"/>
    <x v="2"/>
    <s v="L"/>
    <x v="1"/>
    <n v="7.77"/>
    <x v="102"/>
    <x v="2"/>
    <x v="1"/>
  </r>
  <r>
    <s v="YAU-98893-150"/>
    <d v="2022-01-15T00:00:00"/>
    <x v="2"/>
    <n v="1"/>
    <x v="4"/>
    <s v="77043-48851-HG"/>
    <s v="L-M-1"/>
    <n v="3"/>
    <x v="324"/>
    <s v="ldanes9n@umn.edu"/>
    <x v="0"/>
    <x v="3"/>
    <s v="M"/>
    <x v="0"/>
    <n v="14.55"/>
    <x v="34"/>
    <x v="3"/>
    <x v="0"/>
  </r>
  <r>
    <s v="XNM-14163-951"/>
    <d v="2019-12-04T00:00:00"/>
    <x v="0"/>
    <n v="12"/>
    <x v="9"/>
    <s v="78224-60622-KH"/>
    <s v="E-L-2.5"/>
    <n v="6"/>
    <x v="325"/>
    <s v="skeynd9o@narod.ru"/>
    <x v="0"/>
    <x v="1"/>
    <s v="L"/>
    <x v="2"/>
    <n v="34.154999999999994"/>
    <x v="106"/>
    <x v="1"/>
    <x v="1"/>
  </r>
  <r>
    <s v="JPB-45297-000"/>
    <d v="2022-07-01T00:00:00"/>
    <x v="2"/>
    <n v="7"/>
    <x v="2"/>
    <s v="83105-86631-IU"/>
    <s v="R-L-0.2"/>
    <n v="4"/>
    <x v="326"/>
    <s v="ddaveridge9p@arstechnica.com"/>
    <x v="0"/>
    <x v="0"/>
    <s v="L"/>
    <x v="3"/>
    <n v="3.5849999999999995"/>
    <x v="79"/>
    <x v="0"/>
    <x v="1"/>
  </r>
  <r>
    <s v="MOU-74341-266"/>
    <d v="2019-05-07T00:00:00"/>
    <x v="0"/>
    <n v="5"/>
    <x v="5"/>
    <s v="99358-65399-TC"/>
    <s v="A-D-0.5"/>
    <n v="4"/>
    <x v="327"/>
    <s v="jawdry9q@utexas.edu"/>
    <x v="0"/>
    <x v="2"/>
    <s v="D"/>
    <x v="1"/>
    <n v="5.97"/>
    <x v="86"/>
    <x v="2"/>
    <x v="2"/>
  </r>
  <r>
    <s v="DHJ-87461-571"/>
    <d v="2020-08-23T00:00:00"/>
    <x v="3"/>
    <n v="8"/>
    <x v="3"/>
    <s v="94525-76037-JP"/>
    <s v="A-M-1"/>
    <n v="2"/>
    <x v="328"/>
    <s v="eryles9r@fastcompany.com"/>
    <x v="0"/>
    <x v="2"/>
    <s v="M"/>
    <x v="0"/>
    <n v="11.25"/>
    <x v="122"/>
    <x v="2"/>
    <x v="0"/>
  </r>
  <r>
    <s v="DKM-97676-850"/>
    <d v="2020-06-02T00:00:00"/>
    <x v="3"/>
    <n v="6"/>
    <x v="1"/>
    <s v="43439-94003-DW"/>
    <s v="E-D-0.5"/>
    <n v="5"/>
    <x v="28"/>
    <s v="Not Found"/>
    <x v="2"/>
    <x v="1"/>
    <s v="D"/>
    <x v="1"/>
    <n v="7.29"/>
    <x v="114"/>
    <x v="1"/>
    <x v="2"/>
  </r>
  <r>
    <s v="UEB-09112-118"/>
    <d v="2020-01-30T00:00:00"/>
    <x v="3"/>
    <n v="1"/>
    <x v="4"/>
    <s v="82718-93677-XO"/>
    <s v="A-M-0.5"/>
    <n v="4"/>
    <x v="329"/>
    <s v=""/>
    <x v="0"/>
    <x v="2"/>
    <s v="M"/>
    <x v="1"/>
    <n v="6.75"/>
    <x v="25"/>
    <x v="2"/>
    <x v="0"/>
  </r>
  <r>
    <s v="ORZ-67699-748"/>
    <d v="2020-02-15T00:00:00"/>
    <x v="3"/>
    <n v="2"/>
    <x v="10"/>
    <s v="44708-78241-DF"/>
    <s v="A-M-2.5"/>
    <n v="6"/>
    <x v="330"/>
    <s v="jcaldicott9u@usda.gov"/>
    <x v="0"/>
    <x v="2"/>
    <s v="M"/>
    <x v="2"/>
    <n v="25.874999999999996"/>
    <x v="71"/>
    <x v="2"/>
    <x v="0"/>
  </r>
  <r>
    <s v="JXP-28398-485"/>
    <d v="2021-06-11T00:00:00"/>
    <x v="1"/>
    <n v="6"/>
    <x v="1"/>
    <s v="23039-93032-FN"/>
    <s v="A-D-2.5"/>
    <n v="5"/>
    <x v="331"/>
    <s v="mvedmore9v@a8.net"/>
    <x v="0"/>
    <x v="2"/>
    <s v="D"/>
    <x v="2"/>
    <n v="22.884999999999998"/>
    <x v="15"/>
    <x v="2"/>
    <x v="2"/>
  </r>
  <r>
    <s v="WWH-92259-198"/>
    <d v="2022-03-11T00:00:00"/>
    <x v="2"/>
    <n v="3"/>
    <x v="6"/>
    <s v="35256-12529-FT"/>
    <s v="L-D-1"/>
    <n v="4"/>
    <x v="332"/>
    <s v="wromao9w@chronoengine.com"/>
    <x v="0"/>
    <x v="3"/>
    <s v="D"/>
    <x v="0"/>
    <n v="12.95"/>
    <x v="67"/>
    <x v="3"/>
    <x v="2"/>
  </r>
  <r>
    <s v="FLR-82914-153"/>
    <d v="2021-09-09T00:00:00"/>
    <x v="1"/>
    <n v="9"/>
    <x v="0"/>
    <s v="86100-33488-WP"/>
    <s v="A-M-2.5"/>
    <n v="6"/>
    <x v="333"/>
    <s v=""/>
    <x v="0"/>
    <x v="2"/>
    <s v="M"/>
    <x v="2"/>
    <n v="25.874999999999996"/>
    <x v="71"/>
    <x v="2"/>
    <x v="0"/>
  </r>
  <r>
    <s v="AMB-93600-000"/>
    <d v="2019-05-14T00:00:00"/>
    <x v="0"/>
    <n v="5"/>
    <x v="5"/>
    <s v="64435-53100-WM"/>
    <s v="A-L-2.5"/>
    <n v="1"/>
    <x v="334"/>
    <s v="tcotmore9y@amazonaws.com"/>
    <x v="0"/>
    <x v="2"/>
    <s v="L"/>
    <x v="2"/>
    <n v="29.784999999999997"/>
    <x v="91"/>
    <x v="2"/>
    <x v="1"/>
  </r>
  <r>
    <s v="FEP-36895-658"/>
    <d v="2019-04-08T00:00:00"/>
    <x v="0"/>
    <n v="4"/>
    <x v="8"/>
    <s v="44699-43836-UH"/>
    <s v="R-L-0.2"/>
    <n v="6"/>
    <x v="335"/>
    <s v="yskipsey9z@spotify.com"/>
    <x v="3"/>
    <x v="0"/>
    <s v="L"/>
    <x v="3"/>
    <n v="3.5849999999999995"/>
    <x v="137"/>
    <x v="0"/>
    <x v="1"/>
  </r>
  <r>
    <s v="RXW-91413-276"/>
    <d v="2020-08-15T00:00:00"/>
    <x v="3"/>
    <n v="8"/>
    <x v="3"/>
    <s v="29588-35679-RG"/>
    <s v="R-D-2.5"/>
    <n v="2"/>
    <x v="336"/>
    <s v="ncorpsa0@gmpg.org"/>
    <x v="0"/>
    <x v="0"/>
    <s v="D"/>
    <x v="2"/>
    <n v="20.584999999999997"/>
    <x v="13"/>
    <x v="0"/>
    <x v="2"/>
  </r>
  <r>
    <s v="RXW-91413-276"/>
    <d v="2020-08-15T00:00:00"/>
    <x v="3"/>
    <n v="8"/>
    <x v="3"/>
    <s v="29588-35679-RG"/>
    <s v="R-M-0.5"/>
    <n v="1"/>
    <x v="336"/>
    <s v="ncorpsa0@gmpg.org"/>
    <x v="0"/>
    <x v="0"/>
    <s v="M"/>
    <x v="1"/>
    <n v="5.97"/>
    <x v="9"/>
    <x v="0"/>
    <x v="0"/>
  </r>
  <r>
    <s v="SDB-77492-188"/>
    <d v="2022-05-05T00:00:00"/>
    <x v="2"/>
    <n v="5"/>
    <x v="5"/>
    <s v="64815-54078-HH"/>
    <s v="E-L-1"/>
    <n v="5"/>
    <x v="337"/>
    <s v="fbabbera2@stanford.edu"/>
    <x v="0"/>
    <x v="1"/>
    <s v="L"/>
    <x v="0"/>
    <n v="14.85"/>
    <x v="159"/>
    <x v="1"/>
    <x v="1"/>
  </r>
  <r>
    <s v="RZN-65182-395"/>
    <d v="2021-03-27T00:00:00"/>
    <x v="1"/>
    <n v="3"/>
    <x v="6"/>
    <s v="59572-41990-XY"/>
    <s v="L-M-1"/>
    <n v="6"/>
    <x v="338"/>
    <s v="kloxtona3@opensource.org"/>
    <x v="0"/>
    <x v="3"/>
    <s v="M"/>
    <x v="0"/>
    <n v="14.55"/>
    <x v="75"/>
    <x v="3"/>
    <x v="0"/>
  </r>
  <r>
    <s v="HDQ-86094-507"/>
    <d v="2019-04-27T00:00:00"/>
    <x v="0"/>
    <n v="4"/>
    <x v="8"/>
    <s v="32481-61533-ZJ"/>
    <s v="E-D-1"/>
    <n v="6"/>
    <x v="339"/>
    <s v="ptoffula4@posterous.com"/>
    <x v="0"/>
    <x v="1"/>
    <s v="D"/>
    <x v="0"/>
    <n v="12.15"/>
    <x v="118"/>
    <x v="1"/>
    <x v="2"/>
  </r>
  <r>
    <s v="YXO-79631-417"/>
    <d v="2021-09-25T00:00:00"/>
    <x v="1"/>
    <n v="9"/>
    <x v="0"/>
    <s v="31587-92570-HL"/>
    <s v="L-D-0.5"/>
    <n v="1"/>
    <x v="340"/>
    <s v="cgwinnetta5@behance.net"/>
    <x v="0"/>
    <x v="3"/>
    <s v="D"/>
    <x v="1"/>
    <n v="7.77"/>
    <x v="41"/>
    <x v="3"/>
    <x v="2"/>
  </r>
  <r>
    <s v="SNF-57032-096"/>
    <d v="2020-02-13T00:00:00"/>
    <x v="3"/>
    <n v="2"/>
    <x v="10"/>
    <s v="93832-04799-ID"/>
    <s v="E-D-0.5"/>
    <n v="6"/>
    <x v="341"/>
    <s v=""/>
    <x v="0"/>
    <x v="1"/>
    <s v="D"/>
    <x v="1"/>
    <n v="7.29"/>
    <x v="160"/>
    <x v="1"/>
    <x v="2"/>
  </r>
  <r>
    <s v="DGL-29648-995"/>
    <d v="2021-07-16T00:00:00"/>
    <x v="1"/>
    <n v="7"/>
    <x v="2"/>
    <s v="59367-30821-ZQ"/>
    <s v="L-M-0.2"/>
    <n v="2"/>
    <x v="342"/>
    <s v=""/>
    <x v="0"/>
    <x v="3"/>
    <s v="M"/>
    <x v="3"/>
    <n v="4.3650000000000002"/>
    <x v="31"/>
    <x v="3"/>
    <x v="0"/>
  </r>
  <r>
    <s v="GPU-65651-504"/>
    <d v="2022-05-11T00:00:00"/>
    <x v="2"/>
    <n v="5"/>
    <x v="5"/>
    <s v="83947-45528-ET"/>
    <s v="E-M-2.5"/>
    <n v="2"/>
    <x v="343"/>
    <s v="lflaoniera8@wordpress.org"/>
    <x v="0"/>
    <x v="1"/>
    <s v="M"/>
    <x v="2"/>
    <n v="31.624999999999996"/>
    <x v="40"/>
    <x v="1"/>
    <x v="0"/>
  </r>
  <r>
    <s v="OJU-34452-896"/>
    <d v="2019-02-04T00:00:00"/>
    <x v="0"/>
    <n v="2"/>
    <x v="10"/>
    <s v="60799-92593-CX"/>
    <s v="E-L-0.5"/>
    <n v="1"/>
    <x v="344"/>
    <s v=""/>
    <x v="0"/>
    <x v="1"/>
    <s v="L"/>
    <x v="1"/>
    <n v="8.91"/>
    <x v="161"/>
    <x v="1"/>
    <x v="1"/>
  </r>
  <r>
    <s v="GZS-50547-887"/>
    <d v="2019-02-05T00:00:00"/>
    <x v="0"/>
    <n v="2"/>
    <x v="10"/>
    <s v="61600-55136-UM"/>
    <s v="E-D-1"/>
    <n v="2"/>
    <x v="345"/>
    <s v="ccatchesideaa@macromedia.com"/>
    <x v="0"/>
    <x v="1"/>
    <s v="D"/>
    <x v="0"/>
    <n v="12.15"/>
    <x v="76"/>
    <x v="1"/>
    <x v="2"/>
  </r>
  <r>
    <s v="ESR-54041-053"/>
    <d v="2022-05-24T00:00:00"/>
    <x v="2"/>
    <n v="5"/>
    <x v="5"/>
    <s v="59771-90302-OF"/>
    <s v="A-L-0.5"/>
    <n v="6"/>
    <x v="346"/>
    <s v="cgibbonsonab@accuweather.com"/>
    <x v="0"/>
    <x v="2"/>
    <s v="L"/>
    <x v="1"/>
    <n v="7.77"/>
    <x v="162"/>
    <x v="2"/>
    <x v="1"/>
  </r>
  <r>
    <s v="OGD-10781-526"/>
    <d v="2020-10-04T00:00:00"/>
    <x v="3"/>
    <n v="10"/>
    <x v="7"/>
    <s v="16880-78077-FB"/>
    <s v="R-L-0.5"/>
    <n v="6"/>
    <x v="347"/>
    <s v="tfarraac@behance.net"/>
    <x v="0"/>
    <x v="0"/>
    <s v="L"/>
    <x v="1"/>
    <n v="7.169999999999999"/>
    <x v="163"/>
    <x v="0"/>
    <x v="1"/>
  </r>
  <r>
    <s v="FVH-29271-315"/>
    <d v="2022-06-30T00:00:00"/>
    <x v="2"/>
    <n v="6"/>
    <x v="1"/>
    <s v="74415-50873-FC"/>
    <s v="A-D-0.5"/>
    <n v="3"/>
    <x v="348"/>
    <s v=""/>
    <x v="1"/>
    <x v="2"/>
    <s v="D"/>
    <x v="1"/>
    <n v="5.97"/>
    <x v="8"/>
    <x v="2"/>
    <x v="2"/>
  </r>
  <r>
    <s v="BNZ-20544-633"/>
    <d v="2020-10-21T00:00:00"/>
    <x v="3"/>
    <n v="10"/>
    <x v="7"/>
    <s v="31798-95707-NR"/>
    <s v="L-L-0.5"/>
    <n v="4"/>
    <x v="349"/>
    <s v="gbamfieldae@yellowpages.com"/>
    <x v="0"/>
    <x v="3"/>
    <s v="L"/>
    <x v="1"/>
    <n v="9.51"/>
    <x v="82"/>
    <x v="3"/>
    <x v="1"/>
  </r>
  <r>
    <s v="FUX-85791-078"/>
    <d v="2020-10-16T00:00:00"/>
    <x v="3"/>
    <n v="10"/>
    <x v="7"/>
    <s v="59122-08794-WT"/>
    <s v="A-M-0.2"/>
    <n v="2"/>
    <x v="350"/>
    <s v="whollingdaleaf@about.me"/>
    <x v="0"/>
    <x v="2"/>
    <s v="M"/>
    <x v="3"/>
    <n v="3.375"/>
    <x v="52"/>
    <x v="2"/>
    <x v="0"/>
  </r>
  <r>
    <s v="YXP-20078-116"/>
    <d v="2020-09-23T00:00:00"/>
    <x v="3"/>
    <n v="9"/>
    <x v="0"/>
    <s v="37238-52421-JJ"/>
    <s v="R-M-0.5"/>
    <n v="1"/>
    <x v="351"/>
    <s v="jdeag@xrea.com"/>
    <x v="0"/>
    <x v="0"/>
    <s v="M"/>
    <x v="1"/>
    <n v="5.97"/>
    <x v="9"/>
    <x v="0"/>
    <x v="0"/>
  </r>
  <r>
    <s v="VQV-59984-866"/>
    <d v="2019-03-08T00:00:00"/>
    <x v="0"/>
    <n v="3"/>
    <x v="6"/>
    <s v="48854-01899-FN"/>
    <s v="R-D-0.2"/>
    <n v="3"/>
    <x v="352"/>
    <s v="vskulletah@tinyurl.com"/>
    <x v="1"/>
    <x v="0"/>
    <s v="D"/>
    <x v="3"/>
    <n v="2.6849999999999996"/>
    <x v="36"/>
    <x v="0"/>
    <x v="2"/>
  </r>
  <r>
    <s v="JEH-37276-048"/>
    <d v="2021-06-30T00:00:00"/>
    <x v="1"/>
    <n v="6"/>
    <x v="1"/>
    <s v="80896-38819-DW"/>
    <s v="A-L-0.5"/>
    <n v="3"/>
    <x v="353"/>
    <s v="jrudeforthai@wunderground.com"/>
    <x v="1"/>
    <x v="2"/>
    <s v="L"/>
    <x v="1"/>
    <n v="7.77"/>
    <x v="102"/>
    <x v="2"/>
    <x v="1"/>
  </r>
  <r>
    <s v="VYD-28555-589"/>
    <d v="2019-08-13T00:00:00"/>
    <x v="0"/>
    <n v="8"/>
    <x v="3"/>
    <s v="29814-01459-RC"/>
    <s v="R-L-0.5"/>
    <n v="6"/>
    <x v="354"/>
    <s v="atomaszewskiaj@answers.com"/>
    <x v="3"/>
    <x v="0"/>
    <s v="L"/>
    <x v="1"/>
    <n v="7.169999999999999"/>
    <x v="163"/>
    <x v="0"/>
    <x v="1"/>
  </r>
  <r>
    <s v="WUG-76466-650"/>
    <d v="2021-02-22T00:00:00"/>
    <x v="1"/>
    <n v="2"/>
    <x v="10"/>
    <s v="43439-94003-DW"/>
    <s v="L-D-0.5"/>
    <n v="3"/>
    <x v="28"/>
    <s v="Not Found"/>
    <x v="2"/>
    <x v="3"/>
    <s v="D"/>
    <x v="1"/>
    <n v="7.77"/>
    <x v="102"/>
    <x v="3"/>
    <x v="2"/>
  </r>
  <r>
    <s v="RJV-08261-583"/>
    <d v="2022-03-26T00:00:00"/>
    <x v="2"/>
    <n v="3"/>
    <x v="6"/>
    <s v="48497-29281-FE"/>
    <s v="A-D-0.2"/>
    <n v="5"/>
    <x v="355"/>
    <s v="pbessal@qq.com"/>
    <x v="0"/>
    <x v="2"/>
    <s v="D"/>
    <x v="3"/>
    <n v="2.9849999999999999"/>
    <x v="128"/>
    <x v="2"/>
    <x v="2"/>
  </r>
  <r>
    <s v="PMR-56062-609"/>
    <d v="2020-01-10T00:00:00"/>
    <x v="3"/>
    <n v="1"/>
    <x v="4"/>
    <s v="43605-12616-YH"/>
    <s v="E-D-0.5"/>
    <n v="3"/>
    <x v="356"/>
    <s v="ewindressam@marketwatch.com"/>
    <x v="0"/>
    <x v="1"/>
    <s v="D"/>
    <x v="1"/>
    <n v="7.29"/>
    <x v="6"/>
    <x v="1"/>
    <x v="2"/>
  </r>
  <r>
    <s v="XLD-12920-505"/>
    <d v="2019-05-01T00:00:00"/>
    <x v="0"/>
    <n v="5"/>
    <x v="5"/>
    <s v="21907-75962-VB"/>
    <s v="E-L-0.5"/>
    <n v="6"/>
    <x v="357"/>
    <s v=""/>
    <x v="0"/>
    <x v="1"/>
    <s v="L"/>
    <x v="1"/>
    <n v="8.91"/>
    <x v="119"/>
    <x v="1"/>
    <x v="1"/>
  </r>
  <r>
    <s v="UBW-50312-037"/>
    <d v="2020-02-09T00:00:00"/>
    <x v="3"/>
    <n v="2"/>
    <x v="10"/>
    <s v="69503-12127-YD"/>
    <s v="A-L-2.5"/>
    <n v="4"/>
    <x v="358"/>
    <s v=""/>
    <x v="0"/>
    <x v="2"/>
    <s v="L"/>
    <x v="2"/>
    <n v="29.784999999999997"/>
    <x v="129"/>
    <x v="2"/>
    <x v="1"/>
  </r>
  <r>
    <s v="QAW-05889-019"/>
    <d v="2021-12-29T00:00:00"/>
    <x v="1"/>
    <n v="12"/>
    <x v="9"/>
    <s v="68810-07329-EU"/>
    <s v="L-M-0.5"/>
    <n v="5"/>
    <x v="359"/>
    <s v="vbaumadierap@google.cn"/>
    <x v="0"/>
    <x v="3"/>
    <s v="M"/>
    <x v="1"/>
    <n v="8.73"/>
    <x v="34"/>
    <x v="3"/>
    <x v="0"/>
  </r>
  <r>
    <s v="EPT-12715-397"/>
    <d v="2020-09-09T00:00:00"/>
    <x v="3"/>
    <n v="9"/>
    <x v="0"/>
    <s v="08478-75251-OG"/>
    <s v="A-D-0.2"/>
    <n v="6"/>
    <x v="360"/>
    <s v=""/>
    <x v="0"/>
    <x v="2"/>
    <s v="D"/>
    <x v="3"/>
    <n v="2.9849999999999999"/>
    <x v="8"/>
    <x v="2"/>
    <x v="2"/>
  </r>
  <r>
    <s v="DHT-93810-053"/>
    <d v="2021-09-16T00:00:00"/>
    <x v="1"/>
    <n v="9"/>
    <x v="0"/>
    <s v="17005-82030-EA"/>
    <s v="E-L-1"/>
    <n v="5"/>
    <x v="361"/>
    <s v="sweldsar@wired.com"/>
    <x v="0"/>
    <x v="1"/>
    <s v="L"/>
    <x v="0"/>
    <n v="14.85"/>
    <x v="159"/>
    <x v="1"/>
    <x v="1"/>
  </r>
  <r>
    <s v="DMY-96037-963"/>
    <d v="2020-10-26T00:00:00"/>
    <x v="3"/>
    <n v="10"/>
    <x v="7"/>
    <s v="42179-95059-DO"/>
    <s v="L-D-0.2"/>
    <n v="3"/>
    <x v="362"/>
    <s v="msarvaras@artisteer.com"/>
    <x v="0"/>
    <x v="3"/>
    <s v="D"/>
    <x v="3"/>
    <n v="3.8849999999999998"/>
    <x v="14"/>
    <x v="3"/>
    <x v="2"/>
  </r>
  <r>
    <s v="MBM-55936-917"/>
    <d v="2019-03-12T00:00:00"/>
    <x v="0"/>
    <n v="3"/>
    <x v="6"/>
    <s v="55989-39849-WO"/>
    <s v="L-D-0.5"/>
    <n v="3"/>
    <x v="363"/>
    <s v="ahavickat@nsw.gov.au"/>
    <x v="0"/>
    <x v="3"/>
    <s v="D"/>
    <x v="1"/>
    <n v="7.77"/>
    <x v="102"/>
    <x v="3"/>
    <x v="2"/>
  </r>
  <r>
    <s v="TPA-93614-840"/>
    <d v="2021-02-18T00:00:00"/>
    <x v="1"/>
    <n v="2"/>
    <x v="10"/>
    <s v="28932-49296-TM"/>
    <s v="E-D-0.5"/>
    <n v="2"/>
    <x v="364"/>
    <s v="sdivinyau@ask.com"/>
    <x v="0"/>
    <x v="1"/>
    <s v="D"/>
    <x v="1"/>
    <n v="7.29"/>
    <x v="20"/>
    <x v="1"/>
    <x v="2"/>
  </r>
  <r>
    <s v="WDM-77521-710"/>
    <d v="2020-10-29T00:00:00"/>
    <x v="3"/>
    <n v="10"/>
    <x v="7"/>
    <s v="86144-10144-CB"/>
    <s v="A-M-0.5"/>
    <n v="2"/>
    <x v="365"/>
    <s v="inorquoyav@businessweek.com"/>
    <x v="0"/>
    <x v="2"/>
    <s v="M"/>
    <x v="1"/>
    <n v="6.75"/>
    <x v="72"/>
    <x v="2"/>
    <x v="0"/>
  </r>
  <r>
    <s v="EIP-19142-462"/>
    <d v="2021-09-06T00:00:00"/>
    <x v="1"/>
    <n v="9"/>
    <x v="0"/>
    <s v="60973-72562-DQ"/>
    <s v="E-L-1"/>
    <n v="6"/>
    <x v="366"/>
    <s v="aiddisonaw@usa.gov"/>
    <x v="0"/>
    <x v="1"/>
    <s v="L"/>
    <x v="0"/>
    <n v="14.85"/>
    <x v="146"/>
    <x v="1"/>
    <x v="1"/>
  </r>
  <r>
    <s v="EIP-19142-462"/>
    <d v="2021-09-06T00:00:00"/>
    <x v="1"/>
    <n v="9"/>
    <x v="0"/>
    <s v="60973-72562-DQ"/>
    <s v="A-L-0.2"/>
    <n v="1"/>
    <x v="366"/>
    <s v="aiddisonaw@usa.gov"/>
    <x v="0"/>
    <x v="2"/>
    <s v="L"/>
    <x v="3"/>
    <n v="3.8849999999999998"/>
    <x v="84"/>
    <x v="2"/>
    <x v="1"/>
  </r>
  <r>
    <s v="ZZL-76364-387"/>
    <d v="2020-09-09T00:00:00"/>
    <x v="3"/>
    <n v="9"/>
    <x v="0"/>
    <s v="11263-86515-VU"/>
    <s v="R-L-2.5"/>
    <n v="4"/>
    <x v="367"/>
    <s v="rlongfielday@bluehost.com"/>
    <x v="0"/>
    <x v="0"/>
    <s v="L"/>
    <x v="2"/>
    <n v="27.484999999999996"/>
    <x v="108"/>
    <x v="0"/>
    <x v="1"/>
  </r>
  <r>
    <s v="GMF-18638-786"/>
    <d v="2021-09-26T00:00:00"/>
    <x v="1"/>
    <n v="9"/>
    <x v="0"/>
    <s v="60004-62976-NI"/>
    <s v="L-D-0.5"/>
    <n v="6"/>
    <x v="368"/>
    <s v="gkislingburyaz@samsung.com"/>
    <x v="0"/>
    <x v="3"/>
    <s v="D"/>
    <x v="1"/>
    <n v="7.77"/>
    <x v="162"/>
    <x v="3"/>
    <x v="2"/>
  </r>
  <r>
    <s v="TDJ-20844-787"/>
    <d v="2020-11-05T00:00:00"/>
    <x v="3"/>
    <n v="11"/>
    <x v="11"/>
    <s v="77876-28498-HI"/>
    <s v="A-L-0.5"/>
    <n v="5"/>
    <x v="369"/>
    <s v="xgibbonsb0@artisteer.com"/>
    <x v="0"/>
    <x v="2"/>
    <s v="L"/>
    <x v="1"/>
    <n v="7.77"/>
    <x v="5"/>
    <x v="2"/>
    <x v="1"/>
  </r>
  <r>
    <s v="BWK-39400-446"/>
    <d v="2019-09-12T00:00:00"/>
    <x v="0"/>
    <n v="9"/>
    <x v="0"/>
    <s v="61302-06948-EH"/>
    <s v="L-D-0.5"/>
    <n v="4"/>
    <x v="370"/>
    <s v="fparresb1@imageshack.us"/>
    <x v="0"/>
    <x v="3"/>
    <s v="D"/>
    <x v="1"/>
    <n v="7.77"/>
    <x v="113"/>
    <x v="3"/>
    <x v="2"/>
  </r>
  <r>
    <s v="LCB-02099-995"/>
    <d v="2019-07-31T00:00:00"/>
    <x v="0"/>
    <n v="7"/>
    <x v="2"/>
    <s v="06757-96251-UH"/>
    <s v="A-D-0.2"/>
    <n v="6"/>
    <x v="371"/>
    <s v="gsibrayb2@wsj.com"/>
    <x v="0"/>
    <x v="2"/>
    <s v="D"/>
    <x v="3"/>
    <n v="2.9849999999999999"/>
    <x v="8"/>
    <x v="2"/>
    <x v="2"/>
  </r>
  <r>
    <s v="UBA-43678-174"/>
    <d v="2019-03-15T00:00:00"/>
    <x v="0"/>
    <n v="3"/>
    <x v="6"/>
    <s v="44530-75983-OD"/>
    <s v="E-D-2.5"/>
    <n v="6"/>
    <x v="372"/>
    <s v="ihotchkinb3@mit.edu"/>
    <x v="3"/>
    <x v="1"/>
    <s v="D"/>
    <x v="2"/>
    <n v="27.945"/>
    <x v="164"/>
    <x v="1"/>
    <x v="2"/>
  </r>
  <r>
    <s v="UDH-24280-432"/>
    <d v="2021-05-16T00:00:00"/>
    <x v="1"/>
    <n v="5"/>
    <x v="5"/>
    <s v="44865-58249-RY"/>
    <s v="L-L-1"/>
    <n v="4"/>
    <x v="373"/>
    <s v="nbroadberrieb4@gnu.org"/>
    <x v="0"/>
    <x v="3"/>
    <s v="L"/>
    <x v="0"/>
    <n v="15.85"/>
    <x v="165"/>
    <x v="3"/>
    <x v="1"/>
  </r>
  <r>
    <s v="IDQ-20193-502"/>
    <d v="2019-05-06T00:00:00"/>
    <x v="0"/>
    <n v="5"/>
    <x v="5"/>
    <s v="36021-61205-DF"/>
    <s v="L-M-0.2"/>
    <n v="2"/>
    <x v="374"/>
    <s v="rpithcockb5@yellowbook.com"/>
    <x v="0"/>
    <x v="3"/>
    <s v="M"/>
    <x v="3"/>
    <n v="4.3650000000000002"/>
    <x v="31"/>
    <x v="3"/>
    <x v="0"/>
  </r>
  <r>
    <s v="DJG-14442-608"/>
    <d v="2019-02-06T00:00:00"/>
    <x v="0"/>
    <n v="2"/>
    <x v="10"/>
    <s v="75716-12782-SS"/>
    <s v="R-D-1"/>
    <n v="3"/>
    <x v="375"/>
    <s v="gcroysdaleb6@nih.gov"/>
    <x v="0"/>
    <x v="0"/>
    <s v="D"/>
    <x v="0"/>
    <n v="8.9499999999999993"/>
    <x v="166"/>
    <x v="0"/>
    <x v="2"/>
  </r>
  <r>
    <s v="DWB-61381-370"/>
    <d v="2021-04-09T00:00:00"/>
    <x v="1"/>
    <n v="4"/>
    <x v="8"/>
    <s v="11812-00461-KH"/>
    <s v="L-L-0.2"/>
    <n v="2"/>
    <x v="376"/>
    <s v="bgozzettb7@github.com"/>
    <x v="0"/>
    <x v="3"/>
    <s v="L"/>
    <x v="3"/>
    <n v="4.7549999999999999"/>
    <x v="54"/>
    <x v="3"/>
    <x v="1"/>
  </r>
  <r>
    <s v="FRD-17347-990"/>
    <d v="2020-05-20T00:00:00"/>
    <x v="3"/>
    <n v="5"/>
    <x v="5"/>
    <s v="46681-78850-ZW"/>
    <s v="A-D-1"/>
    <n v="4"/>
    <x v="377"/>
    <s v="tcraggsb8@house.gov"/>
    <x v="1"/>
    <x v="2"/>
    <s v="D"/>
    <x v="0"/>
    <n v="9.9499999999999993"/>
    <x v="10"/>
    <x v="2"/>
    <x v="2"/>
  </r>
  <r>
    <s v="YPP-27450-525"/>
    <d v="2020-12-02T00:00:00"/>
    <x v="3"/>
    <n v="12"/>
    <x v="9"/>
    <s v="01932-87052-KO"/>
    <s v="E-M-0.5"/>
    <n v="3"/>
    <x v="378"/>
    <s v="lcullrfordb9@xing.com"/>
    <x v="0"/>
    <x v="1"/>
    <s v="M"/>
    <x v="1"/>
    <n v="8.25"/>
    <x v="167"/>
    <x v="1"/>
    <x v="0"/>
  </r>
  <r>
    <s v="EFC-39577-424"/>
    <d v="2021-08-08T00:00:00"/>
    <x v="1"/>
    <n v="8"/>
    <x v="3"/>
    <s v="16046-34805-ZF"/>
    <s v="E-M-1"/>
    <n v="5"/>
    <x v="379"/>
    <s v="arizonba@xing.com"/>
    <x v="0"/>
    <x v="1"/>
    <s v="M"/>
    <x v="0"/>
    <n v="13.75"/>
    <x v="85"/>
    <x v="1"/>
    <x v="0"/>
  </r>
  <r>
    <s v="LAW-80062-016"/>
    <d v="2022-02-03T00:00:00"/>
    <x v="2"/>
    <n v="2"/>
    <x v="10"/>
    <s v="34546-70516-LR"/>
    <s v="E-M-0.5"/>
    <n v="6"/>
    <x v="380"/>
    <s v=""/>
    <x v="1"/>
    <x v="1"/>
    <s v="M"/>
    <x v="1"/>
    <n v="8.25"/>
    <x v="168"/>
    <x v="1"/>
    <x v="0"/>
  </r>
  <r>
    <s v="WKL-27981-758"/>
    <d v="2022-04-08T00:00:00"/>
    <x v="2"/>
    <n v="4"/>
    <x v="8"/>
    <s v="73699-93557-FZ"/>
    <s v="A-M-2.5"/>
    <n v="2"/>
    <x v="381"/>
    <s v="fmiellbc@spiegel.de"/>
    <x v="0"/>
    <x v="2"/>
    <s v="M"/>
    <x v="2"/>
    <n v="25.874999999999996"/>
    <x v="95"/>
    <x v="2"/>
    <x v="0"/>
  </r>
  <r>
    <s v="VRT-39834-265"/>
    <d v="2021-01-07T00:00:00"/>
    <x v="1"/>
    <n v="1"/>
    <x v="4"/>
    <s v="86686-37462-CK"/>
    <s v="L-L-1"/>
    <n v="3"/>
    <x v="382"/>
    <s v=""/>
    <x v="1"/>
    <x v="3"/>
    <s v="L"/>
    <x v="0"/>
    <n v="15.85"/>
    <x v="46"/>
    <x v="3"/>
    <x v="1"/>
  </r>
  <r>
    <s v="QTC-71005-730"/>
    <d v="2021-09-02T00:00:00"/>
    <x v="1"/>
    <n v="9"/>
    <x v="0"/>
    <s v="14298-02150-KH"/>
    <s v="A-L-0.2"/>
    <n v="4"/>
    <x v="383"/>
    <s v=""/>
    <x v="0"/>
    <x v="2"/>
    <s v="L"/>
    <x v="3"/>
    <n v="3.8849999999999998"/>
    <x v="42"/>
    <x v="2"/>
    <x v="1"/>
  </r>
  <r>
    <s v="TNX-09857-717"/>
    <d v="2021-11-04T00:00:00"/>
    <x v="1"/>
    <n v="11"/>
    <x v="11"/>
    <s v="48675-07824-HJ"/>
    <s v="L-M-1"/>
    <n v="6"/>
    <x v="384"/>
    <s v=""/>
    <x v="0"/>
    <x v="3"/>
    <s v="M"/>
    <x v="0"/>
    <n v="14.55"/>
    <x v="75"/>
    <x v="3"/>
    <x v="0"/>
  </r>
  <r>
    <s v="JZV-43874-185"/>
    <d v="2021-08-02T00:00:00"/>
    <x v="1"/>
    <n v="8"/>
    <x v="3"/>
    <s v="18551-80943-YQ"/>
    <s v="A-M-1"/>
    <n v="5"/>
    <x v="385"/>
    <s v=""/>
    <x v="0"/>
    <x v="2"/>
    <s v="M"/>
    <x v="0"/>
    <n v="11.25"/>
    <x v="126"/>
    <x v="2"/>
    <x v="0"/>
  </r>
  <r>
    <s v="ICF-17486-106"/>
    <d v="2020-01-27T00:00:00"/>
    <x v="3"/>
    <n v="1"/>
    <x v="4"/>
    <s v="19196-09748-DB"/>
    <s v="L-L-2.5"/>
    <n v="1"/>
    <x v="386"/>
    <s v="wspringallbh@jugem.jp"/>
    <x v="0"/>
    <x v="3"/>
    <s v="L"/>
    <x v="2"/>
    <n v="36.454999999999998"/>
    <x v="133"/>
    <x v="3"/>
    <x v="1"/>
  </r>
  <r>
    <s v="BMK-49520-383"/>
    <d v="2019-12-03T00:00:00"/>
    <x v="0"/>
    <n v="12"/>
    <x v="9"/>
    <s v="72233-08665-IP"/>
    <s v="R-L-0.2"/>
    <n v="3"/>
    <x v="387"/>
    <s v=""/>
    <x v="0"/>
    <x v="0"/>
    <s v="L"/>
    <x v="3"/>
    <n v="3.5849999999999995"/>
    <x v="127"/>
    <x v="0"/>
    <x v="1"/>
  </r>
  <r>
    <s v="HTS-15020-632"/>
    <d v="2019-08-06T00:00:00"/>
    <x v="0"/>
    <n v="8"/>
    <x v="3"/>
    <s v="53817-13148-RK"/>
    <s v="R-M-0.2"/>
    <n v="3"/>
    <x v="388"/>
    <s v="ghawkyensbj@census.gov"/>
    <x v="0"/>
    <x v="0"/>
    <s v="M"/>
    <x v="3"/>
    <n v="2.9849999999999999"/>
    <x v="169"/>
    <x v="0"/>
    <x v="0"/>
  </r>
  <r>
    <s v="YLE-18247-749"/>
    <d v="2020-03-11T00:00:00"/>
    <x v="3"/>
    <n v="3"/>
    <x v="6"/>
    <s v="92227-49331-QR"/>
    <s v="A-L-0.5"/>
    <n v="3"/>
    <x v="389"/>
    <s v=""/>
    <x v="0"/>
    <x v="2"/>
    <s v="L"/>
    <x v="1"/>
    <n v="7.77"/>
    <x v="102"/>
    <x v="2"/>
    <x v="1"/>
  </r>
  <r>
    <s v="KJJ-12573-591"/>
    <d v="2021-09-18T00:00:00"/>
    <x v="1"/>
    <n v="9"/>
    <x v="0"/>
    <s v="12997-41076-FQ"/>
    <s v="A-L-2.5"/>
    <n v="1"/>
    <x v="390"/>
    <s v=""/>
    <x v="0"/>
    <x v="2"/>
    <s v="L"/>
    <x v="2"/>
    <n v="29.784999999999997"/>
    <x v="91"/>
    <x v="2"/>
    <x v="1"/>
  </r>
  <r>
    <s v="RGU-43561-950"/>
    <d v="2020-11-07T00:00:00"/>
    <x v="3"/>
    <n v="11"/>
    <x v="11"/>
    <s v="44220-00348-MB"/>
    <s v="A-L-2.5"/>
    <n v="5"/>
    <x v="391"/>
    <s v="bmcgilvrabm@so-net.ne.jp"/>
    <x v="0"/>
    <x v="2"/>
    <s v="L"/>
    <x v="2"/>
    <n v="29.784999999999997"/>
    <x v="74"/>
    <x v="2"/>
    <x v="1"/>
  </r>
  <r>
    <s v="JSN-73975-443"/>
    <d v="2022-06-27T00:00:00"/>
    <x v="2"/>
    <n v="6"/>
    <x v="1"/>
    <s v="93047-98331-DD"/>
    <s v="L-M-0.5"/>
    <n v="1"/>
    <x v="392"/>
    <s v="adanzeybn@github.com"/>
    <x v="0"/>
    <x v="3"/>
    <s v="M"/>
    <x v="1"/>
    <n v="8.73"/>
    <x v="31"/>
    <x v="3"/>
    <x v="0"/>
  </r>
  <r>
    <s v="WNR-71736-993"/>
    <d v="2020-02-05T00:00:00"/>
    <x v="3"/>
    <n v="2"/>
    <x v="10"/>
    <s v="16880-78077-FB"/>
    <s v="L-D-0.5"/>
    <n v="4"/>
    <x v="28"/>
    <s v="Not Found"/>
    <x v="2"/>
    <x v="3"/>
    <s v="D"/>
    <x v="1"/>
    <n v="7.77"/>
    <x v="113"/>
    <x v="3"/>
    <x v="2"/>
  </r>
  <r>
    <s v="WNR-71736-993"/>
    <d v="2020-02-05T00:00:00"/>
    <x v="3"/>
    <n v="2"/>
    <x v="10"/>
    <s v="16880-78077-FB"/>
    <s v="A-D-2.5"/>
    <n v="6"/>
    <x v="28"/>
    <s v="Not Found"/>
    <x v="2"/>
    <x v="2"/>
    <s v="D"/>
    <x v="2"/>
    <n v="22.884999999999998"/>
    <x v="170"/>
    <x v="2"/>
    <x v="2"/>
  </r>
  <r>
    <s v="HNI-91338-546"/>
    <d v="2020-02-07T00:00:00"/>
    <x v="3"/>
    <n v="2"/>
    <x v="10"/>
    <s v="67285-75317-XI"/>
    <s v="A-D-0.5"/>
    <n v="5"/>
    <x v="393"/>
    <s v=""/>
    <x v="0"/>
    <x v="2"/>
    <s v="D"/>
    <x v="1"/>
    <n v="5.97"/>
    <x v="44"/>
    <x v="2"/>
    <x v="2"/>
  </r>
  <r>
    <s v="CYH-53243-218"/>
    <d v="2020-12-18T00:00:00"/>
    <x v="3"/>
    <n v="12"/>
    <x v="9"/>
    <s v="88167-57964-PH"/>
    <s v="R-M-0.5"/>
    <n v="3"/>
    <x v="394"/>
    <s v=""/>
    <x v="0"/>
    <x v="0"/>
    <s v="M"/>
    <x v="1"/>
    <n v="5.97"/>
    <x v="8"/>
    <x v="0"/>
    <x v="0"/>
  </r>
  <r>
    <s v="SVD-75407-177"/>
    <d v="2021-08-23T00:00:00"/>
    <x v="1"/>
    <n v="8"/>
    <x v="3"/>
    <s v="16106-36039-QS"/>
    <s v="E-L-0.5"/>
    <n v="3"/>
    <x v="395"/>
    <s v="ydombrellbs@dedecms.com"/>
    <x v="0"/>
    <x v="1"/>
    <s v="L"/>
    <x v="1"/>
    <n v="8.91"/>
    <x v="149"/>
    <x v="1"/>
    <x v="1"/>
  </r>
  <r>
    <s v="NVN-66443-451"/>
    <d v="2021-08-20T00:00:00"/>
    <x v="1"/>
    <n v="8"/>
    <x v="3"/>
    <s v="98921-82417-GN"/>
    <s v="R-D-1"/>
    <n v="2"/>
    <x v="396"/>
    <s v="adarthbt@t.co"/>
    <x v="0"/>
    <x v="0"/>
    <s v="D"/>
    <x v="0"/>
    <n v="8.9499999999999993"/>
    <x v="105"/>
    <x v="0"/>
    <x v="2"/>
  </r>
  <r>
    <s v="JUA-13580-095"/>
    <d v="2019-04-01T00:00:00"/>
    <x v="0"/>
    <n v="4"/>
    <x v="8"/>
    <s v="55265-75151-AK"/>
    <s v="R-L-0.2"/>
    <n v="4"/>
    <x v="397"/>
    <s v="mdarrigoebu@hud.gov"/>
    <x v="1"/>
    <x v="0"/>
    <s v="L"/>
    <x v="3"/>
    <n v="3.5849999999999995"/>
    <x v="79"/>
    <x v="0"/>
    <x v="1"/>
  </r>
  <r>
    <s v="ACY-56225-839"/>
    <d v="2021-01-28T00:00:00"/>
    <x v="1"/>
    <n v="1"/>
    <x v="4"/>
    <s v="47386-50743-FG"/>
    <s v="A-M-2.5"/>
    <n v="3"/>
    <x v="398"/>
    <s v=""/>
    <x v="0"/>
    <x v="2"/>
    <s v="M"/>
    <x v="2"/>
    <n v="25.874999999999996"/>
    <x v="57"/>
    <x v="2"/>
    <x v="0"/>
  </r>
  <r>
    <s v="QBB-07903-622"/>
    <d v="2019-10-21T00:00:00"/>
    <x v="0"/>
    <n v="10"/>
    <x v="7"/>
    <s v="32622-54551-UC"/>
    <s v="R-L-1"/>
    <n v="5"/>
    <x v="399"/>
    <s v="mackrillbw@bandcamp.com"/>
    <x v="0"/>
    <x v="0"/>
    <s v="L"/>
    <x v="0"/>
    <n v="11.95"/>
    <x v="143"/>
    <x v="0"/>
    <x v="1"/>
  </r>
  <r>
    <s v="JLJ-81802-619"/>
    <d v="2021-06-20T00:00:00"/>
    <x v="1"/>
    <n v="6"/>
    <x v="1"/>
    <s v="16880-78077-FB"/>
    <s v="A-L-1"/>
    <n v="6"/>
    <x v="28"/>
    <s v="Not Found"/>
    <x v="2"/>
    <x v="2"/>
    <s v="L"/>
    <x v="0"/>
    <n v="12.95"/>
    <x v="17"/>
    <x v="2"/>
    <x v="1"/>
  </r>
  <r>
    <s v="HFT-77191-168"/>
    <d v="2021-11-04T00:00:00"/>
    <x v="1"/>
    <n v="11"/>
    <x v="11"/>
    <s v="48419-02347-XP"/>
    <s v="R-D-0.2"/>
    <n v="2"/>
    <x v="400"/>
    <s v="mkippenby@dion.ne.jp"/>
    <x v="0"/>
    <x v="0"/>
    <s v="D"/>
    <x v="3"/>
    <n v="2.6849999999999996"/>
    <x v="147"/>
    <x v="0"/>
    <x v="2"/>
  </r>
  <r>
    <s v="SZR-35951-530"/>
    <d v="2021-04-05T00:00:00"/>
    <x v="1"/>
    <n v="4"/>
    <x v="8"/>
    <s v="14121-20527-OJ"/>
    <s v="E-D-2.5"/>
    <n v="3"/>
    <x v="401"/>
    <s v="wransonbz@ted.com"/>
    <x v="1"/>
    <x v="1"/>
    <s v="D"/>
    <x v="2"/>
    <n v="27.945"/>
    <x v="171"/>
    <x v="1"/>
    <x v="2"/>
  </r>
  <r>
    <s v="IKL-95976-565"/>
    <d v="2019-12-09T00:00:00"/>
    <x v="0"/>
    <n v="12"/>
    <x v="9"/>
    <s v="53486-73919-BQ"/>
    <s v="A-M-1"/>
    <n v="2"/>
    <x v="402"/>
    <s v=""/>
    <x v="0"/>
    <x v="2"/>
    <s v="M"/>
    <x v="0"/>
    <n v="11.25"/>
    <x v="122"/>
    <x v="2"/>
    <x v="0"/>
  </r>
  <r>
    <s v="XEY-48929-474"/>
    <d v="2022-01-02T00:00:00"/>
    <x v="2"/>
    <n v="1"/>
    <x v="4"/>
    <s v="21889-94615-WT"/>
    <s v="L-M-2.5"/>
    <n v="6"/>
    <x v="403"/>
    <s v="lrignoldc1@miibeian.gov.cn"/>
    <x v="0"/>
    <x v="3"/>
    <s v="M"/>
    <x v="2"/>
    <n v="33.464999999999996"/>
    <x v="172"/>
    <x v="3"/>
    <x v="0"/>
  </r>
  <r>
    <s v="SQT-07286-736"/>
    <d v="2019-12-08T00:00:00"/>
    <x v="0"/>
    <n v="12"/>
    <x v="9"/>
    <s v="87726-16941-QW"/>
    <s v="A-M-1"/>
    <n v="6"/>
    <x v="404"/>
    <s v=""/>
    <x v="0"/>
    <x v="2"/>
    <s v="M"/>
    <x v="0"/>
    <n v="11.25"/>
    <x v="173"/>
    <x v="2"/>
    <x v="0"/>
  </r>
  <r>
    <s v="QDU-45390-361"/>
    <d v="2021-11-28T00:00:00"/>
    <x v="1"/>
    <n v="11"/>
    <x v="11"/>
    <s v="03677-09134-BC"/>
    <s v="E-M-0.5"/>
    <n v="1"/>
    <x v="405"/>
    <s v="crowthornc3@msn.com"/>
    <x v="0"/>
    <x v="1"/>
    <s v="M"/>
    <x v="1"/>
    <n v="8.25"/>
    <x v="112"/>
    <x v="1"/>
    <x v="0"/>
  </r>
  <r>
    <s v="RUJ-30649-712"/>
    <d v="2022-03-11T00:00:00"/>
    <x v="2"/>
    <n v="3"/>
    <x v="6"/>
    <s v="93224-71517-WV"/>
    <s v="L-L-0.2"/>
    <n v="2"/>
    <x v="406"/>
    <s v="orylandc4@deviantart.com"/>
    <x v="0"/>
    <x v="3"/>
    <s v="L"/>
    <x v="3"/>
    <n v="4.7549999999999999"/>
    <x v="54"/>
    <x v="3"/>
    <x v="1"/>
  </r>
  <r>
    <s v="WSV-49732-075"/>
    <d v="2021-01-17T00:00:00"/>
    <x v="1"/>
    <n v="1"/>
    <x v="4"/>
    <s v="76263-95145-GJ"/>
    <s v="L-D-2.5"/>
    <n v="1"/>
    <x v="407"/>
    <s v=""/>
    <x v="0"/>
    <x v="3"/>
    <s v="D"/>
    <x v="2"/>
    <n v="29.784999999999997"/>
    <x v="91"/>
    <x v="3"/>
    <x v="2"/>
  </r>
  <r>
    <s v="VJF-46305-323"/>
    <d v="2019-01-18T00:00:00"/>
    <x v="0"/>
    <n v="1"/>
    <x v="4"/>
    <s v="68555-89840-GZ"/>
    <s v="L-D-0.5"/>
    <n v="2"/>
    <x v="408"/>
    <s v="msesonck@census.gov"/>
    <x v="0"/>
    <x v="3"/>
    <s v="D"/>
    <x v="1"/>
    <n v="7.77"/>
    <x v="42"/>
    <x v="3"/>
    <x v="2"/>
  </r>
  <r>
    <s v="CXD-74176-600"/>
    <d v="2019-04-07T00:00:00"/>
    <x v="0"/>
    <n v="4"/>
    <x v="8"/>
    <s v="70624-19112-AO"/>
    <s v="E-L-0.5"/>
    <n v="4"/>
    <x v="409"/>
    <s v="craglessc7@webmd.com"/>
    <x v="1"/>
    <x v="1"/>
    <s v="L"/>
    <x v="1"/>
    <n v="8.91"/>
    <x v="70"/>
    <x v="1"/>
    <x v="1"/>
  </r>
  <r>
    <s v="ADX-50674-975"/>
    <d v="2021-02-03T00:00:00"/>
    <x v="1"/>
    <n v="2"/>
    <x v="10"/>
    <s v="58916-61837-QH"/>
    <s v="A-M-2.5"/>
    <n v="4"/>
    <x v="410"/>
    <s v="fhollowsc8@blogtalkradio.com"/>
    <x v="0"/>
    <x v="2"/>
    <s v="M"/>
    <x v="2"/>
    <n v="25.874999999999996"/>
    <x v="68"/>
    <x v="2"/>
    <x v="0"/>
  </r>
  <r>
    <s v="RRP-51647-420"/>
    <d v="2019-04-18T00:00:00"/>
    <x v="0"/>
    <n v="4"/>
    <x v="8"/>
    <s v="89292-52335-YZ"/>
    <s v="E-D-1"/>
    <n v="3"/>
    <x v="411"/>
    <s v="llathleiffc9@nationalgeographic.com"/>
    <x v="1"/>
    <x v="1"/>
    <s v="D"/>
    <x v="0"/>
    <n v="12.15"/>
    <x v="114"/>
    <x v="1"/>
    <x v="2"/>
  </r>
  <r>
    <s v="PKJ-99134-523"/>
    <d v="2021-07-07T00:00:00"/>
    <x v="1"/>
    <n v="7"/>
    <x v="2"/>
    <s v="77284-34297-YY"/>
    <s v="R-L-0.5"/>
    <n v="5"/>
    <x v="412"/>
    <s v="kheadsca@jalbum.net"/>
    <x v="0"/>
    <x v="0"/>
    <s v="L"/>
    <x v="1"/>
    <n v="7.169999999999999"/>
    <x v="66"/>
    <x v="0"/>
    <x v="1"/>
  </r>
  <r>
    <s v="FZQ-29439-457"/>
    <d v="2021-02-23T00:00:00"/>
    <x v="1"/>
    <n v="2"/>
    <x v="10"/>
    <s v="50449-80974-BZ"/>
    <s v="E-L-0.2"/>
    <n v="5"/>
    <x v="413"/>
    <s v="tbownecb@unicef.org"/>
    <x v="1"/>
    <x v="1"/>
    <s v="L"/>
    <x v="3"/>
    <n v="4.4550000000000001"/>
    <x v="110"/>
    <x v="1"/>
    <x v="1"/>
  </r>
  <r>
    <s v="USN-68115-161"/>
    <d v="2021-08-10T00:00:00"/>
    <x v="1"/>
    <n v="8"/>
    <x v="3"/>
    <s v="08120-16183-AW"/>
    <s v="E-M-0.2"/>
    <n v="6"/>
    <x v="414"/>
    <s v="rjacquemardcc@acquirethisname.com"/>
    <x v="1"/>
    <x v="1"/>
    <s v="M"/>
    <x v="3"/>
    <n v="4.125"/>
    <x v="167"/>
    <x v="1"/>
    <x v="0"/>
  </r>
  <r>
    <s v="IXU-20263-532"/>
    <d v="2019-11-15T00:00:00"/>
    <x v="0"/>
    <n v="11"/>
    <x v="11"/>
    <s v="68044-89277-ML"/>
    <s v="L-M-2.5"/>
    <n v="2"/>
    <x v="415"/>
    <s v="kwarmancd@printfriendly.com"/>
    <x v="1"/>
    <x v="3"/>
    <s v="M"/>
    <x v="2"/>
    <n v="33.464999999999996"/>
    <x v="174"/>
    <x v="3"/>
    <x v="0"/>
  </r>
  <r>
    <s v="CBT-15092-420"/>
    <d v="2019-12-17T00:00:00"/>
    <x v="0"/>
    <n v="12"/>
    <x v="9"/>
    <s v="71364-35210-HS"/>
    <s v="L-M-0.5"/>
    <n v="1"/>
    <x v="416"/>
    <s v="wcholomince@about.com"/>
    <x v="3"/>
    <x v="3"/>
    <s v="M"/>
    <x v="1"/>
    <n v="8.73"/>
    <x v="31"/>
    <x v="3"/>
    <x v="0"/>
  </r>
  <r>
    <s v="PKQ-46841-696"/>
    <d v="2020-03-18T00:00:00"/>
    <x v="3"/>
    <n v="3"/>
    <x v="6"/>
    <s v="37177-68797-ON"/>
    <s v="R-M-0.5"/>
    <n v="3"/>
    <x v="417"/>
    <s v="abraidmancf@census.gov"/>
    <x v="0"/>
    <x v="0"/>
    <s v="M"/>
    <x v="1"/>
    <n v="5.97"/>
    <x v="8"/>
    <x v="0"/>
    <x v="0"/>
  </r>
  <r>
    <s v="XDU-05471-219"/>
    <d v="2022-06-06T00:00:00"/>
    <x v="2"/>
    <n v="6"/>
    <x v="1"/>
    <s v="60308-06944-GS"/>
    <s v="R-L-0.5"/>
    <n v="1"/>
    <x v="418"/>
    <s v="pdurbancg@symantec.com"/>
    <x v="1"/>
    <x v="0"/>
    <s v="L"/>
    <x v="1"/>
    <n v="7.169999999999999"/>
    <x v="53"/>
    <x v="0"/>
    <x v="1"/>
  </r>
  <r>
    <s v="NID-20149-329"/>
    <d v="2021-05-20T00:00:00"/>
    <x v="1"/>
    <n v="5"/>
    <x v="5"/>
    <s v="49888-39458-PF"/>
    <s v="R-D-0.2"/>
    <n v="2"/>
    <x v="419"/>
    <s v="aharroldch@miibeian.gov.cn"/>
    <x v="0"/>
    <x v="0"/>
    <s v="D"/>
    <x v="3"/>
    <n v="2.6849999999999996"/>
    <x v="147"/>
    <x v="0"/>
    <x v="2"/>
  </r>
  <r>
    <s v="SVU-27222-213"/>
    <d v="2021-01-11T00:00:00"/>
    <x v="1"/>
    <n v="1"/>
    <x v="4"/>
    <s v="60748-46813-DZ"/>
    <s v="L-L-0.2"/>
    <n v="5"/>
    <x v="420"/>
    <s v="spamphilonci@mlb.com"/>
    <x v="1"/>
    <x v="3"/>
    <s v="L"/>
    <x v="3"/>
    <n v="4.7549999999999999"/>
    <x v="29"/>
    <x v="3"/>
    <x v="1"/>
  </r>
  <r>
    <s v="RWI-84131-848"/>
    <d v="2019-02-22T00:00:00"/>
    <x v="0"/>
    <n v="2"/>
    <x v="10"/>
    <s v="16385-11286-NX"/>
    <s v="R-D-2.5"/>
    <n v="2"/>
    <x v="421"/>
    <s v="mspurdencj@exblog.jp"/>
    <x v="0"/>
    <x v="0"/>
    <s v="D"/>
    <x v="2"/>
    <n v="20.584999999999997"/>
    <x v="13"/>
    <x v="0"/>
    <x v="2"/>
  </r>
  <r>
    <s v="GUU-40666-525"/>
    <d v="2021-11-24T00:00:00"/>
    <x v="1"/>
    <n v="11"/>
    <x v="11"/>
    <s v="68555-89840-GZ"/>
    <s v="A-L-0.2"/>
    <n v="3"/>
    <x v="408"/>
    <s v="msesonck@census.gov"/>
    <x v="0"/>
    <x v="2"/>
    <s v="L"/>
    <x v="3"/>
    <n v="3.8849999999999998"/>
    <x v="14"/>
    <x v="2"/>
    <x v="1"/>
  </r>
  <r>
    <s v="SCN-51395-066"/>
    <d v="2022-01-18T00:00:00"/>
    <x v="2"/>
    <n v="1"/>
    <x v="4"/>
    <s v="72164-90254-EJ"/>
    <s v="L-L-0.5"/>
    <n v="4"/>
    <x v="422"/>
    <s v="npirronecl@weibo.com"/>
    <x v="0"/>
    <x v="3"/>
    <s v="L"/>
    <x v="1"/>
    <n v="9.51"/>
    <x v="82"/>
    <x v="3"/>
    <x v="1"/>
  </r>
  <r>
    <s v="ULA-24644-321"/>
    <d v="2021-08-13T00:00:00"/>
    <x v="1"/>
    <n v="8"/>
    <x v="3"/>
    <s v="67010-92988-CT"/>
    <s v="R-D-2.5"/>
    <n v="4"/>
    <x v="423"/>
    <s v="rcawleycm@yellowbook.com"/>
    <x v="1"/>
    <x v="0"/>
    <s v="D"/>
    <x v="2"/>
    <n v="20.584999999999997"/>
    <x v="18"/>
    <x v="0"/>
    <x v="2"/>
  </r>
  <r>
    <s v="EOL-92666-762"/>
    <d v="2020-01-11T00:00:00"/>
    <x v="3"/>
    <n v="1"/>
    <x v="4"/>
    <s v="15776-91507-GT"/>
    <s v="L-L-0.2"/>
    <n v="2"/>
    <x v="424"/>
    <s v="sbarribalcn@microsoft.com"/>
    <x v="1"/>
    <x v="3"/>
    <s v="L"/>
    <x v="3"/>
    <n v="4.7549999999999999"/>
    <x v="54"/>
    <x v="3"/>
    <x v="1"/>
  </r>
  <r>
    <s v="AJV-18231-334"/>
    <d v="2020-07-05T00:00:00"/>
    <x v="3"/>
    <n v="7"/>
    <x v="2"/>
    <s v="23473-41001-CD"/>
    <s v="R-D-2.5"/>
    <n v="2"/>
    <x v="425"/>
    <s v="aadamidesco@bizjournals.com"/>
    <x v="3"/>
    <x v="0"/>
    <s v="D"/>
    <x v="2"/>
    <n v="20.584999999999997"/>
    <x v="13"/>
    <x v="0"/>
    <x v="2"/>
  </r>
  <r>
    <s v="ZQI-47236-301"/>
    <d v="2019-07-25T00:00:00"/>
    <x v="0"/>
    <n v="7"/>
    <x v="2"/>
    <s v="23446-47798-ID"/>
    <s v="L-L-0.5"/>
    <n v="5"/>
    <x v="426"/>
    <s v="cthowescp@craigslist.org"/>
    <x v="0"/>
    <x v="3"/>
    <s v="L"/>
    <x v="1"/>
    <n v="9.51"/>
    <x v="46"/>
    <x v="3"/>
    <x v="1"/>
  </r>
  <r>
    <s v="ZCR-15721-658"/>
    <d v="2022-05-26T00:00:00"/>
    <x v="2"/>
    <n v="5"/>
    <x v="5"/>
    <s v="28327-84469-ND"/>
    <s v="A-M-1"/>
    <n v="4"/>
    <x v="427"/>
    <s v="rwillowaycq@admin.ch"/>
    <x v="0"/>
    <x v="2"/>
    <s v="M"/>
    <x v="0"/>
    <n v="11.25"/>
    <x v="157"/>
    <x v="2"/>
    <x v="0"/>
  </r>
  <r>
    <s v="QEW-47945-682"/>
    <d v="2020-01-10T00:00:00"/>
    <x v="3"/>
    <n v="1"/>
    <x v="4"/>
    <s v="42466-87067-DT"/>
    <s v="L-L-0.2"/>
    <n v="5"/>
    <x v="428"/>
    <s v="aelwincr@privacy.gov.au"/>
    <x v="0"/>
    <x v="3"/>
    <s v="L"/>
    <x v="3"/>
    <n v="4.7549999999999999"/>
    <x v="29"/>
    <x v="3"/>
    <x v="1"/>
  </r>
  <r>
    <s v="PSY-45485-542"/>
    <d v="2019-05-17T00:00:00"/>
    <x v="0"/>
    <n v="5"/>
    <x v="5"/>
    <s v="62246-99443-HF"/>
    <s v="R-D-0.5"/>
    <n v="3"/>
    <x v="429"/>
    <s v="abilbrookcs@booking.com"/>
    <x v="1"/>
    <x v="0"/>
    <s v="D"/>
    <x v="1"/>
    <n v="5.3699999999999992"/>
    <x v="103"/>
    <x v="0"/>
    <x v="2"/>
  </r>
  <r>
    <s v="BAQ-74241-156"/>
    <d v="2020-07-24T00:00:00"/>
    <x v="3"/>
    <n v="7"/>
    <x v="2"/>
    <s v="99869-55718-UU"/>
    <s v="R-D-0.2"/>
    <n v="4"/>
    <x v="430"/>
    <s v="rmckallct@sakura.ne.jp"/>
    <x v="3"/>
    <x v="0"/>
    <s v="D"/>
    <x v="3"/>
    <n v="2.6849999999999996"/>
    <x v="175"/>
    <x v="0"/>
    <x v="2"/>
  </r>
  <r>
    <s v="BVU-77367-451"/>
    <d v="2020-10-20T00:00:00"/>
    <x v="3"/>
    <n v="10"/>
    <x v="7"/>
    <s v="77421-46059-RY"/>
    <s v="A-D-1"/>
    <n v="5"/>
    <x v="431"/>
    <s v="bdailecu@vistaprint.com"/>
    <x v="0"/>
    <x v="2"/>
    <s v="D"/>
    <x v="0"/>
    <n v="9.9499999999999993"/>
    <x v="12"/>
    <x v="2"/>
    <x v="2"/>
  </r>
  <r>
    <s v="TJE-91516-344"/>
    <d v="2019-09-22T00:00:00"/>
    <x v="0"/>
    <n v="9"/>
    <x v="0"/>
    <s v="49894-06550-OQ"/>
    <s v="E-M-1"/>
    <n v="2"/>
    <x v="432"/>
    <s v="atrehernecv@state.tx.us"/>
    <x v="1"/>
    <x v="1"/>
    <s v="M"/>
    <x v="0"/>
    <n v="13.75"/>
    <x v="3"/>
    <x v="1"/>
    <x v="0"/>
  </r>
  <r>
    <s v="LIS-96202-702"/>
    <d v="2020-06-07T00:00:00"/>
    <x v="3"/>
    <n v="6"/>
    <x v="1"/>
    <s v="72028-63343-SU"/>
    <s v="L-D-2.5"/>
    <n v="4"/>
    <x v="433"/>
    <s v="abrentnallcw@biglobe.ne.jp"/>
    <x v="3"/>
    <x v="3"/>
    <s v="D"/>
    <x v="2"/>
    <n v="29.784999999999997"/>
    <x v="129"/>
    <x v="3"/>
    <x v="2"/>
  </r>
  <r>
    <s v="VIO-27668-766"/>
    <d v="2019-12-15T00:00:00"/>
    <x v="0"/>
    <n v="12"/>
    <x v="9"/>
    <s v="10074-20104-NN"/>
    <s v="R-D-2.5"/>
    <n v="1"/>
    <x v="434"/>
    <s v="ddrinkallcx@psu.edu"/>
    <x v="0"/>
    <x v="0"/>
    <s v="D"/>
    <x v="2"/>
    <n v="20.584999999999997"/>
    <x v="123"/>
    <x v="0"/>
    <x v="2"/>
  </r>
  <r>
    <s v="ZVG-20473-043"/>
    <d v="2020-12-06T00:00:00"/>
    <x v="3"/>
    <n v="12"/>
    <x v="9"/>
    <s v="71769-10219-IM"/>
    <s v="A-D-0.2"/>
    <n v="3"/>
    <x v="435"/>
    <s v="dkornelcy@cyberchimps.com"/>
    <x v="0"/>
    <x v="2"/>
    <s v="D"/>
    <x v="3"/>
    <n v="2.9849999999999999"/>
    <x v="169"/>
    <x v="2"/>
    <x v="2"/>
  </r>
  <r>
    <s v="KGZ-56395-231"/>
    <d v="2021-12-06T00:00:00"/>
    <x v="1"/>
    <n v="12"/>
    <x v="9"/>
    <s v="22221-71106-JD"/>
    <s v="A-D-0.5"/>
    <n v="1"/>
    <x v="436"/>
    <s v="rlequeuxcz@newyorker.com"/>
    <x v="0"/>
    <x v="2"/>
    <s v="D"/>
    <x v="1"/>
    <n v="5.97"/>
    <x v="9"/>
    <x v="2"/>
    <x v="2"/>
  </r>
  <r>
    <s v="CUU-92244-729"/>
    <d v="2020-07-11T00:00:00"/>
    <x v="3"/>
    <n v="7"/>
    <x v="2"/>
    <s v="99735-44927-OL"/>
    <s v="E-M-1"/>
    <n v="3"/>
    <x v="437"/>
    <s v="jmccaulld0@parallels.com"/>
    <x v="0"/>
    <x v="1"/>
    <s v="M"/>
    <x v="0"/>
    <n v="13.75"/>
    <x v="1"/>
    <x v="1"/>
    <x v="0"/>
  </r>
  <r>
    <s v="EHE-94714-312"/>
    <d v="2021-06-28T00:00:00"/>
    <x v="1"/>
    <n v="6"/>
    <x v="1"/>
    <s v="27132-68907-RC"/>
    <s v="E-L-0.2"/>
    <n v="5"/>
    <x v="438"/>
    <s v="abrashda@plala.or.jp"/>
    <x v="0"/>
    <x v="1"/>
    <s v="L"/>
    <x v="3"/>
    <n v="4.4550000000000001"/>
    <x v="110"/>
    <x v="1"/>
    <x v="1"/>
  </r>
  <r>
    <s v="RTL-16205-161"/>
    <d v="2022-04-05T00:00:00"/>
    <x v="2"/>
    <n v="4"/>
    <x v="8"/>
    <s v="90440-62727-HI"/>
    <s v="A-M-0.5"/>
    <n v="1"/>
    <x v="439"/>
    <s v="ahutchinsond2@imgur.com"/>
    <x v="0"/>
    <x v="2"/>
    <s v="M"/>
    <x v="1"/>
    <n v="6.75"/>
    <x v="52"/>
    <x v="2"/>
    <x v="0"/>
  </r>
  <r>
    <s v="GTS-22482-014"/>
    <d v="2022-03-24T00:00:00"/>
    <x v="2"/>
    <n v="3"/>
    <x v="6"/>
    <s v="36769-16558-SX"/>
    <s v="L-M-2.5"/>
    <n v="4"/>
    <x v="440"/>
    <s v=""/>
    <x v="0"/>
    <x v="3"/>
    <s v="M"/>
    <x v="2"/>
    <n v="33.464999999999996"/>
    <x v="136"/>
    <x v="3"/>
    <x v="0"/>
  </r>
  <r>
    <s v="DYG-25473-881"/>
    <d v="2020-02-08T00:00:00"/>
    <x v="3"/>
    <n v="2"/>
    <x v="10"/>
    <s v="10138-31681-SD"/>
    <s v="A-D-0.2"/>
    <n v="2"/>
    <x v="441"/>
    <s v="rdriversd4@hexun.com"/>
    <x v="0"/>
    <x v="2"/>
    <s v="D"/>
    <x v="3"/>
    <n v="2.9849999999999999"/>
    <x v="9"/>
    <x v="2"/>
    <x v="2"/>
  </r>
  <r>
    <s v="HTR-21838-286"/>
    <d v="2022-02-11T00:00:00"/>
    <x v="2"/>
    <n v="2"/>
    <x v="10"/>
    <s v="24669-76297-SF"/>
    <s v="A-L-1"/>
    <n v="2"/>
    <x v="442"/>
    <s v="hzeald5@google.de"/>
    <x v="0"/>
    <x v="2"/>
    <s v="L"/>
    <x v="0"/>
    <n v="12.95"/>
    <x v="109"/>
    <x v="2"/>
    <x v="1"/>
  </r>
  <r>
    <s v="KYG-28296-920"/>
    <d v="2020-07-02T00:00:00"/>
    <x v="3"/>
    <n v="7"/>
    <x v="2"/>
    <s v="78050-20355-DI"/>
    <s v="E-M-2.5"/>
    <n v="1"/>
    <x v="443"/>
    <s v="gsmallcombed6@ucla.edu"/>
    <x v="1"/>
    <x v="1"/>
    <s v="M"/>
    <x v="2"/>
    <n v="31.624999999999996"/>
    <x v="176"/>
    <x v="1"/>
    <x v="0"/>
  </r>
  <r>
    <s v="NNB-20459-430"/>
    <d v="2022-07-25T00:00:00"/>
    <x v="2"/>
    <n v="7"/>
    <x v="2"/>
    <s v="79825-17822-UH"/>
    <s v="L-M-0.2"/>
    <n v="2"/>
    <x v="444"/>
    <s v="ddibleyd7@feedburner.com"/>
    <x v="0"/>
    <x v="3"/>
    <s v="M"/>
    <x v="3"/>
    <n v="4.3650000000000002"/>
    <x v="31"/>
    <x v="3"/>
    <x v="0"/>
  </r>
  <r>
    <s v="FEK-14025-351"/>
    <d v="2021-03-19T00:00:00"/>
    <x v="1"/>
    <n v="3"/>
    <x v="6"/>
    <s v="03990-21586-MQ"/>
    <s v="E-L-0.2"/>
    <n v="6"/>
    <x v="445"/>
    <s v="gdimitrioud8@chronoengine.com"/>
    <x v="0"/>
    <x v="1"/>
    <s v="L"/>
    <x v="3"/>
    <n v="4.4550000000000001"/>
    <x v="149"/>
    <x v="1"/>
    <x v="1"/>
  </r>
  <r>
    <s v="AWH-16980-469"/>
    <d v="2020-05-11T00:00:00"/>
    <x v="3"/>
    <n v="5"/>
    <x v="5"/>
    <s v="27493-46921-TZ"/>
    <s v="L-M-0.2"/>
    <n v="6"/>
    <x v="446"/>
    <s v="fflanagand9@woothemes.com"/>
    <x v="0"/>
    <x v="3"/>
    <s v="M"/>
    <x v="3"/>
    <n v="4.3650000000000002"/>
    <x v="50"/>
    <x v="3"/>
    <x v="0"/>
  </r>
  <r>
    <s v="ZPW-31329-741"/>
    <d v="2019-06-08T00:00:00"/>
    <x v="0"/>
    <n v="6"/>
    <x v="1"/>
    <s v="27132-68907-RC"/>
    <s v="R-D-1"/>
    <n v="6"/>
    <x v="438"/>
    <s v="abrashda@plala.or.jp"/>
    <x v="0"/>
    <x v="0"/>
    <s v="D"/>
    <x v="0"/>
    <n v="8.9499999999999993"/>
    <x v="59"/>
    <x v="0"/>
    <x v="2"/>
  </r>
  <r>
    <s v="ZPW-31329-741"/>
    <d v="2019-06-08T00:00:00"/>
    <x v="0"/>
    <n v="6"/>
    <x v="1"/>
    <s v="27132-68907-RC"/>
    <s v="E-M-2.5"/>
    <n v="4"/>
    <x v="438"/>
    <s v="abrashda@plala.or.jp"/>
    <x v="0"/>
    <x v="1"/>
    <s v="M"/>
    <x v="2"/>
    <n v="31.624999999999996"/>
    <x v="177"/>
    <x v="1"/>
    <x v="0"/>
  </r>
  <r>
    <s v="ZPW-31329-741"/>
    <d v="2019-06-08T00:00:00"/>
    <x v="0"/>
    <n v="6"/>
    <x v="1"/>
    <s v="27132-68907-RC"/>
    <s v="E-M-0.2"/>
    <n v="1"/>
    <x v="28"/>
    <s v="Not Found"/>
    <x v="2"/>
    <x v="1"/>
    <s v="M"/>
    <x v="3"/>
    <n v="4.125"/>
    <x v="83"/>
    <x v="1"/>
    <x v="0"/>
  </r>
  <r>
    <s v="UBI-83843-396"/>
    <d v="2019-10-09T00:00:00"/>
    <x v="0"/>
    <n v="10"/>
    <x v="7"/>
    <s v="58816-74064-TF"/>
    <s v="R-L-1"/>
    <n v="2"/>
    <x v="447"/>
    <s v="nizhakovdd@aol.com"/>
    <x v="3"/>
    <x v="0"/>
    <s v="L"/>
    <x v="0"/>
    <n v="11.95"/>
    <x v="178"/>
    <x v="0"/>
    <x v="1"/>
  </r>
  <r>
    <s v="VID-40587-569"/>
    <d v="2021-02-20T00:00:00"/>
    <x v="1"/>
    <n v="2"/>
    <x v="10"/>
    <s v="09818-59895-EH"/>
    <s v="E-D-2.5"/>
    <n v="5"/>
    <x v="448"/>
    <s v="skeetsde@answers.com"/>
    <x v="0"/>
    <x v="1"/>
    <s v="D"/>
    <x v="2"/>
    <n v="27.945"/>
    <x v="141"/>
    <x v="1"/>
    <x v="2"/>
  </r>
  <r>
    <s v="KBB-52530-416"/>
    <d v="2019-11-21T00:00:00"/>
    <x v="0"/>
    <n v="11"/>
    <x v="11"/>
    <s v="06488-46303-IZ"/>
    <s v="L-D-2.5"/>
    <n v="2"/>
    <x v="449"/>
    <s v=""/>
    <x v="0"/>
    <x v="3"/>
    <s v="D"/>
    <x v="2"/>
    <n v="29.784999999999997"/>
    <x v="120"/>
    <x v="3"/>
    <x v="2"/>
  </r>
  <r>
    <s v="ISJ-48676-420"/>
    <d v="2021-10-10T00:00:00"/>
    <x v="1"/>
    <n v="10"/>
    <x v="7"/>
    <s v="93046-67561-AY"/>
    <s v="L-L-0.5"/>
    <n v="6"/>
    <x v="450"/>
    <s v="kcakedg@huffingtonpost.com"/>
    <x v="0"/>
    <x v="3"/>
    <s v="L"/>
    <x v="1"/>
    <n v="9.51"/>
    <x v="30"/>
    <x v="3"/>
    <x v="1"/>
  </r>
  <r>
    <s v="MIF-17920-768"/>
    <d v="2021-08-05T00:00:00"/>
    <x v="1"/>
    <n v="8"/>
    <x v="3"/>
    <s v="68946-40750-LK"/>
    <s v="R-L-0.2"/>
    <n v="6"/>
    <x v="451"/>
    <s v="mhanseddh@instagram.com"/>
    <x v="1"/>
    <x v="0"/>
    <s v="L"/>
    <x v="3"/>
    <n v="3.5849999999999995"/>
    <x v="137"/>
    <x v="0"/>
    <x v="1"/>
  </r>
  <r>
    <s v="CPX-19312-088"/>
    <d v="2020-07-31T00:00:00"/>
    <x v="3"/>
    <n v="7"/>
    <x v="2"/>
    <s v="38387-64959-WW"/>
    <s v="L-M-0.5"/>
    <n v="6"/>
    <x v="452"/>
    <s v="fkienleindi@trellian.com"/>
    <x v="1"/>
    <x v="3"/>
    <s v="M"/>
    <x v="1"/>
    <n v="8.73"/>
    <x v="28"/>
    <x v="3"/>
    <x v="0"/>
  </r>
  <r>
    <s v="RXI-67978-260"/>
    <d v="2020-09-19T00:00:00"/>
    <x v="3"/>
    <n v="9"/>
    <x v="0"/>
    <s v="48418-60841-CC"/>
    <s v="E-D-1"/>
    <n v="6"/>
    <x v="453"/>
    <s v="kegglestonedj@sphinn.com"/>
    <x v="1"/>
    <x v="1"/>
    <s v="D"/>
    <x v="0"/>
    <n v="12.15"/>
    <x v="118"/>
    <x v="1"/>
    <x v="2"/>
  </r>
  <r>
    <s v="LKE-14821-285"/>
    <d v="2020-05-03T00:00:00"/>
    <x v="3"/>
    <n v="5"/>
    <x v="5"/>
    <s v="13736-92418-JS"/>
    <s v="R-M-0.2"/>
    <n v="5"/>
    <x v="454"/>
    <s v="bsemkinsdk@unc.edu"/>
    <x v="1"/>
    <x v="0"/>
    <s v="M"/>
    <x v="3"/>
    <n v="2.9849999999999999"/>
    <x v="128"/>
    <x v="0"/>
    <x v="0"/>
  </r>
  <r>
    <s v="LRK-97117-150"/>
    <d v="2019-07-08T00:00:00"/>
    <x v="0"/>
    <n v="7"/>
    <x v="2"/>
    <s v="33000-22405-LO"/>
    <s v="L-L-1"/>
    <n v="6"/>
    <x v="455"/>
    <s v="slorenzettidl@is.gd"/>
    <x v="0"/>
    <x v="3"/>
    <s v="L"/>
    <x v="0"/>
    <n v="15.85"/>
    <x v="179"/>
    <x v="3"/>
    <x v="1"/>
  </r>
  <r>
    <s v="IGK-51227-573"/>
    <d v="2019-10-26T00:00:00"/>
    <x v="0"/>
    <n v="10"/>
    <x v="7"/>
    <s v="46959-60474-LT"/>
    <s v="L-D-0.5"/>
    <n v="2"/>
    <x v="456"/>
    <s v="bgiannazzidm@apple.com"/>
    <x v="0"/>
    <x v="3"/>
    <s v="D"/>
    <x v="1"/>
    <n v="7.77"/>
    <x v="42"/>
    <x v="3"/>
    <x v="2"/>
  </r>
  <r>
    <s v="ZAY-43009-775"/>
    <d v="2020-09-27T00:00:00"/>
    <x v="3"/>
    <n v="9"/>
    <x v="0"/>
    <s v="73431-39823-UP"/>
    <s v="L-D-0.2"/>
    <n v="6"/>
    <x v="457"/>
    <s v=""/>
    <x v="0"/>
    <x v="3"/>
    <s v="D"/>
    <x v="3"/>
    <n v="3.8849999999999998"/>
    <x v="102"/>
    <x v="3"/>
    <x v="2"/>
  </r>
  <r>
    <s v="EMA-63190-618"/>
    <d v="2022-02-28T00:00:00"/>
    <x v="2"/>
    <n v="2"/>
    <x v="10"/>
    <s v="90993-98984-JK"/>
    <s v="E-M-0.2"/>
    <n v="1"/>
    <x v="458"/>
    <s v="ulethbrigdo@hc360.com"/>
    <x v="0"/>
    <x v="1"/>
    <s v="M"/>
    <x v="3"/>
    <n v="4.125"/>
    <x v="83"/>
    <x v="1"/>
    <x v="0"/>
  </r>
  <r>
    <s v="FBI-35855-418"/>
    <d v="2020-09-16T00:00:00"/>
    <x v="3"/>
    <n v="9"/>
    <x v="0"/>
    <s v="06552-04430-AG"/>
    <s v="R-M-0.5"/>
    <n v="6"/>
    <x v="459"/>
    <s v="sfarnishdp@dmoz.org"/>
    <x v="3"/>
    <x v="0"/>
    <s v="M"/>
    <x v="1"/>
    <n v="5.97"/>
    <x v="27"/>
    <x v="0"/>
    <x v="0"/>
  </r>
  <r>
    <s v="TXB-80533-417"/>
    <d v="2020-10-28T00:00:00"/>
    <x v="3"/>
    <n v="10"/>
    <x v="7"/>
    <s v="54597-57004-QM"/>
    <s v="L-L-1"/>
    <n v="2"/>
    <x v="460"/>
    <s v="fjecockdq@unicef.org"/>
    <x v="0"/>
    <x v="3"/>
    <s v="L"/>
    <x v="0"/>
    <n v="15.85"/>
    <x v="124"/>
    <x v="3"/>
    <x v="1"/>
  </r>
  <r>
    <s v="MBM-00112-248"/>
    <d v="2019-09-02T00:00:00"/>
    <x v="0"/>
    <n v="9"/>
    <x v="0"/>
    <s v="50238-24377-ZS"/>
    <s v="L-L-1"/>
    <n v="5"/>
    <x v="461"/>
    <s v=""/>
    <x v="0"/>
    <x v="3"/>
    <s v="L"/>
    <x v="0"/>
    <n v="15.85"/>
    <x v="180"/>
    <x v="3"/>
    <x v="1"/>
  </r>
  <r>
    <s v="EUO-69145-988"/>
    <d v="2021-08-30T00:00:00"/>
    <x v="1"/>
    <n v="8"/>
    <x v="3"/>
    <s v="60370-41934-IF"/>
    <s v="E-D-0.2"/>
    <n v="3"/>
    <x v="462"/>
    <s v="hpallisterds@ning.com"/>
    <x v="0"/>
    <x v="1"/>
    <s v="D"/>
    <x v="3"/>
    <n v="3.645"/>
    <x v="47"/>
    <x v="1"/>
    <x v="2"/>
  </r>
  <r>
    <s v="GYA-80327-368"/>
    <d v="2021-06-04T00:00:00"/>
    <x v="1"/>
    <n v="6"/>
    <x v="1"/>
    <s v="06899-54551-EH"/>
    <s v="A-D-1"/>
    <n v="4"/>
    <x v="463"/>
    <s v="cmershdt@drupal.org"/>
    <x v="1"/>
    <x v="2"/>
    <s v="D"/>
    <x v="0"/>
    <n v="9.9499999999999993"/>
    <x v="10"/>
    <x v="2"/>
    <x v="2"/>
  </r>
  <r>
    <s v="TNW-41601-420"/>
    <d v="2020-11-24T00:00:00"/>
    <x v="3"/>
    <n v="11"/>
    <x v="11"/>
    <s v="66458-91190-YC"/>
    <s v="R-M-1"/>
    <n v="5"/>
    <x v="464"/>
    <s v="murione5@alexa.com"/>
    <x v="1"/>
    <x v="0"/>
    <s v="M"/>
    <x v="0"/>
    <n v="9.9499999999999993"/>
    <x v="12"/>
    <x v="0"/>
    <x v="0"/>
  </r>
  <r>
    <s v="ALR-62963-723"/>
    <d v="2020-06-21T00:00:00"/>
    <x v="3"/>
    <n v="6"/>
    <x v="1"/>
    <s v="80463-43913-WZ"/>
    <s v="R-D-0.2"/>
    <n v="3"/>
    <x v="465"/>
    <s v=""/>
    <x v="1"/>
    <x v="0"/>
    <s v="D"/>
    <x v="3"/>
    <n v="2.6849999999999996"/>
    <x v="36"/>
    <x v="0"/>
    <x v="2"/>
  </r>
  <r>
    <s v="JIG-27636-870"/>
    <d v="2020-07-13T00:00:00"/>
    <x v="3"/>
    <n v="7"/>
    <x v="2"/>
    <s v="67204-04870-LG"/>
    <s v="R-L-1"/>
    <n v="4"/>
    <x v="466"/>
    <s v=""/>
    <x v="0"/>
    <x v="0"/>
    <s v="L"/>
    <x v="0"/>
    <n v="11.95"/>
    <x v="62"/>
    <x v="0"/>
    <x v="1"/>
  </r>
  <r>
    <s v="CTE-31437-326"/>
    <d v="2019-01-02T00:00:00"/>
    <x v="0"/>
    <n v="1"/>
    <x v="4"/>
    <s v="22721-63196-UJ"/>
    <s v="R-M-0.2"/>
    <n v="4"/>
    <x v="467"/>
    <s v="gduckerdx@patch.com"/>
    <x v="3"/>
    <x v="0"/>
    <s v="M"/>
    <x v="3"/>
    <n v="2.9849999999999999"/>
    <x v="22"/>
    <x v="0"/>
    <x v="0"/>
  </r>
  <r>
    <s v="CTE-31437-326"/>
    <d v="2019-01-02T00:00:00"/>
    <x v="0"/>
    <n v="1"/>
    <x v="4"/>
    <s v="22721-63196-UJ"/>
    <s v="E-M-0.2"/>
    <n v="4"/>
    <x v="467"/>
    <s v="gduckerdx@patch.com"/>
    <x v="3"/>
    <x v="1"/>
    <s v="M"/>
    <x v="3"/>
    <n v="4.125"/>
    <x v="38"/>
    <x v="1"/>
    <x v="0"/>
  </r>
  <r>
    <s v="CTE-31437-326"/>
    <d v="2019-01-02T00:00:00"/>
    <x v="0"/>
    <n v="1"/>
    <x v="4"/>
    <s v="22721-63196-UJ"/>
    <s v="L-D-1"/>
    <n v="4"/>
    <x v="28"/>
    <s v="Not Found"/>
    <x v="2"/>
    <x v="3"/>
    <s v="D"/>
    <x v="0"/>
    <n v="12.95"/>
    <x v="67"/>
    <x v="3"/>
    <x v="2"/>
  </r>
  <r>
    <s v="CTE-31437-326"/>
    <d v="2019-01-02T00:00:00"/>
    <x v="0"/>
    <n v="1"/>
    <x v="4"/>
    <s v="22721-63196-UJ"/>
    <s v="L-L-0.2"/>
    <n v="3"/>
    <x v="28"/>
    <s v="Not Found"/>
    <x v="2"/>
    <x v="3"/>
    <s v="L"/>
    <x v="3"/>
    <n v="4.7549999999999999"/>
    <x v="181"/>
    <x v="3"/>
    <x v="1"/>
  </r>
  <r>
    <s v="SLD-63003-334"/>
    <d v="2022-02-17T00:00:00"/>
    <x v="2"/>
    <n v="2"/>
    <x v="10"/>
    <s v="55515-37571-RS"/>
    <s v="L-M-0.2"/>
    <n v="6"/>
    <x v="468"/>
    <s v="wstearleye1@census.gov"/>
    <x v="0"/>
    <x v="3"/>
    <s v="M"/>
    <x v="3"/>
    <n v="4.3650000000000002"/>
    <x v="50"/>
    <x v="3"/>
    <x v="0"/>
  </r>
  <r>
    <s v="BXN-64230-789"/>
    <d v="2020-12-19T00:00:00"/>
    <x v="3"/>
    <n v="12"/>
    <x v="9"/>
    <s v="25598-77476-CB"/>
    <s v="A-L-1"/>
    <n v="2"/>
    <x v="469"/>
    <s v="dwincere2@marriott.com"/>
    <x v="0"/>
    <x v="2"/>
    <s v="L"/>
    <x v="0"/>
    <n v="12.95"/>
    <x v="109"/>
    <x v="2"/>
    <x v="1"/>
  </r>
  <r>
    <s v="XEE-37895-169"/>
    <d v="2019-02-20T00:00:00"/>
    <x v="0"/>
    <n v="2"/>
    <x v="10"/>
    <s v="14888-85625-TM"/>
    <s v="A-L-2.5"/>
    <n v="3"/>
    <x v="470"/>
    <s v="plyfielde3@baidu.com"/>
    <x v="0"/>
    <x v="2"/>
    <s v="L"/>
    <x v="2"/>
    <n v="29.784999999999997"/>
    <x v="49"/>
    <x v="2"/>
    <x v="1"/>
  </r>
  <r>
    <s v="ZTX-80764-911"/>
    <d v="2021-01-14T00:00:00"/>
    <x v="1"/>
    <n v="1"/>
    <x v="4"/>
    <s v="92793-68332-NR"/>
    <s v="L-D-0.5"/>
    <n v="6"/>
    <x v="471"/>
    <s v="hperrise4@studiopress.com"/>
    <x v="1"/>
    <x v="3"/>
    <s v="D"/>
    <x v="1"/>
    <n v="7.77"/>
    <x v="162"/>
    <x v="3"/>
    <x v="2"/>
  </r>
  <r>
    <s v="WVT-88135-549"/>
    <d v="2019-11-16T00:00:00"/>
    <x v="0"/>
    <n v="11"/>
    <x v="11"/>
    <s v="66458-91190-YC"/>
    <s v="A-D-1"/>
    <n v="3"/>
    <x v="464"/>
    <s v="murione5@alexa.com"/>
    <x v="1"/>
    <x v="2"/>
    <s v="D"/>
    <x v="0"/>
    <n v="9.9499999999999993"/>
    <x v="44"/>
    <x v="2"/>
    <x v="2"/>
  </r>
  <r>
    <s v="IPA-94170-889"/>
    <d v="2019-12-04T00:00:00"/>
    <x v="0"/>
    <n v="12"/>
    <x v="9"/>
    <s v="64439-27325-LG"/>
    <s v="R-L-0.2"/>
    <n v="3"/>
    <x v="472"/>
    <s v="ckide6@narod.ru"/>
    <x v="1"/>
    <x v="0"/>
    <s v="L"/>
    <x v="3"/>
    <n v="3.5849999999999995"/>
    <x v="127"/>
    <x v="0"/>
    <x v="1"/>
  </r>
  <r>
    <s v="YQL-63755-365"/>
    <d v="2020-07-31T00:00:00"/>
    <x v="3"/>
    <n v="7"/>
    <x v="2"/>
    <s v="78570-76770-LB"/>
    <s v="A-M-0.2"/>
    <n v="4"/>
    <x v="473"/>
    <s v="cbeinee7@xinhuanet.com"/>
    <x v="0"/>
    <x v="2"/>
    <s v="M"/>
    <x v="3"/>
    <n v="3.375"/>
    <x v="72"/>
    <x v="2"/>
    <x v="0"/>
  </r>
  <r>
    <s v="RKW-81145-984"/>
    <d v="2019-03-11T00:00:00"/>
    <x v="0"/>
    <n v="3"/>
    <x v="6"/>
    <s v="98661-69719-VI"/>
    <s v="L-L-1"/>
    <n v="3"/>
    <x v="474"/>
    <s v="cbakeupe8@globo.com"/>
    <x v="0"/>
    <x v="3"/>
    <s v="L"/>
    <x v="0"/>
    <n v="15.85"/>
    <x v="46"/>
    <x v="3"/>
    <x v="1"/>
  </r>
  <r>
    <s v="MBT-23379-866"/>
    <d v="2022-05-10T00:00:00"/>
    <x v="2"/>
    <n v="5"/>
    <x v="5"/>
    <s v="82990-92703-IX"/>
    <s v="L-L-1"/>
    <n v="5"/>
    <x v="475"/>
    <s v="nhelkine9@example.com"/>
    <x v="0"/>
    <x v="3"/>
    <s v="L"/>
    <x v="0"/>
    <n v="15.85"/>
    <x v="180"/>
    <x v="3"/>
    <x v="1"/>
  </r>
  <r>
    <s v="GEJ-39834-935"/>
    <d v="2021-12-25T00:00:00"/>
    <x v="1"/>
    <n v="12"/>
    <x v="9"/>
    <s v="49412-86877-VY"/>
    <s v="L-M-0.2"/>
    <n v="6"/>
    <x v="476"/>
    <s v="pwitheringtonea@networkadvertising.org"/>
    <x v="0"/>
    <x v="3"/>
    <s v="M"/>
    <x v="3"/>
    <n v="4.3650000000000002"/>
    <x v="50"/>
    <x v="3"/>
    <x v="0"/>
  </r>
  <r>
    <s v="KRW-91640-596"/>
    <d v="2022-04-22T00:00:00"/>
    <x v="2"/>
    <n v="4"/>
    <x v="8"/>
    <s v="70879-00984-FJ"/>
    <s v="R-L-0.5"/>
    <n v="3"/>
    <x v="477"/>
    <s v="ttilzeyeb@hostgator.com"/>
    <x v="0"/>
    <x v="0"/>
    <s v="L"/>
    <x v="1"/>
    <n v="7.169999999999999"/>
    <x v="137"/>
    <x v="0"/>
    <x v="1"/>
  </r>
  <r>
    <s v="AOT-70449-651"/>
    <d v="2022-06-11T00:00:00"/>
    <x v="2"/>
    <n v="6"/>
    <x v="1"/>
    <s v="53414-73391-CR"/>
    <s v="R-D-2.5"/>
    <n v="5"/>
    <x v="478"/>
    <s v=""/>
    <x v="0"/>
    <x v="0"/>
    <s v="D"/>
    <x v="2"/>
    <n v="20.584999999999997"/>
    <x v="182"/>
    <x v="0"/>
    <x v="2"/>
  </r>
  <r>
    <s v="DGC-21813-731"/>
    <d v="2022-04-27T00:00:00"/>
    <x v="2"/>
    <n v="4"/>
    <x v="8"/>
    <s v="43606-83072-OA"/>
    <s v="L-D-0.2"/>
    <n v="2"/>
    <x v="479"/>
    <s v=""/>
    <x v="0"/>
    <x v="3"/>
    <s v="D"/>
    <x v="3"/>
    <n v="3.8849999999999998"/>
    <x v="41"/>
    <x v="3"/>
    <x v="2"/>
  </r>
  <r>
    <s v="JBE-92943-643"/>
    <d v="2020-12-29T00:00:00"/>
    <x v="3"/>
    <n v="12"/>
    <x v="9"/>
    <s v="84466-22864-CE"/>
    <s v="E-D-2.5"/>
    <n v="5"/>
    <x v="480"/>
    <s v="kimortsee@alexa.com"/>
    <x v="0"/>
    <x v="1"/>
    <s v="D"/>
    <x v="2"/>
    <n v="27.945"/>
    <x v="141"/>
    <x v="1"/>
    <x v="2"/>
  </r>
  <r>
    <s v="ZIL-34948-499"/>
    <d v="2020-07-14T00:00:00"/>
    <x v="3"/>
    <n v="7"/>
    <x v="2"/>
    <s v="66458-91190-YC"/>
    <s v="A-D-0.5"/>
    <n v="2"/>
    <x v="28"/>
    <s v="Not Found"/>
    <x v="2"/>
    <x v="2"/>
    <s v="D"/>
    <x v="1"/>
    <n v="5.97"/>
    <x v="22"/>
    <x v="2"/>
    <x v="2"/>
  </r>
  <r>
    <s v="JSU-23781-256"/>
    <d v="2021-09-07T00:00:00"/>
    <x v="1"/>
    <n v="9"/>
    <x v="0"/>
    <s v="76499-89100-JQ"/>
    <s v="L-D-0.2"/>
    <n v="1"/>
    <x v="481"/>
    <s v="marmisteadeg@blogtalkradio.com"/>
    <x v="0"/>
    <x v="3"/>
    <s v="D"/>
    <x v="3"/>
    <n v="3.8849999999999998"/>
    <x v="84"/>
    <x v="3"/>
    <x v="2"/>
  </r>
  <r>
    <s v="JSU-23781-256"/>
    <d v="2021-09-07T00:00:00"/>
    <x v="1"/>
    <n v="9"/>
    <x v="0"/>
    <s v="76499-89100-JQ"/>
    <s v="R-M-1"/>
    <n v="4"/>
    <x v="481"/>
    <s v="marmisteadeg@blogtalkradio.com"/>
    <x v="0"/>
    <x v="0"/>
    <s v="M"/>
    <x v="0"/>
    <n v="9.9499999999999993"/>
    <x v="10"/>
    <x v="0"/>
    <x v="0"/>
  </r>
  <r>
    <s v="VPX-44956-367"/>
    <d v="2019-06-09T00:00:00"/>
    <x v="0"/>
    <n v="6"/>
    <x v="1"/>
    <s v="39582-35773-ZJ"/>
    <s v="R-M-0.5"/>
    <n v="5"/>
    <x v="482"/>
    <s v="vupstoneei@google.pl"/>
    <x v="0"/>
    <x v="0"/>
    <s v="M"/>
    <x v="1"/>
    <n v="5.97"/>
    <x v="44"/>
    <x v="0"/>
    <x v="0"/>
  </r>
  <r>
    <s v="VTB-46451-959"/>
    <d v="2020-10-25T00:00:00"/>
    <x v="3"/>
    <n v="10"/>
    <x v="7"/>
    <s v="66240-46962-IO"/>
    <s v="L-D-2.5"/>
    <n v="1"/>
    <x v="483"/>
    <s v="bbeelbyej@rediff.com"/>
    <x v="1"/>
    <x v="3"/>
    <s v="D"/>
    <x v="2"/>
    <n v="29.784999999999997"/>
    <x v="91"/>
    <x v="3"/>
    <x v="2"/>
  </r>
  <r>
    <s v="DNZ-11665-950"/>
    <d v="2021-02-28T00:00:00"/>
    <x v="1"/>
    <n v="2"/>
    <x v="10"/>
    <s v="10637-45522-ID"/>
    <s v="L-L-2.5"/>
    <n v="2"/>
    <x v="484"/>
    <s v=""/>
    <x v="0"/>
    <x v="3"/>
    <s v="L"/>
    <x v="2"/>
    <n v="36.454999999999998"/>
    <x v="37"/>
    <x v="3"/>
    <x v="1"/>
  </r>
  <r>
    <s v="ITR-54735-364"/>
    <d v="2020-07-26T00:00:00"/>
    <x v="3"/>
    <n v="7"/>
    <x v="2"/>
    <s v="92599-58687-CS"/>
    <s v="R-D-0.2"/>
    <n v="5"/>
    <x v="485"/>
    <s v=""/>
    <x v="0"/>
    <x v="0"/>
    <s v="D"/>
    <x v="3"/>
    <n v="2.6849999999999996"/>
    <x v="148"/>
    <x v="0"/>
    <x v="2"/>
  </r>
  <r>
    <s v="YDS-02797-307"/>
    <d v="2022-06-05T00:00:00"/>
    <x v="2"/>
    <n v="6"/>
    <x v="1"/>
    <s v="06058-48844-PI"/>
    <s v="E-M-2.5"/>
    <n v="4"/>
    <x v="486"/>
    <s v="wspeechlyem@amazon.com"/>
    <x v="0"/>
    <x v="1"/>
    <s v="M"/>
    <x v="2"/>
    <n v="31.624999999999996"/>
    <x v="177"/>
    <x v="1"/>
    <x v="0"/>
  </r>
  <r>
    <s v="BPG-68988-842"/>
    <d v="2019-02-21T00:00:00"/>
    <x v="0"/>
    <n v="2"/>
    <x v="10"/>
    <s v="53631-24432-SY"/>
    <s v="E-M-0.5"/>
    <n v="5"/>
    <x v="487"/>
    <s v="iphillpoten@buzzfeed.com"/>
    <x v="3"/>
    <x v="1"/>
    <s v="M"/>
    <x v="1"/>
    <n v="8.25"/>
    <x v="1"/>
    <x v="1"/>
    <x v="0"/>
  </r>
  <r>
    <s v="XZG-51938-658"/>
    <d v="2020-04-05T00:00:00"/>
    <x v="3"/>
    <n v="4"/>
    <x v="8"/>
    <s v="18275-73980-KL"/>
    <s v="E-L-0.5"/>
    <n v="6"/>
    <x v="488"/>
    <s v="lpennaccieo@statcounter.com"/>
    <x v="0"/>
    <x v="1"/>
    <s v="L"/>
    <x v="1"/>
    <n v="8.91"/>
    <x v="119"/>
    <x v="1"/>
    <x v="1"/>
  </r>
  <r>
    <s v="KAR-24978-271"/>
    <d v="2019-01-10T00:00:00"/>
    <x v="0"/>
    <n v="1"/>
    <x v="4"/>
    <s v="23187-65750-HZ"/>
    <s v="R-M-1"/>
    <n v="6"/>
    <x v="489"/>
    <s v="sarpinep@moonfruit.com"/>
    <x v="0"/>
    <x v="0"/>
    <s v="M"/>
    <x v="0"/>
    <n v="9.9499999999999993"/>
    <x v="33"/>
    <x v="0"/>
    <x v="0"/>
  </r>
  <r>
    <s v="FQK-28730-361"/>
    <d v="2022-04-12T00:00:00"/>
    <x v="2"/>
    <n v="4"/>
    <x v="8"/>
    <s v="22725-79522-GP"/>
    <s v="R-M-1"/>
    <n v="6"/>
    <x v="490"/>
    <s v="dfrieseq@cargocollective.com"/>
    <x v="0"/>
    <x v="0"/>
    <s v="M"/>
    <x v="0"/>
    <n v="9.9499999999999993"/>
    <x v="33"/>
    <x v="0"/>
    <x v="0"/>
  </r>
  <r>
    <s v="BGB-67996-089"/>
    <d v="2022-01-30T00:00:00"/>
    <x v="2"/>
    <n v="1"/>
    <x v="4"/>
    <s v="06279-72603-JE"/>
    <s v="R-D-1"/>
    <n v="5"/>
    <x v="491"/>
    <s v="rsharerer@flavors.me"/>
    <x v="0"/>
    <x v="0"/>
    <s v="D"/>
    <x v="0"/>
    <n v="8.9499999999999993"/>
    <x v="153"/>
    <x v="0"/>
    <x v="2"/>
  </r>
  <r>
    <s v="XMC-20620-809"/>
    <d v="2021-05-14T00:00:00"/>
    <x v="1"/>
    <n v="5"/>
    <x v="5"/>
    <s v="83543-79246-ON"/>
    <s v="E-M-0.5"/>
    <n v="2"/>
    <x v="492"/>
    <s v="nnasebyes@umich.edu"/>
    <x v="0"/>
    <x v="1"/>
    <s v="M"/>
    <x v="1"/>
    <n v="8.25"/>
    <x v="38"/>
    <x v="1"/>
    <x v="0"/>
  </r>
  <r>
    <s v="ZSO-58292-191"/>
    <d v="2022-06-12T00:00:00"/>
    <x v="2"/>
    <n v="6"/>
    <x v="1"/>
    <s v="66794-66795-VW"/>
    <s v="R-D-0.5"/>
    <n v="4"/>
    <x v="493"/>
    <s v=""/>
    <x v="0"/>
    <x v="0"/>
    <s v="D"/>
    <x v="1"/>
    <n v="5.3699999999999992"/>
    <x v="155"/>
    <x v="0"/>
    <x v="2"/>
  </r>
  <r>
    <s v="LWJ-06793-303"/>
    <d v="2022-01-02T00:00:00"/>
    <x v="2"/>
    <n v="1"/>
    <x v="4"/>
    <s v="95424-67020-AP"/>
    <s v="R-M-2.5"/>
    <n v="2"/>
    <x v="494"/>
    <s v="koculleneu@ca.gov"/>
    <x v="1"/>
    <x v="0"/>
    <s v="M"/>
    <x v="2"/>
    <n v="22.884999999999998"/>
    <x v="135"/>
    <x v="0"/>
    <x v="0"/>
  </r>
  <r>
    <s v="FLM-82229-989"/>
    <d v="2022-01-24T00:00:00"/>
    <x v="2"/>
    <n v="1"/>
    <x v="4"/>
    <s v="73017-69644-MS"/>
    <s v="L-L-0.2"/>
    <n v="2"/>
    <x v="495"/>
    <s v=""/>
    <x v="1"/>
    <x v="3"/>
    <s v="L"/>
    <x v="3"/>
    <n v="4.7549999999999999"/>
    <x v="54"/>
    <x v="3"/>
    <x v="1"/>
  </r>
  <r>
    <s v="CPV-90280-133"/>
    <d v="2019-03-20T00:00:00"/>
    <x v="0"/>
    <n v="3"/>
    <x v="6"/>
    <s v="66458-91190-YC"/>
    <s v="R-D-0.2"/>
    <n v="3"/>
    <x v="28"/>
    <s v="Not Found"/>
    <x v="2"/>
    <x v="0"/>
    <s v="D"/>
    <x v="3"/>
    <n v="2.6849999999999996"/>
    <x v="36"/>
    <x v="0"/>
    <x v="2"/>
  </r>
  <r>
    <s v="OGW-60685-912"/>
    <d v="2020-11-21T00:00:00"/>
    <x v="3"/>
    <n v="11"/>
    <x v="11"/>
    <s v="67423-10113-LM"/>
    <s v="E-D-2.5"/>
    <n v="4"/>
    <x v="496"/>
    <s v="hbranganex@woothemes.com"/>
    <x v="0"/>
    <x v="1"/>
    <s v="D"/>
    <x v="2"/>
    <n v="27.945"/>
    <x v="150"/>
    <x v="1"/>
    <x v="2"/>
  </r>
  <r>
    <s v="DEC-11160-362"/>
    <d v="2021-10-13T00:00:00"/>
    <x v="1"/>
    <n v="10"/>
    <x v="7"/>
    <s v="48582-05061-RY"/>
    <s v="R-D-0.2"/>
    <n v="4"/>
    <x v="497"/>
    <s v="agallyoney@engadget.com"/>
    <x v="0"/>
    <x v="0"/>
    <s v="D"/>
    <x v="3"/>
    <n v="2.6849999999999996"/>
    <x v="175"/>
    <x v="0"/>
    <x v="2"/>
  </r>
  <r>
    <s v="WCT-07869-499"/>
    <d v="2021-10-19T00:00:00"/>
    <x v="1"/>
    <n v="10"/>
    <x v="7"/>
    <s v="32031-49093-KE"/>
    <s v="R-D-0.5"/>
    <n v="5"/>
    <x v="498"/>
    <s v="bdomangeez@yahoo.co.jp"/>
    <x v="0"/>
    <x v="0"/>
    <s v="D"/>
    <x v="1"/>
    <n v="5.3699999999999992"/>
    <x v="51"/>
    <x v="0"/>
    <x v="2"/>
  </r>
  <r>
    <s v="FHD-89872-325"/>
    <d v="2019-04-29T00:00:00"/>
    <x v="0"/>
    <n v="4"/>
    <x v="8"/>
    <s v="31715-98714-OO"/>
    <s v="L-L-1"/>
    <n v="4"/>
    <x v="499"/>
    <s v="koslerf0@gmpg.org"/>
    <x v="0"/>
    <x v="3"/>
    <s v="L"/>
    <x v="0"/>
    <n v="15.85"/>
    <x v="165"/>
    <x v="3"/>
    <x v="1"/>
  </r>
  <r>
    <s v="AZF-45991-584"/>
    <d v="2019-10-12T00:00:00"/>
    <x v="0"/>
    <n v="10"/>
    <x v="7"/>
    <s v="73759-17258-KA"/>
    <s v="A-D-2.5"/>
    <n v="1"/>
    <x v="500"/>
    <s v=""/>
    <x v="1"/>
    <x v="2"/>
    <s v="D"/>
    <x v="2"/>
    <n v="22.884999999999998"/>
    <x v="156"/>
    <x v="2"/>
    <x v="2"/>
  </r>
  <r>
    <s v="MDG-14481-513"/>
    <d v="2021-05-19T00:00:00"/>
    <x v="1"/>
    <n v="5"/>
    <x v="5"/>
    <s v="64897-79178-MH"/>
    <s v="A-M-2.5"/>
    <n v="4"/>
    <x v="501"/>
    <s v="zpellettf2@dailymotion.com"/>
    <x v="0"/>
    <x v="2"/>
    <s v="M"/>
    <x v="2"/>
    <n v="25.874999999999996"/>
    <x v="68"/>
    <x v="2"/>
    <x v="0"/>
  </r>
  <r>
    <s v="OFN-49424-848"/>
    <d v="2021-07-03T00:00:00"/>
    <x v="1"/>
    <n v="7"/>
    <x v="2"/>
    <s v="73346-85564-JB"/>
    <s v="R-L-2.5"/>
    <n v="2"/>
    <x v="502"/>
    <s v="isprakesf3@spiegel.de"/>
    <x v="0"/>
    <x v="0"/>
    <s v="L"/>
    <x v="2"/>
    <n v="27.484999999999996"/>
    <x v="4"/>
    <x v="0"/>
    <x v="1"/>
  </r>
  <r>
    <s v="NFA-03411-746"/>
    <d v="2020-02-08T00:00:00"/>
    <x v="3"/>
    <n v="2"/>
    <x v="10"/>
    <s v="07476-13102-NJ"/>
    <s v="A-L-0.5"/>
    <n v="2"/>
    <x v="503"/>
    <s v="hfromantf4@ucsd.edu"/>
    <x v="0"/>
    <x v="2"/>
    <s v="L"/>
    <x v="1"/>
    <n v="7.77"/>
    <x v="42"/>
    <x v="2"/>
    <x v="1"/>
  </r>
  <r>
    <s v="CYM-74988-450"/>
    <d v="2020-10-16T00:00:00"/>
    <x v="3"/>
    <n v="10"/>
    <x v="7"/>
    <s v="87223-37422-SK"/>
    <s v="L-D-0.2"/>
    <n v="4"/>
    <x v="504"/>
    <s v="rflearf5@artisteer.com"/>
    <x v="3"/>
    <x v="3"/>
    <s v="D"/>
    <x v="3"/>
    <n v="3.8849999999999998"/>
    <x v="42"/>
    <x v="3"/>
    <x v="2"/>
  </r>
  <r>
    <s v="WTV-24996-658"/>
    <d v="2020-10-23T00:00:00"/>
    <x v="3"/>
    <n v="10"/>
    <x v="7"/>
    <s v="57837-15577-YK"/>
    <s v="E-D-2.5"/>
    <n v="3"/>
    <x v="505"/>
    <s v=""/>
    <x v="1"/>
    <x v="1"/>
    <s v="D"/>
    <x v="2"/>
    <n v="27.945"/>
    <x v="171"/>
    <x v="1"/>
    <x v="2"/>
  </r>
  <r>
    <s v="DSL-69915-544"/>
    <d v="2021-03-10T00:00:00"/>
    <x v="1"/>
    <n v="3"/>
    <x v="6"/>
    <s v="10142-55267-YO"/>
    <s v="R-L-0.2"/>
    <n v="3"/>
    <x v="506"/>
    <s v="wlightollersf9@baidu.com"/>
    <x v="0"/>
    <x v="0"/>
    <s v="L"/>
    <x v="3"/>
    <n v="3.5849999999999995"/>
    <x v="127"/>
    <x v="0"/>
    <x v="1"/>
  </r>
  <r>
    <s v="NBT-35757-542"/>
    <d v="2021-07-07T00:00:00"/>
    <x v="1"/>
    <n v="7"/>
    <x v="2"/>
    <s v="73647-66148-VM"/>
    <s v="E-L-0.2"/>
    <n v="3"/>
    <x v="507"/>
    <s v="bmundenf8@elpais.com"/>
    <x v="0"/>
    <x v="1"/>
    <s v="L"/>
    <x v="3"/>
    <n v="4.4550000000000001"/>
    <x v="77"/>
    <x v="1"/>
    <x v="1"/>
  </r>
  <r>
    <s v="OYU-25085-528"/>
    <d v="2021-02-05T00:00:00"/>
    <x v="1"/>
    <n v="2"/>
    <x v="10"/>
    <s v="10142-55267-YO"/>
    <s v="E-L-0.2"/>
    <n v="4"/>
    <x v="506"/>
    <s v="wlightollersf9@baidu.com"/>
    <x v="0"/>
    <x v="1"/>
    <s v="L"/>
    <x v="3"/>
    <n v="4.4550000000000001"/>
    <x v="58"/>
    <x v="1"/>
    <x v="1"/>
  </r>
  <r>
    <s v="XCG-07109-195"/>
    <d v="2020-12-11T00:00:00"/>
    <x v="3"/>
    <n v="12"/>
    <x v="9"/>
    <s v="92976-19453-DT"/>
    <s v="L-D-0.2"/>
    <n v="6"/>
    <x v="508"/>
    <s v="nbrakespearfa@rediff.com"/>
    <x v="0"/>
    <x v="3"/>
    <s v="D"/>
    <x v="3"/>
    <n v="3.8849999999999998"/>
    <x v="102"/>
    <x v="3"/>
    <x v="2"/>
  </r>
  <r>
    <s v="YZA-25234-630"/>
    <d v="2022-05-13T00:00:00"/>
    <x v="2"/>
    <n v="5"/>
    <x v="5"/>
    <s v="89757-51438-HX"/>
    <s v="E-D-0.2"/>
    <n v="2"/>
    <x v="509"/>
    <s v="mglawsopfb@reverbnation.com"/>
    <x v="0"/>
    <x v="1"/>
    <s v="D"/>
    <x v="3"/>
    <n v="3.645"/>
    <x v="35"/>
    <x v="1"/>
    <x v="2"/>
  </r>
  <r>
    <s v="OKU-29966-417"/>
    <d v="2019-10-23T00:00:00"/>
    <x v="0"/>
    <n v="10"/>
    <x v="7"/>
    <s v="76192-13390-HZ"/>
    <s v="E-L-0.2"/>
    <n v="4"/>
    <x v="510"/>
    <s v="galbertsfc@etsy.com"/>
    <x v="3"/>
    <x v="1"/>
    <s v="L"/>
    <x v="3"/>
    <n v="4.4550000000000001"/>
    <x v="58"/>
    <x v="1"/>
    <x v="1"/>
  </r>
  <r>
    <s v="MEX-29350-659"/>
    <d v="2020-09-11T00:00:00"/>
    <x v="3"/>
    <n v="9"/>
    <x v="0"/>
    <s v="02009-87294-SY"/>
    <s v="E-M-1"/>
    <n v="5"/>
    <x v="511"/>
    <s v="vpolglasefd@about.me"/>
    <x v="0"/>
    <x v="1"/>
    <s v="M"/>
    <x v="0"/>
    <n v="13.75"/>
    <x v="85"/>
    <x v="1"/>
    <x v="0"/>
  </r>
  <r>
    <s v="NOY-99738-977"/>
    <d v="2019-09-29T00:00:00"/>
    <x v="0"/>
    <n v="9"/>
    <x v="0"/>
    <s v="82872-34456-LJ"/>
    <s v="R-L-2.5"/>
    <n v="2"/>
    <x v="512"/>
    <s v=""/>
    <x v="3"/>
    <x v="0"/>
    <s v="L"/>
    <x v="2"/>
    <n v="27.484999999999996"/>
    <x v="4"/>
    <x v="0"/>
    <x v="1"/>
  </r>
  <r>
    <s v="TCR-01064-030"/>
    <d v="2021-03-03T00:00:00"/>
    <x v="1"/>
    <n v="3"/>
    <x v="6"/>
    <s v="13181-04387-LI"/>
    <s v="E-M-1"/>
    <n v="6"/>
    <x v="513"/>
    <s v="sbuschff@so-net.ne.jp"/>
    <x v="1"/>
    <x v="1"/>
    <s v="M"/>
    <x v="0"/>
    <n v="13.75"/>
    <x v="121"/>
    <x v="1"/>
    <x v="0"/>
  </r>
  <r>
    <s v="YUL-42750-776"/>
    <d v="2021-11-23T00:00:00"/>
    <x v="1"/>
    <n v="11"/>
    <x v="11"/>
    <s v="24845-36117-TI"/>
    <s v="L-M-0.2"/>
    <n v="2"/>
    <x v="514"/>
    <s v="craisbeckfg@webnode.com"/>
    <x v="0"/>
    <x v="3"/>
    <s v="M"/>
    <x v="3"/>
    <n v="4.3650000000000002"/>
    <x v="31"/>
    <x v="3"/>
    <x v="0"/>
  </r>
  <r>
    <s v="XQJ-86887-506"/>
    <d v="2021-11-06T00:00:00"/>
    <x v="1"/>
    <n v="11"/>
    <x v="11"/>
    <s v="66458-91190-YC"/>
    <s v="E-L-1"/>
    <n v="4"/>
    <x v="28"/>
    <s v="Not Found"/>
    <x v="2"/>
    <x v="1"/>
    <s v="L"/>
    <x v="0"/>
    <n v="14.85"/>
    <x v="48"/>
    <x v="1"/>
    <x v="1"/>
  </r>
  <r>
    <s v="CUN-90044-279"/>
    <d v="2021-01-29T00:00:00"/>
    <x v="1"/>
    <n v="1"/>
    <x v="4"/>
    <s v="86646-65810-TD"/>
    <s v="L-D-0.2"/>
    <n v="4"/>
    <x v="515"/>
    <s v=""/>
    <x v="0"/>
    <x v="3"/>
    <s v="D"/>
    <x v="3"/>
    <n v="3.8849999999999998"/>
    <x v="42"/>
    <x v="3"/>
    <x v="2"/>
  </r>
  <r>
    <s v="ICC-73030-502"/>
    <d v="2022-04-16T00:00:00"/>
    <x v="2"/>
    <n v="4"/>
    <x v="8"/>
    <s v="59480-02795-IU"/>
    <s v="A-L-1"/>
    <n v="3"/>
    <x v="516"/>
    <s v="raynoldfj@ustream.tv"/>
    <x v="0"/>
    <x v="2"/>
    <s v="L"/>
    <x v="0"/>
    <n v="12.95"/>
    <x v="5"/>
    <x v="2"/>
    <x v="1"/>
  </r>
  <r>
    <s v="ADP-04506-084"/>
    <d v="2021-07-24T00:00:00"/>
    <x v="1"/>
    <n v="7"/>
    <x v="2"/>
    <s v="61809-87758-LJ"/>
    <s v="E-M-2.5"/>
    <n v="6"/>
    <x v="517"/>
    <s v=""/>
    <x v="0"/>
    <x v="1"/>
    <s v="M"/>
    <x v="2"/>
    <n v="31.624999999999996"/>
    <x v="152"/>
    <x v="1"/>
    <x v="0"/>
  </r>
  <r>
    <s v="PNU-22150-408"/>
    <d v="2019-08-11T00:00:00"/>
    <x v="0"/>
    <n v="8"/>
    <x v="3"/>
    <s v="77408-43873-RS"/>
    <s v="A-D-0.2"/>
    <n v="6"/>
    <x v="518"/>
    <s v=""/>
    <x v="1"/>
    <x v="2"/>
    <s v="D"/>
    <x v="3"/>
    <n v="2.9849999999999999"/>
    <x v="8"/>
    <x v="2"/>
    <x v="2"/>
  </r>
  <r>
    <s v="VSQ-07182-513"/>
    <d v="2019-07-23T00:00:00"/>
    <x v="0"/>
    <n v="7"/>
    <x v="2"/>
    <s v="18366-65239-WF"/>
    <s v="L-L-0.2"/>
    <n v="6"/>
    <x v="519"/>
    <s v="bgrecefm@naver.com"/>
    <x v="3"/>
    <x v="3"/>
    <s v="L"/>
    <x v="3"/>
    <n v="4.7549999999999999"/>
    <x v="32"/>
    <x v="3"/>
    <x v="1"/>
  </r>
  <r>
    <s v="SPF-31673-217"/>
    <d v="2020-06-09T00:00:00"/>
    <x v="3"/>
    <n v="6"/>
    <x v="1"/>
    <s v="19485-98072-PS"/>
    <s v="E-M-1"/>
    <n v="6"/>
    <x v="520"/>
    <s v="dflintiffg1@e-recht24.de"/>
    <x v="3"/>
    <x v="1"/>
    <s v="M"/>
    <x v="0"/>
    <n v="13.75"/>
    <x v="121"/>
    <x v="1"/>
    <x v="0"/>
  </r>
  <r>
    <s v="NEX-63825-598"/>
    <d v="2020-02-22T00:00:00"/>
    <x v="3"/>
    <n v="2"/>
    <x v="10"/>
    <s v="72072-33025-SD"/>
    <s v="R-L-0.5"/>
    <n v="2"/>
    <x v="521"/>
    <s v="athysfo@cdc.gov"/>
    <x v="0"/>
    <x v="0"/>
    <s v="L"/>
    <x v="1"/>
    <n v="7.169999999999999"/>
    <x v="79"/>
    <x v="0"/>
    <x v="1"/>
  </r>
  <r>
    <s v="XPG-66112-335"/>
    <d v="2020-07-19T00:00:00"/>
    <x v="3"/>
    <n v="7"/>
    <x v="2"/>
    <s v="58118-22461-GC"/>
    <s v="R-D-2.5"/>
    <n v="4"/>
    <x v="522"/>
    <s v="jchuggfp@about.me"/>
    <x v="0"/>
    <x v="0"/>
    <s v="D"/>
    <x v="2"/>
    <n v="20.584999999999997"/>
    <x v="18"/>
    <x v="0"/>
    <x v="2"/>
  </r>
  <r>
    <s v="NSQ-72210-345"/>
    <d v="2021-09-20T00:00:00"/>
    <x v="1"/>
    <n v="9"/>
    <x v="0"/>
    <s v="90940-63327-DJ"/>
    <s v="A-M-0.2"/>
    <n v="6"/>
    <x v="523"/>
    <s v="akelstonfq@sakura.ne.jp"/>
    <x v="0"/>
    <x v="2"/>
    <s v="M"/>
    <x v="3"/>
    <n v="3.375"/>
    <x v="16"/>
    <x v="2"/>
    <x v="0"/>
  </r>
  <r>
    <s v="XRR-28376-277"/>
    <d v="2021-05-02T00:00:00"/>
    <x v="1"/>
    <n v="5"/>
    <x v="5"/>
    <s v="64481-42546-II"/>
    <s v="R-L-2.5"/>
    <n v="6"/>
    <x v="524"/>
    <s v=""/>
    <x v="1"/>
    <x v="0"/>
    <s v="L"/>
    <x v="2"/>
    <n v="27.484999999999996"/>
    <x v="183"/>
    <x v="0"/>
    <x v="1"/>
  </r>
  <r>
    <s v="WHQ-25197-475"/>
    <d v="2021-11-26T00:00:00"/>
    <x v="1"/>
    <n v="11"/>
    <x v="11"/>
    <s v="27536-28463-NJ"/>
    <s v="L-L-0.2"/>
    <n v="4"/>
    <x v="525"/>
    <s v="cmottramfs@harvard.edu"/>
    <x v="0"/>
    <x v="3"/>
    <s v="L"/>
    <x v="3"/>
    <n v="4.7549999999999999"/>
    <x v="81"/>
    <x v="3"/>
    <x v="1"/>
  </r>
  <r>
    <s v="HMB-30634-745"/>
    <d v="2020-02-18T00:00:00"/>
    <x v="3"/>
    <n v="2"/>
    <x v="10"/>
    <s v="19485-98072-PS"/>
    <s v="A-D-2.5"/>
    <n v="6"/>
    <x v="520"/>
    <s v="dflintiffg1@e-recht24.de"/>
    <x v="3"/>
    <x v="2"/>
    <s v="D"/>
    <x v="2"/>
    <n v="22.884999999999998"/>
    <x v="170"/>
    <x v="2"/>
    <x v="2"/>
  </r>
  <r>
    <s v="XTL-68000-371"/>
    <d v="2020-04-07T00:00:00"/>
    <x v="3"/>
    <n v="4"/>
    <x v="8"/>
    <s v="70140-82812-KD"/>
    <s v="A-M-0.5"/>
    <n v="4"/>
    <x v="526"/>
    <s v="dsangwinfu@weebly.com"/>
    <x v="0"/>
    <x v="2"/>
    <s v="M"/>
    <x v="1"/>
    <n v="6.75"/>
    <x v="25"/>
    <x v="2"/>
    <x v="0"/>
  </r>
  <r>
    <s v="YES-51109-625"/>
    <d v="2022-01-31T00:00:00"/>
    <x v="2"/>
    <n v="1"/>
    <x v="4"/>
    <s v="91895-55605-LS"/>
    <s v="E-L-0.5"/>
    <n v="4"/>
    <x v="527"/>
    <s v="eaizikowitzfv@virginia.edu"/>
    <x v="3"/>
    <x v="1"/>
    <s v="L"/>
    <x v="1"/>
    <n v="8.91"/>
    <x v="70"/>
    <x v="1"/>
    <x v="1"/>
  </r>
  <r>
    <s v="EAY-89850-211"/>
    <d v="2019-02-19T00:00:00"/>
    <x v="0"/>
    <n v="2"/>
    <x v="10"/>
    <s v="43155-71724-XP"/>
    <s v="A-D-0.2"/>
    <n v="2"/>
    <x v="528"/>
    <s v=""/>
    <x v="0"/>
    <x v="2"/>
    <s v="D"/>
    <x v="3"/>
    <n v="2.9849999999999999"/>
    <x v="9"/>
    <x v="2"/>
    <x v="2"/>
  </r>
  <r>
    <s v="IOQ-84840-827"/>
    <d v="2019-11-12T00:00:00"/>
    <x v="0"/>
    <n v="11"/>
    <x v="11"/>
    <s v="32038-81174-JF"/>
    <s v="A-M-1"/>
    <n v="6"/>
    <x v="529"/>
    <s v="cvenourfx@ask.com"/>
    <x v="0"/>
    <x v="2"/>
    <s v="M"/>
    <x v="0"/>
    <n v="11.25"/>
    <x v="173"/>
    <x v="2"/>
    <x v="0"/>
  </r>
  <r>
    <s v="FBD-56220-430"/>
    <d v="2022-05-16T00:00:00"/>
    <x v="2"/>
    <n v="5"/>
    <x v="5"/>
    <s v="59205-20324-NB"/>
    <s v="R-L-0.2"/>
    <n v="6"/>
    <x v="530"/>
    <s v="mharbyfy@163.com"/>
    <x v="0"/>
    <x v="0"/>
    <s v="L"/>
    <x v="3"/>
    <n v="3.5849999999999995"/>
    <x v="137"/>
    <x v="0"/>
    <x v="1"/>
  </r>
  <r>
    <s v="COV-52659-202"/>
    <d v="2021-02-12T00:00:00"/>
    <x v="1"/>
    <n v="2"/>
    <x v="10"/>
    <s v="99899-54612-NX"/>
    <s v="L-M-2.5"/>
    <n v="2"/>
    <x v="531"/>
    <s v="rthickpennyfz@cafepress.com"/>
    <x v="0"/>
    <x v="3"/>
    <s v="M"/>
    <x v="2"/>
    <n v="33.464999999999996"/>
    <x v="174"/>
    <x v="3"/>
    <x v="0"/>
  </r>
  <r>
    <s v="YUO-76652-814"/>
    <d v="2021-04-04T00:00:00"/>
    <x v="1"/>
    <n v="4"/>
    <x v="8"/>
    <s v="26248-84194-FI"/>
    <s v="A-D-0.2"/>
    <n v="6"/>
    <x v="532"/>
    <s v="pormerodg0@redcross.org"/>
    <x v="0"/>
    <x v="2"/>
    <s v="D"/>
    <x v="3"/>
    <n v="2.9849999999999999"/>
    <x v="8"/>
    <x v="2"/>
    <x v="2"/>
  </r>
  <r>
    <s v="PBT-36926-102"/>
    <d v="2021-08-02T00:00:00"/>
    <x v="1"/>
    <n v="8"/>
    <x v="3"/>
    <s v="19485-98072-PS"/>
    <s v="L-M-1"/>
    <n v="4"/>
    <x v="520"/>
    <s v="dflintiffg1@e-recht24.de"/>
    <x v="3"/>
    <x v="3"/>
    <s v="M"/>
    <x v="0"/>
    <n v="14.55"/>
    <x v="125"/>
    <x v="3"/>
    <x v="0"/>
  </r>
  <r>
    <s v="BLV-60087-454"/>
    <d v="2022-06-08T00:00:00"/>
    <x v="2"/>
    <n v="6"/>
    <x v="1"/>
    <s v="84493-71314-WX"/>
    <s v="E-L-0.2"/>
    <n v="3"/>
    <x v="533"/>
    <s v="tzanettig2@gravatar.com"/>
    <x v="1"/>
    <x v="1"/>
    <s v="L"/>
    <x v="3"/>
    <n v="4.4550000000000001"/>
    <x v="77"/>
    <x v="1"/>
    <x v="1"/>
  </r>
  <r>
    <s v="BLV-60087-454"/>
    <d v="2022-06-08T00:00:00"/>
    <x v="2"/>
    <n v="6"/>
    <x v="1"/>
    <s v="84493-71314-WX"/>
    <s v="A-M-0.5"/>
    <n v="5"/>
    <x v="533"/>
    <s v="tzanettig2@gravatar.com"/>
    <x v="1"/>
    <x v="2"/>
    <s v="M"/>
    <x v="1"/>
    <n v="6.75"/>
    <x v="65"/>
    <x v="2"/>
    <x v="0"/>
  </r>
  <r>
    <s v="QYC-63914-195"/>
    <d v="2020-05-14T00:00:00"/>
    <x v="3"/>
    <n v="5"/>
    <x v="5"/>
    <s v="39789-43945-IV"/>
    <s v="E-L-1"/>
    <n v="3"/>
    <x v="534"/>
    <s v="rkirtleyg4@hatena.ne.jp"/>
    <x v="0"/>
    <x v="1"/>
    <s v="L"/>
    <x v="0"/>
    <n v="14.85"/>
    <x v="69"/>
    <x v="1"/>
    <x v="1"/>
  </r>
  <r>
    <s v="OIB-77163-890"/>
    <d v="2020-12-25T00:00:00"/>
    <x v="3"/>
    <n v="12"/>
    <x v="9"/>
    <s v="38972-89678-ZM"/>
    <s v="E-L-0.5"/>
    <n v="5"/>
    <x v="535"/>
    <s v="cclemencetg5@weather.com"/>
    <x v="3"/>
    <x v="1"/>
    <s v="L"/>
    <x v="1"/>
    <n v="8.91"/>
    <x v="69"/>
    <x v="1"/>
    <x v="1"/>
  </r>
  <r>
    <s v="SGS-87525-238"/>
    <d v="2021-07-05T00:00:00"/>
    <x v="1"/>
    <n v="7"/>
    <x v="2"/>
    <s v="91465-84526-IJ"/>
    <s v="E-D-1"/>
    <n v="5"/>
    <x v="536"/>
    <s v="rdonetg6@oakley.com"/>
    <x v="0"/>
    <x v="1"/>
    <s v="D"/>
    <x v="0"/>
    <n v="12.15"/>
    <x v="184"/>
    <x v="1"/>
    <x v="2"/>
  </r>
  <r>
    <s v="GQR-12490-152"/>
    <d v="2019-03-14T00:00:00"/>
    <x v="0"/>
    <n v="3"/>
    <x v="6"/>
    <s v="22832-98538-RB"/>
    <s v="R-L-0.2"/>
    <n v="1"/>
    <x v="537"/>
    <s v="sgaweng7@creativecommons.org"/>
    <x v="0"/>
    <x v="0"/>
    <s v="L"/>
    <x v="3"/>
    <n v="3.5849999999999995"/>
    <x v="60"/>
    <x v="0"/>
    <x v="1"/>
  </r>
  <r>
    <s v="UOJ-28238-299"/>
    <d v="2021-03-07T00:00:00"/>
    <x v="1"/>
    <n v="3"/>
    <x v="6"/>
    <s v="30844-91890-ZA"/>
    <s v="R-L-0.2"/>
    <n v="6"/>
    <x v="538"/>
    <s v="rreadieg8@guardian.co.uk"/>
    <x v="0"/>
    <x v="0"/>
    <s v="L"/>
    <x v="3"/>
    <n v="3.5849999999999995"/>
    <x v="137"/>
    <x v="0"/>
    <x v="1"/>
  </r>
  <r>
    <s v="ETD-58130-674"/>
    <d v="2021-11-05T00:00:00"/>
    <x v="1"/>
    <n v="11"/>
    <x v="11"/>
    <s v="05325-97750-WP"/>
    <s v="E-M-0.5"/>
    <n v="2"/>
    <x v="539"/>
    <s v="cverissimogh@theglobeandmail.com"/>
    <x v="3"/>
    <x v="1"/>
    <s v="M"/>
    <x v="1"/>
    <n v="8.25"/>
    <x v="38"/>
    <x v="1"/>
    <x v="0"/>
  </r>
  <r>
    <s v="UPF-60123-025"/>
    <d v="2020-02-06T00:00:00"/>
    <x v="3"/>
    <n v="2"/>
    <x v="10"/>
    <s v="88992-49081-AT"/>
    <s v="R-L-2.5"/>
    <n v="3"/>
    <x v="540"/>
    <s v=""/>
    <x v="0"/>
    <x v="0"/>
    <s v="L"/>
    <x v="2"/>
    <n v="27.484999999999996"/>
    <x v="185"/>
    <x v="0"/>
    <x v="1"/>
  </r>
  <r>
    <s v="NQS-01613-687"/>
    <d v="2021-03-12T00:00:00"/>
    <x v="1"/>
    <n v="3"/>
    <x v="6"/>
    <s v="10204-31464-SA"/>
    <s v="L-D-0.5"/>
    <n v="1"/>
    <x v="541"/>
    <s v="bogb@elpais.com"/>
    <x v="0"/>
    <x v="3"/>
    <s v="D"/>
    <x v="1"/>
    <n v="7.77"/>
    <x v="41"/>
    <x v="3"/>
    <x v="2"/>
  </r>
  <r>
    <s v="MGH-36050-573"/>
    <d v="2020-08-03T00:00:00"/>
    <x v="3"/>
    <n v="8"/>
    <x v="3"/>
    <s v="75156-80911-YT"/>
    <s v="R-M-0.5"/>
    <n v="2"/>
    <x v="542"/>
    <s v="vstansburygc@unblog.fr"/>
    <x v="0"/>
    <x v="0"/>
    <s v="M"/>
    <x v="1"/>
    <n v="5.97"/>
    <x v="22"/>
    <x v="0"/>
    <x v="0"/>
  </r>
  <r>
    <s v="UVF-59322-459"/>
    <d v="2019-07-25T00:00:00"/>
    <x v="0"/>
    <n v="7"/>
    <x v="2"/>
    <s v="53971-49906-PZ"/>
    <s v="E-L-2.5"/>
    <n v="6"/>
    <x v="543"/>
    <s v="dheinonengd@printfriendly.com"/>
    <x v="0"/>
    <x v="1"/>
    <s v="L"/>
    <x v="2"/>
    <n v="34.154999999999994"/>
    <x v="106"/>
    <x v="1"/>
    <x v="1"/>
  </r>
  <r>
    <s v="VET-41158-896"/>
    <d v="2020-04-29T00:00:00"/>
    <x v="3"/>
    <n v="4"/>
    <x v="8"/>
    <s v="10728-17633-ST"/>
    <s v="E-M-2.5"/>
    <n v="2"/>
    <x v="544"/>
    <s v="jshentonge@google.com.hk"/>
    <x v="0"/>
    <x v="1"/>
    <s v="M"/>
    <x v="2"/>
    <n v="31.624999999999996"/>
    <x v="40"/>
    <x v="1"/>
    <x v="0"/>
  </r>
  <r>
    <s v="XYL-52196-459"/>
    <d v="2019-05-02T00:00:00"/>
    <x v="0"/>
    <n v="5"/>
    <x v="5"/>
    <s v="13549-65017-VE"/>
    <s v="R-D-0.2"/>
    <n v="3"/>
    <x v="545"/>
    <s v="jwilkissongf@nba.com"/>
    <x v="0"/>
    <x v="0"/>
    <s v="D"/>
    <x v="3"/>
    <n v="2.6849999999999996"/>
    <x v="36"/>
    <x v="0"/>
    <x v="2"/>
  </r>
  <r>
    <s v="BPZ-51283-916"/>
    <d v="2021-08-29T00:00:00"/>
    <x v="1"/>
    <n v="8"/>
    <x v="3"/>
    <s v="87688-42420-TO"/>
    <s v="A-M-2.5"/>
    <n v="2"/>
    <x v="546"/>
    <s v=""/>
    <x v="0"/>
    <x v="2"/>
    <s v="M"/>
    <x v="2"/>
    <n v="25.874999999999996"/>
    <x v="95"/>
    <x v="2"/>
    <x v="0"/>
  </r>
  <r>
    <s v="VQW-91903-926"/>
    <d v="2020-03-13T00:00:00"/>
    <x v="3"/>
    <n v="3"/>
    <x v="6"/>
    <s v="05325-97750-WP"/>
    <s v="E-D-2.5"/>
    <n v="1"/>
    <x v="539"/>
    <s v="cverissimogh@theglobeandmail.com"/>
    <x v="3"/>
    <x v="1"/>
    <s v="D"/>
    <x v="2"/>
    <n v="27.945"/>
    <x v="140"/>
    <x v="1"/>
    <x v="2"/>
  </r>
  <r>
    <s v="OLF-77983-457"/>
    <d v="2019-02-16T00:00:00"/>
    <x v="0"/>
    <n v="2"/>
    <x v="10"/>
    <s v="51901-35210-UI"/>
    <s v="A-L-2.5"/>
    <n v="2"/>
    <x v="547"/>
    <s v="gstarcksgi@abc.net.au"/>
    <x v="0"/>
    <x v="2"/>
    <s v="L"/>
    <x v="2"/>
    <n v="29.784999999999997"/>
    <x v="120"/>
    <x v="2"/>
    <x v="1"/>
  </r>
  <r>
    <s v="MVI-04946-827"/>
    <d v="2021-11-27T00:00:00"/>
    <x v="1"/>
    <n v="11"/>
    <x v="11"/>
    <s v="62483-50867-OM"/>
    <s v="E-L-1"/>
    <n v="1"/>
    <x v="548"/>
    <s v=""/>
    <x v="3"/>
    <x v="1"/>
    <s v="L"/>
    <x v="0"/>
    <n v="14.85"/>
    <x v="151"/>
    <x v="1"/>
    <x v="1"/>
  </r>
  <r>
    <s v="UOG-94188-104"/>
    <d v="2021-11-23T00:00:00"/>
    <x v="1"/>
    <n v="11"/>
    <x v="11"/>
    <s v="92753-50029-SD"/>
    <s v="A-M-0.5"/>
    <n v="5"/>
    <x v="549"/>
    <s v="kscholardgk@sbwire.com"/>
    <x v="0"/>
    <x v="2"/>
    <s v="M"/>
    <x v="1"/>
    <n v="6.75"/>
    <x v="65"/>
    <x v="2"/>
    <x v="0"/>
  </r>
  <r>
    <s v="DSN-15872-519"/>
    <d v="2021-12-02T00:00:00"/>
    <x v="1"/>
    <n v="12"/>
    <x v="9"/>
    <s v="53809-98498-SN"/>
    <s v="L-L-2.5"/>
    <n v="4"/>
    <x v="550"/>
    <s v="bkindleygl@wikimedia.org"/>
    <x v="0"/>
    <x v="3"/>
    <s v="L"/>
    <x v="2"/>
    <n v="36.454999999999998"/>
    <x v="43"/>
    <x v="3"/>
    <x v="1"/>
  </r>
  <r>
    <s v="OUQ-73954-002"/>
    <d v="2019-01-06T00:00:00"/>
    <x v="0"/>
    <n v="1"/>
    <x v="4"/>
    <s v="66308-13503-KD"/>
    <s v="R-M-0.2"/>
    <n v="4"/>
    <x v="551"/>
    <s v="khammettgm@dmoz.org"/>
    <x v="0"/>
    <x v="0"/>
    <s v="M"/>
    <x v="3"/>
    <n v="2.9849999999999999"/>
    <x v="22"/>
    <x v="0"/>
    <x v="0"/>
  </r>
  <r>
    <s v="LGL-16843-667"/>
    <d v="2021-05-05T00:00:00"/>
    <x v="1"/>
    <n v="5"/>
    <x v="5"/>
    <s v="82458-87830-JE"/>
    <s v="A-D-0.2"/>
    <n v="4"/>
    <x v="552"/>
    <s v="ahulburtgn@fda.gov"/>
    <x v="0"/>
    <x v="2"/>
    <s v="D"/>
    <x v="3"/>
    <n v="2.9849999999999999"/>
    <x v="22"/>
    <x v="2"/>
    <x v="2"/>
  </r>
  <r>
    <s v="TCC-89722-031"/>
    <d v="2021-10-23T00:00:00"/>
    <x v="1"/>
    <n v="10"/>
    <x v="7"/>
    <s v="41611-34336-WT"/>
    <s v="L-D-0.5"/>
    <n v="1"/>
    <x v="553"/>
    <s v="plauritzengo@photobucket.com"/>
    <x v="0"/>
    <x v="3"/>
    <s v="D"/>
    <x v="1"/>
    <n v="7.77"/>
    <x v="41"/>
    <x v="3"/>
    <x v="2"/>
  </r>
  <r>
    <s v="TRA-79507-007"/>
    <d v="2019-12-16T00:00:00"/>
    <x v="0"/>
    <n v="12"/>
    <x v="9"/>
    <s v="70089-27418-UJ"/>
    <s v="R-L-2.5"/>
    <n v="4"/>
    <x v="554"/>
    <s v="aburgwingp@redcross.org"/>
    <x v="0"/>
    <x v="0"/>
    <s v="L"/>
    <x v="2"/>
    <n v="27.484999999999996"/>
    <x v="108"/>
    <x v="0"/>
    <x v="1"/>
  </r>
  <r>
    <s v="MZJ-77284-941"/>
    <d v="2019-05-18T00:00:00"/>
    <x v="0"/>
    <n v="5"/>
    <x v="5"/>
    <s v="99978-56910-BN"/>
    <s v="E-L-0.2"/>
    <n v="5"/>
    <x v="555"/>
    <s v="erolingq@google.fr"/>
    <x v="0"/>
    <x v="1"/>
    <s v="L"/>
    <x v="3"/>
    <n v="4.4550000000000001"/>
    <x v="110"/>
    <x v="1"/>
    <x v="1"/>
  </r>
  <r>
    <s v="AXN-57779-891"/>
    <d v="2019-07-14T00:00:00"/>
    <x v="0"/>
    <n v="7"/>
    <x v="2"/>
    <s v="09668-23340-IC"/>
    <s v="R-M-0.2"/>
    <n v="3"/>
    <x v="556"/>
    <s v="dfowlegr@epa.gov"/>
    <x v="0"/>
    <x v="0"/>
    <s v="M"/>
    <x v="3"/>
    <n v="2.9849999999999999"/>
    <x v="169"/>
    <x v="0"/>
    <x v="0"/>
  </r>
  <r>
    <s v="PJB-15659-994"/>
    <d v="2020-11-13T00:00:00"/>
    <x v="3"/>
    <n v="11"/>
    <x v="11"/>
    <s v="39457-62611-YK"/>
    <s v="L-D-2.5"/>
    <n v="4"/>
    <x v="557"/>
    <s v=""/>
    <x v="1"/>
    <x v="3"/>
    <s v="D"/>
    <x v="2"/>
    <n v="29.784999999999997"/>
    <x v="129"/>
    <x v="3"/>
    <x v="2"/>
  </r>
  <r>
    <s v="LTS-03470-353"/>
    <d v="2020-07-16T00:00:00"/>
    <x v="3"/>
    <n v="7"/>
    <x v="2"/>
    <s v="90985-89807-RW"/>
    <s v="A-L-2.5"/>
    <n v="5"/>
    <x v="558"/>
    <s v="wpowleslandgt@soundcloud.com"/>
    <x v="0"/>
    <x v="2"/>
    <s v="L"/>
    <x v="2"/>
    <n v="29.784999999999997"/>
    <x v="74"/>
    <x v="2"/>
    <x v="1"/>
  </r>
  <r>
    <s v="UMM-28497-689"/>
    <d v="2020-11-03T00:00:00"/>
    <x v="3"/>
    <n v="11"/>
    <x v="11"/>
    <s v="05325-97750-WP"/>
    <s v="L-L-2.5"/>
    <n v="3"/>
    <x v="28"/>
    <s v="Not Found"/>
    <x v="2"/>
    <x v="3"/>
    <s v="L"/>
    <x v="2"/>
    <n v="36.454999999999998"/>
    <x v="63"/>
    <x v="3"/>
    <x v="1"/>
  </r>
  <r>
    <s v="MJZ-93232-402"/>
    <d v="2022-03-20T00:00:00"/>
    <x v="2"/>
    <n v="3"/>
    <x v="6"/>
    <s v="17816-67941-ZS"/>
    <s v="E-D-0.2"/>
    <n v="1"/>
    <x v="559"/>
    <s v="lellinghamgv@sciencedaily.com"/>
    <x v="0"/>
    <x v="1"/>
    <s v="D"/>
    <x v="3"/>
    <n v="3.645"/>
    <x v="186"/>
    <x v="1"/>
    <x v="2"/>
  </r>
  <r>
    <s v="UHW-74617-126"/>
    <d v="2022-02-16T00:00:00"/>
    <x v="2"/>
    <n v="2"/>
    <x v="10"/>
    <s v="90816-65619-LM"/>
    <s v="E-D-2.5"/>
    <n v="2"/>
    <x v="560"/>
    <s v=""/>
    <x v="0"/>
    <x v="1"/>
    <s v="D"/>
    <x v="2"/>
    <n v="27.945"/>
    <x v="158"/>
    <x v="1"/>
    <x v="2"/>
  </r>
  <r>
    <s v="RIK-61730-794"/>
    <d v="2020-11-12T00:00:00"/>
    <x v="3"/>
    <n v="11"/>
    <x v="11"/>
    <s v="69761-61146-KD"/>
    <s v="L-M-0.2"/>
    <n v="6"/>
    <x v="561"/>
    <s v="afendtgx@forbes.com"/>
    <x v="0"/>
    <x v="3"/>
    <s v="M"/>
    <x v="3"/>
    <n v="4.3650000000000002"/>
    <x v="50"/>
    <x v="3"/>
    <x v="0"/>
  </r>
  <r>
    <s v="IDJ-55379-750"/>
    <d v="2019-10-05T00:00:00"/>
    <x v="0"/>
    <n v="10"/>
    <x v="7"/>
    <s v="24040-20817-QB"/>
    <s v="R-M-1"/>
    <n v="4"/>
    <x v="562"/>
    <s v="acleyburngy@lycos.com"/>
    <x v="0"/>
    <x v="0"/>
    <s v="M"/>
    <x v="0"/>
    <n v="9.9499999999999993"/>
    <x v="10"/>
    <x v="0"/>
    <x v="0"/>
  </r>
  <r>
    <s v="OHX-11953-965"/>
    <d v="2019-10-01T00:00:00"/>
    <x v="0"/>
    <n v="10"/>
    <x v="7"/>
    <s v="19524-21432-XP"/>
    <s v="E-L-2.5"/>
    <n v="2"/>
    <x v="563"/>
    <s v="tcastiglionegz@xing.com"/>
    <x v="0"/>
    <x v="1"/>
    <s v="L"/>
    <x v="2"/>
    <n v="34.154999999999994"/>
    <x v="93"/>
    <x v="1"/>
    <x v="1"/>
  </r>
  <r>
    <s v="TVV-42245-088"/>
    <d v="2020-03-06T00:00:00"/>
    <x v="3"/>
    <n v="3"/>
    <x v="6"/>
    <s v="14398-43114-RV"/>
    <s v="A-M-0.2"/>
    <n v="4"/>
    <x v="564"/>
    <s v=""/>
    <x v="1"/>
    <x v="2"/>
    <s v="M"/>
    <x v="3"/>
    <n v="3.375"/>
    <x v="72"/>
    <x v="2"/>
    <x v="0"/>
  </r>
  <r>
    <s v="DYP-74337-787"/>
    <d v="2019-10-23T00:00:00"/>
    <x v="0"/>
    <n v="10"/>
    <x v="7"/>
    <s v="41486-52502-QQ"/>
    <s v="R-M-0.5"/>
    <n v="1"/>
    <x v="565"/>
    <s v=""/>
    <x v="0"/>
    <x v="0"/>
    <s v="M"/>
    <x v="1"/>
    <n v="5.97"/>
    <x v="9"/>
    <x v="0"/>
    <x v="0"/>
  </r>
  <r>
    <s v="OKA-93124-100"/>
    <d v="2020-04-23T00:00:00"/>
    <x v="3"/>
    <n v="4"/>
    <x v="8"/>
    <s v="05325-97750-WP"/>
    <s v="R-M-0.5"/>
    <n v="5"/>
    <x v="28"/>
    <s v="Not Found"/>
    <x v="2"/>
    <x v="0"/>
    <s v="M"/>
    <x v="1"/>
    <n v="5.97"/>
    <x v="44"/>
    <x v="0"/>
    <x v="0"/>
  </r>
  <r>
    <s v="IXW-20780-268"/>
    <d v="2020-06-24T00:00:00"/>
    <x v="3"/>
    <n v="6"/>
    <x v="1"/>
    <s v="20236-64364-QL"/>
    <s v="L-L-2.5"/>
    <n v="2"/>
    <x v="566"/>
    <s v="scouronneh3@mozilla.org"/>
    <x v="0"/>
    <x v="3"/>
    <s v="L"/>
    <x v="2"/>
    <n v="36.454999999999998"/>
    <x v="37"/>
    <x v="3"/>
    <x v="1"/>
  </r>
  <r>
    <s v="NGG-24006-937"/>
    <d v="2021-03-16T00:00:00"/>
    <x v="1"/>
    <n v="3"/>
    <x v="6"/>
    <s v="29102-40100-TZ"/>
    <s v="E-M-2.5"/>
    <n v="4"/>
    <x v="567"/>
    <s v="lflippellih4@github.io"/>
    <x v="3"/>
    <x v="1"/>
    <s v="M"/>
    <x v="2"/>
    <n v="31.624999999999996"/>
    <x v="177"/>
    <x v="1"/>
    <x v="0"/>
  </r>
  <r>
    <s v="JZC-31180-557"/>
    <d v="2020-04-07T00:00:00"/>
    <x v="3"/>
    <n v="4"/>
    <x v="8"/>
    <s v="09171-42203-EB"/>
    <s v="L-M-2.5"/>
    <n v="1"/>
    <x v="568"/>
    <s v="relizabethh5@live.com"/>
    <x v="0"/>
    <x v="3"/>
    <s v="M"/>
    <x v="2"/>
    <n v="33.464999999999996"/>
    <x v="116"/>
    <x v="3"/>
    <x v="0"/>
  </r>
  <r>
    <s v="ZMU-63715-204"/>
    <d v="2021-09-30T00:00:00"/>
    <x v="1"/>
    <n v="9"/>
    <x v="0"/>
    <s v="29060-75856-UI"/>
    <s v="E-D-1"/>
    <n v="6"/>
    <x v="569"/>
    <s v="irenhardh6@i2i.jp"/>
    <x v="0"/>
    <x v="1"/>
    <s v="D"/>
    <x v="0"/>
    <n v="12.15"/>
    <x v="118"/>
    <x v="1"/>
    <x v="2"/>
  </r>
  <r>
    <s v="GND-08192-056"/>
    <d v="2022-05-01T00:00:00"/>
    <x v="2"/>
    <n v="5"/>
    <x v="5"/>
    <s v="17088-16989-PL"/>
    <s v="L-D-0.5"/>
    <n v="2"/>
    <x v="570"/>
    <s v="wrocheh7@xinhuanet.com"/>
    <x v="0"/>
    <x v="3"/>
    <s v="D"/>
    <x v="1"/>
    <n v="7.77"/>
    <x v="42"/>
    <x v="3"/>
    <x v="2"/>
  </r>
  <r>
    <s v="RYY-38961-093"/>
    <d v="2021-01-21T00:00:00"/>
    <x v="1"/>
    <n v="1"/>
    <x v="4"/>
    <s v="14756-18321-CL"/>
    <s v="A-M-0.2"/>
    <n v="6"/>
    <x v="571"/>
    <s v="lalawayhh@weather.com"/>
    <x v="0"/>
    <x v="2"/>
    <s v="M"/>
    <x v="3"/>
    <n v="3.375"/>
    <x v="16"/>
    <x v="2"/>
    <x v="0"/>
  </r>
  <r>
    <s v="CVA-64996-969"/>
    <d v="2020-06-24T00:00:00"/>
    <x v="3"/>
    <n v="6"/>
    <x v="1"/>
    <s v="13324-78688-MI"/>
    <s v="A-L-1"/>
    <n v="6"/>
    <x v="572"/>
    <s v="codgaardh9@nsw.gov.au"/>
    <x v="0"/>
    <x v="2"/>
    <s v="L"/>
    <x v="0"/>
    <n v="12.95"/>
    <x v="17"/>
    <x v="2"/>
    <x v="1"/>
  </r>
  <r>
    <s v="XTH-67276-442"/>
    <d v="2019-03-03T00:00:00"/>
    <x v="0"/>
    <n v="3"/>
    <x v="6"/>
    <s v="73799-04749-BM"/>
    <s v="L-M-2.5"/>
    <n v="4"/>
    <x v="573"/>
    <s v="bbyrdha@4shared.com"/>
    <x v="0"/>
    <x v="3"/>
    <s v="M"/>
    <x v="2"/>
    <n v="33.464999999999996"/>
    <x v="136"/>
    <x v="3"/>
    <x v="0"/>
  </r>
  <r>
    <s v="PVU-02950-470"/>
    <d v="2021-01-28T00:00:00"/>
    <x v="1"/>
    <n v="1"/>
    <x v="4"/>
    <s v="01927-46702-YT"/>
    <s v="E-D-1"/>
    <n v="1"/>
    <x v="574"/>
    <s v=""/>
    <x v="3"/>
    <x v="1"/>
    <s v="D"/>
    <x v="0"/>
    <n v="12.15"/>
    <x v="87"/>
    <x v="1"/>
    <x v="2"/>
  </r>
  <r>
    <s v="XSN-26809-910"/>
    <d v="2020-06-28T00:00:00"/>
    <x v="3"/>
    <n v="6"/>
    <x v="1"/>
    <s v="80467-17137-TO"/>
    <s v="E-M-2.5"/>
    <n v="2"/>
    <x v="575"/>
    <s v="dchardinhc@nhs.uk"/>
    <x v="1"/>
    <x v="1"/>
    <s v="M"/>
    <x v="2"/>
    <n v="31.624999999999996"/>
    <x v="40"/>
    <x v="1"/>
    <x v="0"/>
  </r>
  <r>
    <s v="UDN-88321-005"/>
    <d v="2020-07-05T00:00:00"/>
    <x v="3"/>
    <n v="7"/>
    <x v="2"/>
    <s v="14640-87215-BK"/>
    <s v="R-L-0.5"/>
    <n v="5"/>
    <x v="576"/>
    <s v="hradbonehd@newsvine.com"/>
    <x v="0"/>
    <x v="0"/>
    <s v="L"/>
    <x v="1"/>
    <n v="7.169999999999999"/>
    <x v="66"/>
    <x v="0"/>
    <x v="1"/>
  </r>
  <r>
    <s v="EXP-21628-670"/>
    <d v="2019-03-02T00:00:00"/>
    <x v="0"/>
    <n v="3"/>
    <x v="6"/>
    <s v="94447-35885-HK"/>
    <s v="A-M-2.5"/>
    <n v="3"/>
    <x v="577"/>
    <s v="wbernthhe@miitbeian.gov.cn"/>
    <x v="0"/>
    <x v="2"/>
    <s v="M"/>
    <x v="2"/>
    <n v="25.874999999999996"/>
    <x v="57"/>
    <x v="2"/>
    <x v="0"/>
  </r>
  <r>
    <s v="VGM-24161-361"/>
    <d v="2022-05-01T00:00:00"/>
    <x v="2"/>
    <n v="5"/>
    <x v="5"/>
    <s v="71034-49694-CS"/>
    <s v="E-M-2.5"/>
    <n v="2"/>
    <x v="578"/>
    <s v="bacarsonhf@cnn.com"/>
    <x v="0"/>
    <x v="1"/>
    <s v="M"/>
    <x v="2"/>
    <n v="31.624999999999996"/>
    <x v="40"/>
    <x v="1"/>
    <x v="0"/>
  </r>
  <r>
    <s v="PKN-19556-918"/>
    <d v="2022-04-29T00:00:00"/>
    <x v="2"/>
    <n v="4"/>
    <x v="8"/>
    <s v="00445-42781-KX"/>
    <s v="E-L-0.2"/>
    <n v="6"/>
    <x v="579"/>
    <s v="fbrighamhg@blog.com"/>
    <x v="1"/>
    <x v="1"/>
    <s v="L"/>
    <x v="3"/>
    <n v="4.4550000000000001"/>
    <x v="149"/>
    <x v="1"/>
    <x v="1"/>
  </r>
  <r>
    <s v="PKN-19556-918"/>
    <d v="2022-04-29T00:00:00"/>
    <x v="2"/>
    <n v="4"/>
    <x v="8"/>
    <s v="00445-42781-KX"/>
    <s v="L-D-0.5"/>
    <n v="4"/>
    <x v="579"/>
    <s v="fbrighamhg@blog.com"/>
    <x v="1"/>
    <x v="3"/>
    <s v="D"/>
    <x v="1"/>
    <n v="7.77"/>
    <x v="113"/>
    <x v="3"/>
    <x v="2"/>
  </r>
  <r>
    <s v="PKN-19556-918"/>
    <d v="2022-04-29T00:00:00"/>
    <x v="2"/>
    <n v="4"/>
    <x v="8"/>
    <s v="00445-42781-KX"/>
    <s v="A-D-0.2"/>
    <n v="1"/>
    <x v="28"/>
    <s v="Not Found"/>
    <x v="2"/>
    <x v="2"/>
    <s v="D"/>
    <x v="3"/>
    <n v="2.9849999999999999"/>
    <x v="55"/>
    <x v="2"/>
    <x v="2"/>
  </r>
  <r>
    <s v="PKN-19556-918"/>
    <d v="2022-04-29T00:00:00"/>
    <x v="2"/>
    <n v="4"/>
    <x v="8"/>
    <s v="00445-42781-KX"/>
    <s v="R-D-2.5"/>
    <n v="5"/>
    <x v="28"/>
    <s v="Not Found"/>
    <x v="2"/>
    <x v="0"/>
    <s v="D"/>
    <x v="2"/>
    <n v="20.584999999999997"/>
    <x v="182"/>
    <x v="0"/>
    <x v="2"/>
  </r>
  <r>
    <s v="DXQ-44537-297"/>
    <d v="2020-08-06T00:00:00"/>
    <x v="3"/>
    <n v="8"/>
    <x v="3"/>
    <s v="96116-24737-LV"/>
    <s v="E-L-0.5"/>
    <n v="4"/>
    <x v="580"/>
    <s v="myoxenhk@google.com"/>
    <x v="0"/>
    <x v="1"/>
    <s v="L"/>
    <x v="1"/>
    <n v="8.91"/>
    <x v="70"/>
    <x v="1"/>
    <x v="1"/>
  </r>
  <r>
    <s v="BPC-54727-307"/>
    <d v="2019-12-21T00:00:00"/>
    <x v="0"/>
    <n v="12"/>
    <x v="9"/>
    <s v="18684-73088-YL"/>
    <s v="R-L-1"/>
    <n v="4"/>
    <x v="581"/>
    <s v="gmcgavinhl@histats.com"/>
    <x v="0"/>
    <x v="0"/>
    <s v="L"/>
    <x v="0"/>
    <n v="11.95"/>
    <x v="62"/>
    <x v="0"/>
    <x v="1"/>
  </r>
  <r>
    <s v="KSH-47717-456"/>
    <d v="2020-04-19T00:00:00"/>
    <x v="3"/>
    <n v="4"/>
    <x v="8"/>
    <s v="74671-55639-TU"/>
    <s v="L-M-1"/>
    <n v="3"/>
    <x v="582"/>
    <s v="luttermarehm@engadget.com"/>
    <x v="0"/>
    <x v="3"/>
    <s v="M"/>
    <x v="0"/>
    <n v="14.55"/>
    <x v="34"/>
    <x v="3"/>
    <x v="0"/>
  </r>
  <r>
    <s v="ANK-59436-446"/>
    <d v="2022-01-17T00:00:00"/>
    <x v="2"/>
    <n v="1"/>
    <x v="4"/>
    <s v="17488-65879-XL"/>
    <s v="E-L-0.5"/>
    <n v="4"/>
    <x v="583"/>
    <s v="edambrogiohn@techcrunch.com"/>
    <x v="0"/>
    <x v="1"/>
    <s v="L"/>
    <x v="1"/>
    <n v="8.91"/>
    <x v="70"/>
    <x v="1"/>
    <x v="1"/>
  </r>
  <r>
    <s v="AYY-83051-752"/>
    <d v="2019-01-22T00:00:00"/>
    <x v="0"/>
    <n v="1"/>
    <x v="4"/>
    <s v="46431-09298-OU"/>
    <s v="L-L-1"/>
    <n v="6"/>
    <x v="584"/>
    <s v="cwinchcombeho@jiathis.com"/>
    <x v="0"/>
    <x v="3"/>
    <s v="L"/>
    <x v="0"/>
    <n v="15.85"/>
    <x v="179"/>
    <x v="3"/>
    <x v="1"/>
  </r>
  <r>
    <s v="CSW-59644-267"/>
    <d v="2020-02-28T00:00:00"/>
    <x v="3"/>
    <n v="2"/>
    <x v="10"/>
    <s v="60378-26473-FE"/>
    <s v="E-M-2.5"/>
    <n v="1"/>
    <x v="585"/>
    <s v="bpaumierhp@umn.edu"/>
    <x v="1"/>
    <x v="1"/>
    <s v="M"/>
    <x v="2"/>
    <n v="31.624999999999996"/>
    <x v="176"/>
    <x v="1"/>
    <x v="0"/>
  </r>
  <r>
    <s v="ITY-92466-909"/>
    <d v="2019-08-07T00:00:00"/>
    <x v="0"/>
    <n v="8"/>
    <x v="3"/>
    <s v="34927-68586-ZV"/>
    <s v="A-M-2.5"/>
    <n v="3"/>
    <x v="586"/>
    <s v=""/>
    <x v="1"/>
    <x v="2"/>
    <s v="M"/>
    <x v="2"/>
    <n v="25.874999999999996"/>
    <x v="57"/>
    <x v="2"/>
    <x v="0"/>
  </r>
  <r>
    <s v="IGW-04801-466"/>
    <d v="2021-05-15T00:00:00"/>
    <x v="1"/>
    <n v="5"/>
    <x v="5"/>
    <s v="29051-27555-GD"/>
    <s v="L-D-0.2"/>
    <n v="1"/>
    <x v="587"/>
    <s v="jcapeyhr@bravesites.com"/>
    <x v="0"/>
    <x v="3"/>
    <s v="D"/>
    <x v="3"/>
    <n v="3.8849999999999998"/>
    <x v="84"/>
    <x v="3"/>
    <x v="2"/>
  </r>
  <r>
    <s v="LJN-34281-921"/>
    <d v="2021-12-17T00:00:00"/>
    <x v="1"/>
    <n v="12"/>
    <x v="9"/>
    <s v="52143-35672-JF"/>
    <s v="R-L-2.5"/>
    <n v="5"/>
    <x v="588"/>
    <s v="tmathonneti0@google.co.jp"/>
    <x v="0"/>
    <x v="0"/>
    <s v="L"/>
    <x v="2"/>
    <n v="27.484999999999996"/>
    <x v="187"/>
    <x v="0"/>
    <x v="1"/>
  </r>
  <r>
    <s v="BWZ-46364-547"/>
    <d v="2021-09-09T00:00:00"/>
    <x v="1"/>
    <n v="9"/>
    <x v="0"/>
    <s v="64918-67725-MN"/>
    <s v="R-L-1"/>
    <n v="3"/>
    <x v="589"/>
    <s v="ybasillht@theguardian.com"/>
    <x v="0"/>
    <x v="0"/>
    <s v="L"/>
    <x v="0"/>
    <n v="11.95"/>
    <x v="66"/>
    <x v="0"/>
    <x v="1"/>
  </r>
  <r>
    <s v="SBC-95710-706"/>
    <d v="2020-02-19T00:00:00"/>
    <x v="3"/>
    <n v="2"/>
    <x v="10"/>
    <s v="85634-61759-ND"/>
    <s v="E-M-0.2"/>
    <n v="2"/>
    <x v="590"/>
    <s v="mbaistowhu@i2i.jp"/>
    <x v="3"/>
    <x v="1"/>
    <s v="M"/>
    <x v="3"/>
    <n v="4.125"/>
    <x v="112"/>
    <x v="1"/>
    <x v="0"/>
  </r>
  <r>
    <s v="WRN-55114-031"/>
    <d v="2020-06-29T00:00:00"/>
    <x v="3"/>
    <n v="6"/>
    <x v="1"/>
    <s v="40180-22940-QB"/>
    <s v="E-L-2.5"/>
    <n v="3"/>
    <x v="591"/>
    <s v="cpallanthv@typepad.com"/>
    <x v="0"/>
    <x v="1"/>
    <s v="L"/>
    <x v="2"/>
    <n v="34.154999999999994"/>
    <x v="89"/>
    <x v="1"/>
    <x v="1"/>
  </r>
  <r>
    <s v="TZU-64255-831"/>
    <d v="2022-05-13T00:00:00"/>
    <x v="2"/>
    <n v="5"/>
    <x v="5"/>
    <s v="34666-76738-SQ"/>
    <s v="R-D-2.5"/>
    <n v="2"/>
    <x v="592"/>
    <s v=""/>
    <x v="0"/>
    <x v="0"/>
    <s v="D"/>
    <x v="2"/>
    <n v="20.584999999999997"/>
    <x v="13"/>
    <x v="0"/>
    <x v="2"/>
  </r>
  <r>
    <s v="JVF-91003-729"/>
    <d v="2020-10-02T00:00:00"/>
    <x v="3"/>
    <n v="10"/>
    <x v="7"/>
    <s v="98536-88616-FF"/>
    <s v="A-D-2.5"/>
    <n v="3"/>
    <x v="593"/>
    <s v="dohx@redcross.org"/>
    <x v="0"/>
    <x v="2"/>
    <s v="D"/>
    <x v="2"/>
    <n v="22.884999999999998"/>
    <x v="96"/>
    <x v="2"/>
    <x v="2"/>
  </r>
  <r>
    <s v="MVB-22135-665"/>
    <d v="2021-12-02T00:00:00"/>
    <x v="1"/>
    <n v="12"/>
    <x v="9"/>
    <s v="55621-06130-SA"/>
    <s v="A-D-1"/>
    <n v="1"/>
    <x v="594"/>
    <s v="drallinhy@howstuffworks.com"/>
    <x v="0"/>
    <x v="2"/>
    <s v="D"/>
    <x v="0"/>
    <n v="9.9499999999999993"/>
    <x v="138"/>
    <x v="2"/>
    <x v="2"/>
  </r>
  <r>
    <s v="CKS-47815-571"/>
    <d v="2021-11-02T00:00:00"/>
    <x v="1"/>
    <n v="11"/>
    <x v="11"/>
    <s v="45666-86771-EH"/>
    <s v="L-L-0.5"/>
    <n v="3"/>
    <x v="595"/>
    <s v="achillhz@epa.gov"/>
    <x v="3"/>
    <x v="3"/>
    <s v="L"/>
    <x v="1"/>
    <n v="9.51"/>
    <x v="32"/>
    <x v="3"/>
    <x v="1"/>
  </r>
  <r>
    <s v="OAW-17338-101"/>
    <d v="2020-02-23T00:00:00"/>
    <x v="3"/>
    <n v="2"/>
    <x v="10"/>
    <s v="52143-35672-JF"/>
    <s v="R-D-0.2"/>
    <n v="6"/>
    <x v="588"/>
    <s v="tmathonneti0@google.co.jp"/>
    <x v="0"/>
    <x v="0"/>
    <s v="D"/>
    <x v="3"/>
    <n v="2.6849999999999996"/>
    <x v="103"/>
    <x v="0"/>
    <x v="2"/>
  </r>
  <r>
    <s v="ALP-37623-536"/>
    <d v="2020-07-03T00:00:00"/>
    <x v="3"/>
    <n v="7"/>
    <x v="2"/>
    <s v="24689-69376-XX"/>
    <s v="L-L-1"/>
    <n v="6"/>
    <x v="596"/>
    <s v="cdenysi1@is.gd"/>
    <x v="3"/>
    <x v="3"/>
    <s v="L"/>
    <x v="0"/>
    <n v="15.85"/>
    <x v="179"/>
    <x v="3"/>
    <x v="1"/>
  </r>
  <r>
    <s v="WMU-87639-108"/>
    <d v="2019-02-11T00:00:00"/>
    <x v="0"/>
    <n v="2"/>
    <x v="10"/>
    <s v="71891-51101-VQ"/>
    <s v="R-D-0.5"/>
    <n v="1"/>
    <x v="597"/>
    <s v="cstebbingsi2@drupal.org"/>
    <x v="0"/>
    <x v="0"/>
    <s v="D"/>
    <x v="1"/>
    <n v="5.3699999999999992"/>
    <x v="147"/>
    <x v="0"/>
    <x v="2"/>
  </r>
  <r>
    <s v="USN-44968-231"/>
    <d v="2020-09-10T00:00:00"/>
    <x v="3"/>
    <n v="9"/>
    <x v="0"/>
    <s v="71749-05400-CN"/>
    <s v="R-L-1"/>
    <n v="4"/>
    <x v="598"/>
    <s v=""/>
    <x v="0"/>
    <x v="0"/>
    <s v="L"/>
    <x v="0"/>
    <n v="11.95"/>
    <x v="62"/>
    <x v="0"/>
    <x v="1"/>
  </r>
  <r>
    <s v="YZG-20575-451"/>
    <d v="2020-03-02T00:00:00"/>
    <x v="3"/>
    <n v="3"/>
    <x v="6"/>
    <s v="64845-00270-NO"/>
    <s v="L-L-1"/>
    <n v="4"/>
    <x v="599"/>
    <s v="rzywickii4@ifeng.com"/>
    <x v="1"/>
    <x v="3"/>
    <s v="L"/>
    <x v="0"/>
    <n v="15.85"/>
    <x v="165"/>
    <x v="3"/>
    <x v="1"/>
  </r>
  <r>
    <s v="HTH-52867-812"/>
    <d v="2021-06-28T00:00:00"/>
    <x v="1"/>
    <n v="6"/>
    <x v="1"/>
    <s v="29851-36402-UX"/>
    <s v="A-M-2.5"/>
    <n v="4"/>
    <x v="600"/>
    <s v="aburgetti5@moonfruit.com"/>
    <x v="0"/>
    <x v="2"/>
    <s v="M"/>
    <x v="2"/>
    <n v="25.874999999999996"/>
    <x v="68"/>
    <x v="2"/>
    <x v="0"/>
  </r>
  <r>
    <s v="FWU-44971-444"/>
    <d v="2019-01-11T00:00:00"/>
    <x v="0"/>
    <n v="1"/>
    <x v="4"/>
    <s v="12190-25421-WM"/>
    <s v="A-D-2.5"/>
    <n v="3"/>
    <x v="601"/>
    <s v="mmalloyi6@seattletimes.com"/>
    <x v="0"/>
    <x v="2"/>
    <s v="D"/>
    <x v="2"/>
    <n v="22.884999999999998"/>
    <x v="96"/>
    <x v="2"/>
    <x v="2"/>
  </r>
  <r>
    <s v="EQI-82205-066"/>
    <d v="2019-09-20T00:00:00"/>
    <x v="0"/>
    <n v="9"/>
    <x v="0"/>
    <s v="52316-30571-GD"/>
    <s v="R-M-2.5"/>
    <n v="2"/>
    <x v="602"/>
    <s v="mmcparlandi7@w3.org"/>
    <x v="0"/>
    <x v="0"/>
    <s v="M"/>
    <x v="2"/>
    <n v="22.884999999999998"/>
    <x v="135"/>
    <x v="0"/>
    <x v="0"/>
  </r>
  <r>
    <s v="NAR-00747-074"/>
    <d v="2021-10-16T00:00:00"/>
    <x v="1"/>
    <n v="10"/>
    <x v="7"/>
    <s v="23243-92649-RY"/>
    <s v="L-D-1"/>
    <n v="4"/>
    <x v="603"/>
    <s v="sjennaroyi8@purevolume.com"/>
    <x v="0"/>
    <x v="3"/>
    <s v="D"/>
    <x v="0"/>
    <n v="12.95"/>
    <x v="67"/>
    <x v="3"/>
    <x v="2"/>
  </r>
  <r>
    <s v="JYR-22052-185"/>
    <d v="2020-01-01T00:00:00"/>
    <x v="3"/>
    <n v="1"/>
    <x v="4"/>
    <s v="39528-19971-OR"/>
    <s v="A-M-0.5"/>
    <n v="2"/>
    <x v="604"/>
    <s v="wplacei9@wsj.com"/>
    <x v="0"/>
    <x v="2"/>
    <s v="M"/>
    <x v="1"/>
    <n v="6.75"/>
    <x v="72"/>
    <x v="2"/>
    <x v="0"/>
  </r>
  <r>
    <s v="XKO-54097-932"/>
    <d v="2022-03-10T00:00:00"/>
    <x v="2"/>
    <n v="3"/>
    <x v="6"/>
    <s v="32743-78448-KT"/>
    <s v="E-M-0.5"/>
    <n v="3"/>
    <x v="605"/>
    <s v="jmillettik@addtoany.com"/>
    <x v="0"/>
    <x v="1"/>
    <s v="M"/>
    <x v="1"/>
    <n v="8.25"/>
    <x v="167"/>
    <x v="1"/>
    <x v="0"/>
  </r>
  <r>
    <s v="HXA-72415-025"/>
    <d v="2022-05-12T00:00:00"/>
    <x v="2"/>
    <n v="5"/>
    <x v="5"/>
    <s v="93417-12322-YB"/>
    <s v="A-D-2.5"/>
    <n v="2"/>
    <x v="606"/>
    <s v="dgadsdenib@google.com.hk"/>
    <x v="1"/>
    <x v="2"/>
    <s v="D"/>
    <x v="2"/>
    <n v="22.884999999999998"/>
    <x v="135"/>
    <x v="2"/>
    <x v="2"/>
  </r>
  <r>
    <s v="MJF-20065-335"/>
    <d v="2020-09-10T00:00:00"/>
    <x v="3"/>
    <n v="9"/>
    <x v="0"/>
    <s v="56891-86662-UY"/>
    <s v="E-L-0.5"/>
    <n v="6"/>
    <x v="607"/>
    <s v="vwakelinic@unesco.org"/>
    <x v="0"/>
    <x v="1"/>
    <s v="L"/>
    <x v="1"/>
    <n v="8.91"/>
    <x v="119"/>
    <x v="1"/>
    <x v="1"/>
  </r>
  <r>
    <s v="GFI-83300-059"/>
    <d v="2021-10-16T00:00:00"/>
    <x v="1"/>
    <n v="10"/>
    <x v="7"/>
    <s v="40414-26467-VE"/>
    <s v="A-M-0.2"/>
    <n v="6"/>
    <x v="608"/>
    <s v="acampsallid@zimbio.com"/>
    <x v="0"/>
    <x v="2"/>
    <s v="M"/>
    <x v="3"/>
    <n v="3.375"/>
    <x v="16"/>
    <x v="2"/>
    <x v="0"/>
  </r>
  <r>
    <s v="WJR-51493-682"/>
    <d v="2021-06-17T00:00:00"/>
    <x v="1"/>
    <n v="6"/>
    <x v="1"/>
    <s v="87858-83734-RK"/>
    <s v="L-D-2.5"/>
    <n v="5"/>
    <x v="609"/>
    <s v="smosebyie@stanford.edu"/>
    <x v="0"/>
    <x v="3"/>
    <s v="D"/>
    <x v="2"/>
    <n v="29.784999999999997"/>
    <x v="74"/>
    <x v="3"/>
    <x v="2"/>
  </r>
  <r>
    <s v="SHP-55648-472"/>
    <d v="2019-03-30T00:00:00"/>
    <x v="0"/>
    <n v="3"/>
    <x v="6"/>
    <s v="46818-20198-GB"/>
    <s v="A-M-1"/>
    <n v="6"/>
    <x v="610"/>
    <s v="cwassif@prweb.com"/>
    <x v="0"/>
    <x v="2"/>
    <s v="M"/>
    <x v="0"/>
    <n v="11.25"/>
    <x v="173"/>
    <x v="2"/>
    <x v="0"/>
  </r>
  <r>
    <s v="HYR-03455-684"/>
    <d v="2021-12-19T00:00:00"/>
    <x v="1"/>
    <n v="12"/>
    <x v="9"/>
    <s v="29808-89098-XD"/>
    <s v="E-D-1"/>
    <n v="6"/>
    <x v="611"/>
    <s v="isjostromig@pbs.org"/>
    <x v="0"/>
    <x v="1"/>
    <s v="D"/>
    <x v="0"/>
    <n v="12.15"/>
    <x v="118"/>
    <x v="1"/>
    <x v="2"/>
  </r>
  <r>
    <s v="HYR-03455-684"/>
    <d v="2021-12-19T00:00:00"/>
    <x v="1"/>
    <n v="12"/>
    <x v="9"/>
    <s v="29808-89098-XD"/>
    <s v="L-D-0.2"/>
    <n v="2"/>
    <x v="611"/>
    <s v="isjostromig@pbs.org"/>
    <x v="0"/>
    <x v="3"/>
    <s v="D"/>
    <x v="3"/>
    <n v="3.8849999999999998"/>
    <x v="41"/>
    <x v="3"/>
    <x v="2"/>
  </r>
  <r>
    <s v="HUG-52766-375"/>
    <d v="2020-06-05T00:00:00"/>
    <x v="3"/>
    <n v="6"/>
    <x v="1"/>
    <s v="78786-77449-RQ"/>
    <s v="A-D-2.5"/>
    <n v="4"/>
    <x v="612"/>
    <s v="jbranchettii@bravesites.com"/>
    <x v="0"/>
    <x v="2"/>
    <s v="D"/>
    <x v="2"/>
    <n v="22.884999999999998"/>
    <x v="21"/>
    <x v="2"/>
    <x v="2"/>
  </r>
  <r>
    <s v="DAH-46595-917"/>
    <d v="2021-09-12T00:00:00"/>
    <x v="1"/>
    <n v="9"/>
    <x v="0"/>
    <s v="27878-42224-QF"/>
    <s v="A-D-1"/>
    <n v="6"/>
    <x v="613"/>
    <s v="nrudlandij@blogs.com"/>
    <x v="1"/>
    <x v="2"/>
    <s v="D"/>
    <x v="0"/>
    <n v="9.9499999999999993"/>
    <x v="33"/>
    <x v="2"/>
    <x v="2"/>
  </r>
  <r>
    <s v="VEM-79839-466"/>
    <d v="2022-03-16T00:00:00"/>
    <x v="2"/>
    <n v="3"/>
    <x v="6"/>
    <s v="32743-78448-KT"/>
    <s v="R-L-2.5"/>
    <n v="5"/>
    <x v="605"/>
    <s v="jmillettik@addtoany.com"/>
    <x v="0"/>
    <x v="0"/>
    <s v="L"/>
    <x v="2"/>
    <n v="27.484999999999996"/>
    <x v="187"/>
    <x v="0"/>
    <x v="1"/>
  </r>
  <r>
    <s v="OWH-11126-533"/>
    <d v="2021-12-21T00:00:00"/>
    <x v="1"/>
    <n v="12"/>
    <x v="9"/>
    <s v="25331-13794-SB"/>
    <s v="L-M-2.5"/>
    <n v="2"/>
    <x v="614"/>
    <s v="ftourryil@google.de"/>
    <x v="0"/>
    <x v="3"/>
    <s v="M"/>
    <x v="2"/>
    <n v="33.464999999999996"/>
    <x v="174"/>
    <x v="3"/>
    <x v="0"/>
  </r>
  <r>
    <s v="UMT-26130-151"/>
    <d v="2019-05-21T00:00:00"/>
    <x v="0"/>
    <n v="5"/>
    <x v="5"/>
    <s v="55864-37682-GQ"/>
    <s v="L-M-0.2"/>
    <n v="3"/>
    <x v="615"/>
    <s v="cweatherallim@toplist.cz"/>
    <x v="0"/>
    <x v="3"/>
    <s v="M"/>
    <x v="3"/>
    <n v="4.3650000000000002"/>
    <x v="73"/>
    <x v="3"/>
    <x v="0"/>
  </r>
  <r>
    <s v="JKA-27899-806"/>
    <d v="2021-10-26T00:00:00"/>
    <x v="1"/>
    <n v="10"/>
    <x v="7"/>
    <s v="97005-25609-CQ"/>
    <s v="R-L-1"/>
    <n v="5"/>
    <x v="616"/>
    <s v="gheindrickin@usda.gov"/>
    <x v="0"/>
    <x v="0"/>
    <s v="L"/>
    <x v="0"/>
    <n v="11.95"/>
    <x v="143"/>
    <x v="0"/>
    <x v="1"/>
  </r>
  <r>
    <s v="ULU-07744-724"/>
    <d v="2020-03-26T00:00:00"/>
    <x v="3"/>
    <n v="3"/>
    <x v="6"/>
    <s v="94058-95794-IJ"/>
    <s v="L-M-0.5"/>
    <n v="5"/>
    <x v="617"/>
    <s v="limasonio@discuz.net"/>
    <x v="0"/>
    <x v="3"/>
    <s v="M"/>
    <x v="1"/>
    <n v="8.73"/>
    <x v="34"/>
    <x v="3"/>
    <x v="0"/>
  </r>
  <r>
    <s v="NOM-56457-507"/>
    <d v="2020-10-14T00:00:00"/>
    <x v="3"/>
    <n v="10"/>
    <x v="7"/>
    <s v="40214-03678-GU"/>
    <s v="E-M-1"/>
    <n v="6"/>
    <x v="618"/>
    <s v="hsaillip@odnoklassniki.ru"/>
    <x v="0"/>
    <x v="1"/>
    <s v="M"/>
    <x v="0"/>
    <n v="13.75"/>
    <x v="121"/>
    <x v="1"/>
    <x v="0"/>
  </r>
  <r>
    <s v="NZN-71683-705"/>
    <d v="2021-12-13T00:00:00"/>
    <x v="1"/>
    <n v="12"/>
    <x v="9"/>
    <s v="04921-85445-SL"/>
    <s v="A-L-2.5"/>
    <n v="6"/>
    <x v="619"/>
    <s v="hlarvoriq@last.fm"/>
    <x v="0"/>
    <x v="2"/>
    <s v="L"/>
    <x v="2"/>
    <n v="29.784999999999997"/>
    <x v="39"/>
    <x v="2"/>
    <x v="1"/>
  </r>
  <r>
    <s v="WMA-34232-850"/>
    <d v="2021-03-08T00:00:00"/>
    <x v="1"/>
    <n v="3"/>
    <x v="6"/>
    <s v="53386-94266-LJ"/>
    <s v="L-D-2.5"/>
    <n v="4"/>
    <x v="620"/>
    <s v=""/>
    <x v="0"/>
    <x v="3"/>
    <s v="D"/>
    <x v="2"/>
    <n v="29.784999999999997"/>
    <x v="129"/>
    <x v="3"/>
    <x v="2"/>
  </r>
  <r>
    <s v="EZL-27919-704"/>
    <d v="2021-01-21T00:00:00"/>
    <x v="1"/>
    <n v="1"/>
    <x v="4"/>
    <s v="49480-85909-DG"/>
    <s v="L-L-0.5"/>
    <n v="5"/>
    <x v="621"/>
    <s v=""/>
    <x v="0"/>
    <x v="3"/>
    <s v="L"/>
    <x v="1"/>
    <n v="9.51"/>
    <x v="46"/>
    <x v="3"/>
    <x v="1"/>
  </r>
  <r>
    <s v="ZYU-11345-774"/>
    <d v="2021-01-10T00:00:00"/>
    <x v="1"/>
    <n v="1"/>
    <x v="4"/>
    <s v="18293-78136-MN"/>
    <s v="L-M-0.5"/>
    <n v="5"/>
    <x v="622"/>
    <s v="cpenwardenit@mlb.com"/>
    <x v="1"/>
    <x v="3"/>
    <s v="M"/>
    <x v="1"/>
    <n v="8.73"/>
    <x v="34"/>
    <x v="3"/>
    <x v="0"/>
  </r>
  <r>
    <s v="CPW-34587-459"/>
    <d v="2021-03-26T00:00:00"/>
    <x v="1"/>
    <n v="3"/>
    <x v="6"/>
    <s v="84641-67384-TD"/>
    <s v="A-L-2.5"/>
    <n v="6"/>
    <x v="623"/>
    <s v="mmiddisiu@dmoz.org"/>
    <x v="0"/>
    <x v="2"/>
    <s v="L"/>
    <x v="2"/>
    <n v="29.784999999999997"/>
    <x v="39"/>
    <x v="2"/>
    <x v="1"/>
  </r>
  <r>
    <s v="NQZ-82067-394"/>
    <d v="2022-03-25T00:00:00"/>
    <x v="2"/>
    <n v="3"/>
    <x v="6"/>
    <s v="72320-29738-EB"/>
    <s v="R-L-2.5"/>
    <n v="1"/>
    <x v="624"/>
    <s v="avairowiv@studiopress.com"/>
    <x v="3"/>
    <x v="0"/>
    <s v="L"/>
    <x v="2"/>
    <n v="27.484999999999996"/>
    <x v="142"/>
    <x v="0"/>
    <x v="1"/>
  </r>
  <r>
    <s v="JBW-95055-851"/>
    <d v="2021-07-22T00:00:00"/>
    <x v="1"/>
    <n v="7"/>
    <x v="2"/>
    <s v="47355-97488-XS"/>
    <s v="A-M-1"/>
    <n v="5"/>
    <x v="625"/>
    <s v="agoldieiw@goo.gl"/>
    <x v="0"/>
    <x v="2"/>
    <s v="M"/>
    <x v="0"/>
    <n v="11.25"/>
    <x v="126"/>
    <x v="2"/>
    <x v="0"/>
  </r>
  <r>
    <s v="AHY-20324-088"/>
    <d v="2020-09-06T00:00:00"/>
    <x v="3"/>
    <n v="9"/>
    <x v="0"/>
    <s v="63499-24884-PP"/>
    <s v="L-L-0.2"/>
    <n v="2"/>
    <x v="626"/>
    <s v="nayrisix@t-online.de"/>
    <x v="3"/>
    <x v="3"/>
    <s v="L"/>
    <x v="3"/>
    <n v="4.7549999999999999"/>
    <x v="54"/>
    <x v="3"/>
    <x v="1"/>
  </r>
  <r>
    <s v="ZSL-66684-103"/>
    <d v="2019-12-28T00:00:00"/>
    <x v="0"/>
    <n v="12"/>
    <x v="9"/>
    <s v="39193-51770-FM"/>
    <s v="E-M-0.2"/>
    <n v="2"/>
    <x v="627"/>
    <s v="lbenediktovichiy@wunderground.com"/>
    <x v="0"/>
    <x v="1"/>
    <s v="M"/>
    <x v="3"/>
    <n v="4.125"/>
    <x v="112"/>
    <x v="1"/>
    <x v="0"/>
  </r>
  <r>
    <s v="WNE-73911-475"/>
    <d v="2020-04-20T00:00:00"/>
    <x v="3"/>
    <n v="4"/>
    <x v="8"/>
    <s v="61323-91967-GG"/>
    <s v="L-D-0.5"/>
    <n v="6"/>
    <x v="628"/>
    <s v="tjacobovitziz@cbc.ca"/>
    <x v="0"/>
    <x v="3"/>
    <s v="D"/>
    <x v="1"/>
    <n v="7.77"/>
    <x v="162"/>
    <x v="3"/>
    <x v="2"/>
  </r>
  <r>
    <s v="EZB-68383-559"/>
    <d v="2019-02-21T00:00:00"/>
    <x v="0"/>
    <n v="2"/>
    <x v="10"/>
    <s v="90123-01967-KS"/>
    <s v="R-L-1"/>
    <n v="6"/>
    <x v="629"/>
    <s v=""/>
    <x v="0"/>
    <x v="0"/>
    <s v="L"/>
    <x v="0"/>
    <n v="11.95"/>
    <x v="144"/>
    <x v="0"/>
    <x v="1"/>
  </r>
  <r>
    <s v="OVO-01283-090"/>
    <d v="2022-03-17T00:00:00"/>
    <x v="2"/>
    <n v="3"/>
    <x v="6"/>
    <s v="15958-25089-OS"/>
    <s v="L-L-2.5"/>
    <n v="2"/>
    <x v="630"/>
    <s v="jdruittj1@feedburner.com"/>
    <x v="0"/>
    <x v="3"/>
    <s v="L"/>
    <x v="2"/>
    <n v="36.454999999999998"/>
    <x v="37"/>
    <x v="3"/>
    <x v="1"/>
  </r>
  <r>
    <s v="TXH-78646-919"/>
    <d v="2021-05-14T00:00:00"/>
    <x v="1"/>
    <n v="5"/>
    <x v="5"/>
    <s v="98430-37820-UV"/>
    <s v="R-D-0.2"/>
    <n v="3"/>
    <x v="631"/>
    <s v="dshortallj2@wikipedia.org"/>
    <x v="0"/>
    <x v="0"/>
    <s v="D"/>
    <x v="3"/>
    <n v="2.6849999999999996"/>
    <x v="36"/>
    <x v="0"/>
    <x v="2"/>
  </r>
  <r>
    <s v="CYZ-37122-164"/>
    <d v="2019-01-06T00:00:00"/>
    <x v="0"/>
    <n v="1"/>
    <x v="4"/>
    <s v="21798-04171-XC"/>
    <s v="E-M-0.5"/>
    <n v="2"/>
    <x v="632"/>
    <s v="wcottierj3@cafepress.com"/>
    <x v="0"/>
    <x v="1"/>
    <s v="M"/>
    <x v="1"/>
    <n v="8.25"/>
    <x v="38"/>
    <x v="1"/>
    <x v="0"/>
  </r>
  <r>
    <s v="AGQ-06534-750"/>
    <d v="2019-04-24T00:00:00"/>
    <x v="0"/>
    <n v="4"/>
    <x v="8"/>
    <s v="52798-46508-HP"/>
    <s v="A-L-1"/>
    <n v="5"/>
    <x v="633"/>
    <s v="kgrinstedj4@google.com.br"/>
    <x v="1"/>
    <x v="2"/>
    <s v="L"/>
    <x v="0"/>
    <n v="12.95"/>
    <x v="188"/>
    <x v="2"/>
    <x v="1"/>
  </r>
  <r>
    <s v="QVL-32245-818"/>
    <d v="2021-05-30T00:00:00"/>
    <x v="1"/>
    <n v="5"/>
    <x v="5"/>
    <s v="46478-42970-EM"/>
    <s v="A-M-0.5"/>
    <n v="5"/>
    <x v="634"/>
    <s v="dskynerj5@hubpages.com"/>
    <x v="0"/>
    <x v="2"/>
    <s v="M"/>
    <x v="1"/>
    <n v="6.75"/>
    <x v="65"/>
    <x v="2"/>
    <x v="0"/>
  </r>
  <r>
    <s v="LTD-96842-834"/>
    <d v="2022-07-12T00:00:00"/>
    <x v="2"/>
    <n v="7"/>
    <x v="2"/>
    <s v="00246-15080-LE"/>
    <s v="L-D-2.5"/>
    <n v="6"/>
    <x v="635"/>
    <s v=""/>
    <x v="0"/>
    <x v="3"/>
    <s v="D"/>
    <x v="2"/>
    <n v="29.784999999999997"/>
    <x v="39"/>
    <x v="3"/>
    <x v="2"/>
  </r>
  <r>
    <s v="SEC-91807-425"/>
    <d v="2021-01-31T00:00:00"/>
    <x v="1"/>
    <n v="1"/>
    <x v="4"/>
    <s v="94091-86957-HX"/>
    <s v="A-M-1"/>
    <n v="2"/>
    <x v="636"/>
    <s v="jdymokeje@prnewswire.com"/>
    <x v="1"/>
    <x v="2"/>
    <s v="M"/>
    <x v="0"/>
    <n v="11.25"/>
    <x v="122"/>
    <x v="2"/>
    <x v="0"/>
  </r>
  <r>
    <s v="MHM-44857-599"/>
    <d v="2019-09-12T00:00:00"/>
    <x v="0"/>
    <n v="9"/>
    <x v="0"/>
    <s v="26295-44907-DK"/>
    <s v="L-D-1"/>
    <n v="1"/>
    <x v="637"/>
    <s v="aweinmannj8@shinystat.com"/>
    <x v="0"/>
    <x v="3"/>
    <s v="D"/>
    <x v="0"/>
    <n v="12.95"/>
    <x v="2"/>
    <x v="3"/>
    <x v="2"/>
  </r>
  <r>
    <s v="KGC-95046-911"/>
    <d v="2020-06-30T00:00:00"/>
    <x v="3"/>
    <n v="6"/>
    <x v="1"/>
    <s v="95351-96177-QV"/>
    <s v="A-M-2.5"/>
    <n v="2"/>
    <x v="638"/>
    <s v="eandriessenj9@europa.eu"/>
    <x v="0"/>
    <x v="2"/>
    <s v="M"/>
    <x v="2"/>
    <n v="25.874999999999996"/>
    <x v="95"/>
    <x v="2"/>
    <x v="0"/>
  </r>
  <r>
    <s v="RZC-75150-413"/>
    <d v="2020-03-25T00:00:00"/>
    <x v="3"/>
    <n v="3"/>
    <x v="6"/>
    <s v="92204-96636-BS"/>
    <s v="E-D-0.5"/>
    <n v="5"/>
    <x v="639"/>
    <s v="rdeaconsonja@archive.org"/>
    <x v="0"/>
    <x v="1"/>
    <s v="D"/>
    <x v="1"/>
    <n v="7.29"/>
    <x v="114"/>
    <x v="1"/>
    <x v="2"/>
  </r>
  <r>
    <s v="EYH-88288-452"/>
    <d v="2021-04-14T00:00:00"/>
    <x v="1"/>
    <n v="4"/>
    <x v="8"/>
    <s v="03010-30348-UA"/>
    <s v="L-L-2.5"/>
    <n v="5"/>
    <x v="640"/>
    <s v="dcarojb@twitter.com"/>
    <x v="0"/>
    <x v="3"/>
    <s v="L"/>
    <x v="2"/>
    <n v="36.454999999999998"/>
    <x v="134"/>
    <x v="3"/>
    <x v="1"/>
  </r>
  <r>
    <s v="NYQ-24237-772"/>
    <d v="2019-08-16T00:00:00"/>
    <x v="0"/>
    <n v="8"/>
    <x v="3"/>
    <s v="13441-34686-SW"/>
    <s v="L-D-0.5"/>
    <n v="4"/>
    <x v="641"/>
    <s v="jbluckjc@imageshack.us"/>
    <x v="0"/>
    <x v="3"/>
    <s v="D"/>
    <x v="1"/>
    <n v="7.77"/>
    <x v="113"/>
    <x v="3"/>
    <x v="2"/>
  </r>
  <r>
    <s v="WKB-21680-566"/>
    <d v="2021-12-17T00:00:00"/>
    <x v="1"/>
    <n v="12"/>
    <x v="9"/>
    <s v="96612-41722-VJ"/>
    <s v="A-M-0.5"/>
    <n v="3"/>
    <x v="642"/>
    <s v=""/>
    <x v="1"/>
    <x v="2"/>
    <s v="M"/>
    <x v="1"/>
    <n v="6.75"/>
    <x v="16"/>
    <x v="2"/>
    <x v="0"/>
  </r>
  <r>
    <s v="THE-61147-027"/>
    <d v="2019-12-31T00:00:00"/>
    <x v="0"/>
    <n v="12"/>
    <x v="9"/>
    <s v="94091-86957-HX"/>
    <s v="L-D-1"/>
    <n v="2"/>
    <x v="636"/>
    <s v="jdymokeje@prnewswire.com"/>
    <x v="1"/>
    <x v="3"/>
    <s v="D"/>
    <x v="0"/>
    <n v="12.95"/>
    <x v="109"/>
    <x v="3"/>
    <x v="2"/>
  </r>
  <r>
    <s v="PTY-86420-119"/>
    <d v="2021-04-12T00:00:00"/>
    <x v="1"/>
    <n v="4"/>
    <x v="8"/>
    <s v="25504-41681-WA"/>
    <s v="A-D-0.5"/>
    <n v="4"/>
    <x v="643"/>
    <s v="otadmanjf@ft.com"/>
    <x v="0"/>
    <x v="2"/>
    <s v="D"/>
    <x v="1"/>
    <n v="5.97"/>
    <x v="86"/>
    <x v="2"/>
    <x v="2"/>
  </r>
  <r>
    <s v="QHL-27188-431"/>
    <d v="2019-09-28T00:00:00"/>
    <x v="0"/>
    <n v="9"/>
    <x v="0"/>
    <s v="75443-07820-DZ"/>
    <s v="L-L-0.5"/>
    <n v="2"/>
    <x v="644"/>
    <s v="bguddejg@dailymotion.com"/>
    <x v="0"/>
    <x v="3"/>
    <s v="L"/>
    <x v="1"/>
    <n v="9.51"/>
    <x v="81"/>
    <x v="3"/>
    <x v="1"/>
  </r>
  <r>
    <s v="MIS-54381-047"/>
    <d v="2022-06-15T00:00:00"/>
    <x v="2"/>
    <n v="6"/>
    <x v="1"/>
    <s v="39276-95489-XV"/>
    <s v="A-D-0.5"/>
    <n v="5"/>
    <x v="645"/>
    <s v="nsictornesjh@buzzfeed.com"/>
    <x v="1"/>
    <x v="2"/>
    <s v="D"/>
    <x v="1"/>
    <n v="5.97"/>
    <x v="44"/>
    <x v="2"/>
    <x v="2"/>
  </r>
  <r>
    <s v="TBB-29780-459"/>
    <d v="2019-07-15T00:00:00"/>
    <x v="0"/>
    <n v="7"/>
    <x v="2"/>
    <s v="61437-83623-PZ"/>
    <s v="A-L-0.5"/>
    <n v="1"/>
    <x v="646"/>
    <s v="vdunningji@independent.co.uk"/>
    <x v="0"/>
    <x v="2"/>
    <s v="L"/>
    <x v="1"/>
    <n v="7.77"/>
    <x v="41"/>
    <x v="2"/>
    <x v="1"/>
  </r>
  <r>
    <s v="QLC-52637-305"/>
    <d v="2019-02-10T00:00:00"/>
    <x v="0"/>
    <n v="2"/>
    <x v="10"/>
    <s v="34317-87258-HQ"/>
    <s v="L-D-2.5"/>
    <n v="4"/>
    <x v="647"/>
    <s v=""/>
    <x v="1"/>
    <x v="3"/>
    <s v="D"/>
    <x v="2"/>
    <n v="29.784999999999997"/>
    <x v="129"/>
    <x v="3"/>
    <x v="2"/>
  </r>
  <r>
    <s v="CWT-27056-328"/>
    <d v="2022-06-04T00:00:00"/>
    <x v="2"/>
    <n v="6"/>
    <x v="1"/>
    <s v="18570-80998-ZS"/>
    <s v="E-D-0.2"/>
    <n v="6"/>
    <x v="648"/>
    <s v=""/>
    <x v="0"/>
    <x v="1"/>
    <s v="D"/>
    <x v="3"/>
    <n v="3.645"/>
    <x v="6"/>
    <x v="1"/>
    <x v="2"/>
  </r>
  <r>
    <s v="ASS-05878-128"/>
    <d v="2020-10-10T00:00:00"/>
    <x v="3"/>
    <n v="10"/>
    <x v="7"/>
    <s v="66580-33745-OQ"/>
    <s v="E-L-0.5"/>
    <n v="2"/>
    <x v="649"/>
    <s v="sgehringjl@gnu.org"/>
    <x v="0"/>
    <x v="1"/>
    <s v="L"/>
    <x v="1"/>
    <n v="8.91"/>
    <x v="58"/>
    <x v="1"/>
    <x v="1"/>
  </r>
  <r>
    <s v="EGK-03027-418"/>
    <d v="2021-06-06T00:00:00"/>
    <x v="1"/>
    <n v="6"/>
    <x v="1"/>
    <s v="19820-29285-FD"/>
    <s v="E-M-0.2"/>
    <n v="3"/>
    <x v="650"/>
    <s v="bfallowesjm@purevolume.com"/>
    <x v="0"/>
    <x v="1"/>
    <s v="M"/>
    <x v="3"/>
    <n v="4.125"/>
    <x v="24"/>
    <x v="1"/>
    <x v="0"/>
  </r>
  <r>
    <s v="KCY-61732-849"/>
    <d v="2019-03-16T00:00:00"/>
    <x v="0"/>
    <n v="3"/>
    <x v="6"/>
    <s v="11349-55147-SN"/>
    <s v="L-D-1"/>
    <n v="2"/>
    <x v="651"/>
    <s v=""/>
    <x v="1"/>
    <x v="3"/>
    <s v="D"/>
    <x v="0"/>
    <n v="12.95"/>
    <x v="109"/>
    <x v="3"/>
    <x v="2"/>
  </r>
  <r>
    <s v="BLI-21697-702"/>
    <d v="2019-12-05T00:00:00"/>
    <x v="0"/>
    <n v="12"/>
    <x v="9"/>
    <s v="21141-12455-VB"/>
    <s v="A-M-0.5"/>
    <n v="2"/>
    <x v="652"/>
    <s v="sdejo@newsvine.com"/>
    <x v="0"/>
    <x v="2"/>
    <s v="M"/>
    <x v="1"/>
    <n v="6.75"/>
    <x v="72"/>
    <x v="2"/>
    <x v="0"/>
  </r>
  <r>
    <s v="KFJ-46568-890"/>
    <d v="2019-01-20T00:00:00"/>
    <x v="0"/>
    <n v="1"/>
    <x v="4"/>
    <s v="71003-85639-HB"/>
    <s v="E-L-0.5"/>
    <n v="2"/>
    <x v="653"/>
    <s v=""/>
    <x v="0"/>
    <x v="1"/>
    <s v="L"/>
    <x v="1"/>
    <n v="8.91"/>
    <x v="58"/>
    <x v="1"/>
    <x v="1"/>
  </r>
  <r>
    <s v="SOK-43535-680"/>
    <d v="2022-04-04T00:00:00"/>
    <x v="2"/>
    <n v="4"/>
    <x v="8"/>
    <s v="58443-95866-YO"/>
    <s v="E-M-0.5"/>
    <n v="3"/>
    <x v="654"/>
    <s v="scountjq@nba.com"/>
    <x v="0"/>
    <x v="1"/>
    <s v="M"/>
    <x v="1"/>
    <n v="8.25"/>
    <x v="167"/>
    <x v="1"/>
    <x v="0"/>
  </r>
  <r>
    <s v="XUE-87260-201"/>
    <d v="2022-02-08T00:00:00"/>
    <x v="2"/>
    <n v="2"/>
    <x v="10"/>
    <s v="89646-21249-OH"/>
    <s v="R-M-0.2"/>
    <n v="6"/>
    <x v="655"/>
    <s v="sraglesjr@blogtalkradio.com"/>
    <x v="0"/>
    <x v="0"/>
    <s v="M"/>
    <x v="3"/>
    <n v="2.9849999999999999"/>
    <x v="8"/>
    <x v="0"/>
    <x v="0"/>
  </r>
  <r>
    <s v="CZF-40873-691"/>
    <d v="2019-06-30T00:00:00"/>
    <x v="0"/>
    <n v="6"/>
    <x v="1"/>
    <s v="64988-20636-XQ"/>
    <s v="E-M-0.5"/>
    <n v="2"/>
    <x v="656"/>
    <s v=""/>
    <x v="3"/>
    <x v="1"/>
    <s v="M"/>
    <x v="1"/>
    <n v="8.25"/>
    <x v="38"/>
    <x v="1"/>
    <x v="0"/>
  </r>
  <r>
    <s v="AIA-98989-755"/>
    <d v="2020-05-09T00:00:00"/>
    <x v="3"/>
    <n v="5"/>
    <x v="5"/>
    <s v="34704-83143-KS"/>
    <s v="R-M-0.2"/>
    <n v="1"/>
    <x v="657"/>
    <s v="sbruunjt@blogtalkradio.com"/>
    <x v="0"/>
    <x v="0"/>
    <s v="M"/>
    <x v="3"/>
    <n v="2.9849999999999999"/>
    <x v="55"/>
    <x v="0"/>
    <x v="0"/>
  </r>
  <r>
    <s v="ITZ-21793-986"/>
    <d v="2021-06-11T00:00:00"/>
    <x v="1"/>
    <n v="6"/>
    <x v="1"/>
    <s v="67388-17544-XX"/>
    <s v="E-D-0.2"/>
    <n v="4"/>
    <x v="658"/>
    <s v="aplluju@dagondesign.com"/>
    <x v="1"/>
    <x v="1"/>
    <s v="D"/>
    <x v="3"/>
    <n v="3.645"/>
    <x v="20"/>
    <x v="1"/>
    <x v="2"/>
  </r>
  <r>
    <s v="YOK-93322-608"/>
    <d v="2021-11-04T00:00:00"/>
    <x v="1"/>
    <n v="11"/>
    <x v="11"/>
    <s v="69411-48470-ID"/>
    <s v="E-L-1"/>
    <n v="6"/>
    <x v="659"/>
    <s v="gcornierjv@techcrunch.com"/>
    <x v="0"/>
    <x v="1"/>
    <s v="L"/>
    <x v="0"/>
    <n v="14.85"/>
    <x v="146"/>
    <x v="1"/>
    <x v="1"/>
  </r>
  <r>
    <s v="LXK-00634-611"/>
    <d v="2022-02-20T00:00:00"/>
    <x v="2"/>
    <n v="2"/>
    <x v="10"/>
    <s v="94091-86957-HX"/>
    <s v="R-L-1"/>
    <n v="3"/>
    <x v="28"/>
    <s v="Not Found"/>
    <x v="2"/>
    <x v="0"/>
    <s v="L"/>
    <x v="0"/>
    <n v="11.95"/>
    <x v="66"/>
    <x v="0"/>
    <x v="1"/>
  </r>
  <r>
    <s v="CQW-37388-302"/>
    <d v="2019-07-03T00:00:00"/>
    <x v="0"/>
    <n v="7"/>
    <x v="2"/>
    <s v="97741-98924-KT"/>
    <s v="A-D-2.5"/>
    <n v="3"/>
    <x v="660"/>
    <s v="wharvisonjx@gizmodo.com"/>
    <x v="0"/>
    <x v="2"/>
    <s v="D"/>
    <x v="2"/>
    <n v="22.884999999999998"/>
    <x v="96"/>
    <x v="2"/>
    <x v="2"/>
  </r>
  <r>
    <s v="SPA-79365-334"/>
    <d v="2021-06-01T00:00:00"/>
    <x v="1"/>
    <n v="6"/>
    <x v="1"/>
    <s v="79857-78167-KO"/>
    <s v="L-D-1"/>
    <n v="3"/>
    <x v="661"/>
    <s v="dheafordjy@twitpic.com"/>
    <x v="0"/>
    <x v="3"/>
    <s v="D"/>
    <x v="0"/>
    <n v="12.95"/>
    <x v="5"/>
    <x v="3"/>
    <x v="2"/>
  </r>
  <r>
    <s v="VPX-08817-517"/>
    <d v="2020-11-15T00:00:00"/>
    <x v="3"/>
    <n v="11"/>
    <x v="11"/>
    <s v="46963-10322-ZA"/>
    <s v="L-L-1"/>
    <n v="5"/>
    <x v="662"/>
    <s v="gfanthamjz@hexun.com"/>
    <x v="0"/>
    <x v="3"/>
    <s v="L"/>
    <x v="0"/>
    <n v="15.85"/>
    <x v="180"/>
    <x v="3"/>
    <x v="1"/>
  </r>
  <r>
    <s v="PBP-87115-410"/>
    <d v="2021-01-19T00:00:00"/>
    <x v="1"/>
    <n v="1"/>
    <x v="4"/>
    <s v="93812-74772-MV"/>
    <s v="E-D-0.5"/>
    <n v="5"/>
    <x v="663"/>
    <s v="rcrookshanksk0@unc.edu"/>
    <x v="0"/>
    <x v="1"/>
    <s v="D"/>
    <x v="1"/>
    <n v="7.29"/>
    <x v="114"/>
    <x v="1"/>
    <x v="2"/>
  </r>
  <r>
    <s v="SFB-93752-440"/>
    <d v="2021-10-10T00:00:00"/>
    <x v="1"/>
    <n v="10"/>
    <x v="7"/>
    <s v="48203-23480-UB"/>
    <s v="R-M-0.2"/>
    <n v="3"/>
    <x v="664"/>
    <s v="nleakek1@cmu.edu"/>
    <x v="0"/>
    <x v="0"/>
    <s v="M"/>
    <x v="3"/>
    <n v="2.9849999999999999"/>
    <x v="169"/>
    <x v="0"/>
    <x v="0"/>
  </r>
  <r>
    <s v="TBU-65158-068"/>
    <d v="2022-02-28T00:00:00"/>
    <x v="2"/>
    <n v="2"/>
    <x v="10"/>
    <s v="60357-65386-RD"/>
    <s v="E-D-1"/>
    <n v="2"/>
    <x v="665"/>
    <s v=""/>
    <x v="0"/>
    <x v="1"/>
    <s v="D"/>
    <x v="0"/>
    <n v="12.15"/>
    <x v="76"/>
    <x v="1"/>
    <x v="2"/>
  </r>
  <r>
    <s v="TEH-08414-216"/>
    <d v="2021-10-01T00:00:00"/>
    <x v="1"/>
    <n v="10"/>
    <x v="7"/>
    <s v="35099-13971-JI"/>
    <s v="E-M-2.5"/>
    <n v="2"/>
    <x v="666"/>
    <s v="geilhersenk3@networksolutions.com"/>
    <x v="0"/>
    <x v="1"/>
    <s v="M"/>
    <x v="2"/>
    <n v="31.624999999999996"/>
    <x v="40"/>
    <x v="1"/>
    <x v="0"/>
  </r>
  <r>
    <s v="MAY-77231-536"/>
    <d v="2020-09-02T00:00:00"/>
    <x v="3"/>
    <n v="9"/>
    <x v="0"/>
    <s v="01304-59807-OB"/>
    <s v="A-M-0.2"/>
    <n v="2"/>
    <x v="667"/>
    <s v=""/>
    <x v="0"/>
    <x v="2"/>
    <s v="M"/>
    <x v="3"/>
    <n v="3.375"/>
    <x v="52"/>
    <x v="2"/>
    <x v="0"/>
  </r>
  <r>
    <s v="ATY-28980-884"/>
    <d v="2020-07-31T00:00:00"/>
    <x v="3"/>
    <n v="7"/>
    <x v="2"/>
    <s v="50705-17295-NK"/>
    <s v="A-L-0.2"/>
    <n v="6"/>
    <x v="668"/>
    <s v="caleixok5@globo.com"/>
    <x v="0"/>
    <x v="2"/>
    <s v="L"/>
    <x v="3"/>
    <n v="3.8849999999999998"/>
    <x v="102"/>
    <x v="2"/>
    <x v="1"/>
  </r>
  <r>
    <s v="SWP-88281-918"/>
    <d v="2022-01-10T00:00:00"/>
    <x v="2"/>
    <n v="1"/>
    <x v="4"/>
    <s v="77657-61366-FY"/>
    <s v="L-L-2.5"/>
    <n v="4"/>
    <x v="669"/>
    <s v=""/>
    <x v="0"/>
    <x v="3"/>
    <s v="L"/>
    <x v="2"/>
    <n v="36.454999999999998"/>
    <x v="43"/>
    <x v="3"/>
    <x v="1"/>
  </r>
  <r>
    <s v="VCE-56531-986"/>
    <d v="2021-03-09T00:00:00"/>
    <x v="1"/>
    <n v="3"/>
    <x v="6"/>
    <s v="57192-13428-PL"/>
    <s v="R-M-0.5"/>
    <n v="5"/>
    <x v="670"/>
    <s v="rtomkowiczk7@bravesites.com"/>
    <x v="1"/>
    <x v="0"/>
    <s v="M"/>
    <x v="1"/>
    <n v="5.97"/>
    <x v="44"/>
    <x v="0"/>
    <x v="0"/>
  </r>
  <r>
    <s v="FVV-75700-005"/>
    <d v="2020-11-20T00:00:00"/>
    <x v="3"/>
    <n v="11"/>
    <x v="11"/>
    <s v="24891-77957-LU"/>
    <s v="E-D-0.5"/>
    <n v="3"/>
    <x v="671"/>
    <s v="rhuscroftk8@jimdo.com"/>
    <x v="0"/>
    <x v="1"/>
    <s v="D"/>
    <x v="1"/>
    <n v="7.29"/>
    <x v="6"/>
    <x v="1"/>
    <x v="2"/>
  </r>
  <r>
    <s v="CFZ-53492-600"/>
    <d v="2022-03-14T00:00:00"/>
    <x v="2"/>
    <n v="3"/>
    <x v="6"/>
    <s v="64896-18468-BT"/>
    <s v="L-M-0.2"/>
    <n v="1"/>
    <x v="672"/>
    <s v="sscurrerk9@flavors.me"/>
    <x v="3"/>
    <x v="3"/>
    <s v="M"/>
    <x v="3"/>
    <n v="4.3650000000000002"/>
    <x v="189"/>
    <x v="3"/>
    <x v="0"/>
  </r>
  <r>
    <s v="LDK-71031-121"/>
    <d v="2019-01-10T00:00:00"/>
    <x v="0"/>
    <n v="1"/>
    <x v="4"/>
    <s v="84761-40784-SV"/>
    <s v="L-L-2.5"/>
    <n v="1"/>
    <x v="673"/>
    <s v="arudramka@prnewswire.com"/>
    <x v="0"/>
    <x v="3"/>
    <s v="L"/>
    <x v="2"/>
    <n v="36.454999999999998"/>
    <x v="133"/>
    <x v="3"/>
    <x v="1"/>
  </r>
  <r>
    <s v="EBA-82404-343"/>
    <d v="2021-01-26T00:00:00"/>
    <x v="1"/>
    <n v="1"/>
    <x v="4"/>
    <s v="20236-42322-CM"/>
    <s v="L-D-0.2"/>
    <n v="4"/>
    <x v="674"/>
    <s v=""/>
    <x v="0"/>
    <x v="3"/>
    <s v="D"/>
    <x v="3"/>
    <n v="3.8849999999999998"/>
    <x v="42"/>
    <x v="3"/>
    <x v="2"/>
  </r>
  <r>
    <s v="USA-42811-560"/>
    <d v="2021-04-26T00:00:00"/>
    <x v="1"/>
    <n v="4"/>
    <x v="8"/>
    <s v="49671-11547-WG"/>
    <s v="E-L-0.2"/>
    <n v="2"/>
    <x v="675"/>
    <s v="jmahakc@cyberchimps.com"/>
    <x v="0"/>
    <x v="1"/>
    <s v="L"/>
    <x v="3"/>
    <n v="4.4550000000000001"/>
    <x v="161"/>
    <x v="1"/>
    <x v="1"/>
  </r>
  <r>
    <s v="SNL-83703-516"/>
    <d v="2022-01-04T00:00:00"/>
    <x v="2"/>
    <n v="1"/>
    <x v="4"/>
    <s v="57976-33535-WK"/>
    <s v="L-M-2.5"/>
    <n v="3"/>
    <x v="676"/>
    <s v="gclemonkd@networksolutions.com"/>
    <x v="0"/>
    <x v="3"/>
    <s v="M"/>
    <x v="2"/>
    <n v="33.464999999999996"/>
    <x v="64"/>
    <x v="3"/>
    <x v="0"/>
  </r>
  <r>
    <s v="SUZ-83036-175"/>
    <d v="2019-08-20T00:00:00"/>
    <x v="0"/>
    <n v="8"/>
    <x v="3"/>
    <s v="55915-19477-MK"/>
    <s v="R-D-0.2"/>
    <n v="5"/>
    <x v="677"/>
    <s v=""/>
    <x v="0"/>
    <x v="0"/>
    <s v="D"/>
    <x v="3"/>
    <n v="2.6849999999999996"/>
    <x v="148"/>
    <x v="0"/>
    <x v="2"/>
  </r>
  <r>
    <s v="RGM-01187-513"/>
    <d v="2022-07-15T00:00:00"/>
    <x v="2"/>
    <n v="7"/>
    <x v="2"/>
    <s v="28121-11641-UA"/>
    <s v="E-D-0.2"/>
    <n v="6"/>
    <x v="678"/>
    <s v="bpollinskf@shinystat.com"/>
    <x v="0"/>
    <x v="1"/>
    <s v="D"/>
    <x v="3"/>
    <n v="3.645"/>
    <x v="6"/>
    <x v="1"/>
    <x v="2"/>
  </r>
  <r>
    <s v="CZG-01299-952"/>
    <d v="2019-02-12T00:00:00"/>
    <x v="0"/>
    <n v="2"/>
    <x v="10"/>
    <s v="09540-70637-EV"/>
    <s v="L-D-1"/>
    <n v="2"/>
    <x v="679"/>
    <s v="jtoyekg@pinterest.com"/>
    <x v="1"/>
    <x v="3"/>
    <s v="D"/>
    <x v="0"/>
    <n v="12.95"/>
    <x v="109"/>
    <x v="3"/>
    <x v="2"/>
  </r>
  <r>
    <s v="KLD-88731-484"/>
    <d v="2021-09-08T00:00:00"/>
    <x v="1"/>
    <n v="9"/>
    <x v="0"/>
    <s v="17775-77072-PP"/>
    <s v="A-M-1"/>
    <n v="5"/>
    <x v="680"/>
    <s v="clinskillkh@sphinn.com"/>
    <x v="0"/>
    <x v="2"/>
    <s v="M"/>
    <x v="0"/>
    <n v="11.25"/>
    <x v="126"/>
    <x v="2"/>
    <x v="0"/>
  </r>
  <r>
    <s v="BQK-38412-229"/>
    <d v="2019-12-13T00:00:00"/>
    <x v="0"/>
    <n v="12"/>
    <x v="9"/>
    <s v="90392-73338-BC"/>
    <s v="R-L-0.2"/>
    <n v="3"/>
    <x v="681"/>
    <s v="nvigrasski@ezinearticles.com"/>
    <x v="3"/>
    <x v="0"/>
    <s v="L"/>
    <x v="3"/>
    <n v="3.5849999999999995"/>
    <x v="127"/>
    <x v="0"/>
    <x v="1"/>
  </r>
  <r>
    <s v="TCX-76953-071"/>
    <d v="2021-08-25T00:00:00"/>
    <x v="1"/>
    <n v="8"/>
    <x v="3"/>
    <s v="94091-86957-HX"/>
    <s v="E-D-0.2"/>
    <n v="5"/>
    <x v="28"/>
    <s v="Not Found"/>
    <x v="2"/>
    <x v="1"/>
    <s v="D"/>
    <x v="3"/>
    <n v="3.645"/>
    <x v="94"/>
    <x v="1"/>
    <x v="2"/>
  </r>
  <r>
    <s v="LIN-88046-551"/>
    <d v="2022-03-23T00:00:00"/>
    <x v="2"/>
    <n v="3"/>
    <x v="6"/>
    <s v="10725-45724-CO"/>
    <s v="R-L-0.5"/>
    <n v="4"/>
    <x v="682"/>
    <s v="kcragellkk@google.com"/>
    <x v="1"/>
    <x v="0"/>
    <s v="L"/>
    <x v="1"/>
    <n v="7.169999999999999"/>
    <x v="139"/>
    <x v="0"/>
    <x v="1"/>
  </r>
  <r>
    <s v="PMV-54491-220"/>
    <d v="2019-04-11T00:00:00"/>
    <x v="0"/>
    <n v="4"/>
    <x v="8"/>
    <s v="87242-18006-IR"/>
    <s v="L-M-0.2"/>
    <n v="2"/>
    <x v="683"/>
    <s v="libertkl@huffingtonpost.com"/>
    <x v="0"/>
    <x v="3"/>
    <s v="M"/>
    <x v="3"/>
    <n v="4.3650000000000002"/>
    <x v="31"/>
    <x v="3"/>
    <x v="0"/>
  </r>
  <r>
    <s v="SKA-73676-005"/>
    <d v="2020-10-29T00:00:00"/>
    <x v="3"/>
    <n v="10"/>
    <x v="7"/>
    <s v="36572-91896-PP"/>
    <s v="L-M-1"/>
    <n v="4"/>
    <x v="684"/>
    <s v="rlidgeykm@vimeo.com"/>
    <x v="0"/>
    <x v="3"/>
    <s v="M"/>
    <x v="0"/>
    <n v="14.55"/>
    <x v="125"/>
    <x v="3"/>
    <x v="0"/>
  </r>
  <r>
    <s v="TKH-62197-239"/>
    <d v="2020-07-30T00:00:00"/>
    <x v="3"/>
    <n v="7"/>
    <x v="2"/>
    <s v="25181-97933-UX"/>
    <s v="A-D-0.5"/>
    <n v="3"/>
    <x v="685"/>
    <s v="tcastagnekn@wikia.com"/>
    <x v="0"/>
    <x v="2"/>
    <s v="D"/>
    <x v="1"/>
    <n v="5.97"/>
    <x v="8"/>
    <x v="2"/>
    <x v="2"/>
  </r>
  <r>
    <s v="YXF-57218-272"/>
    <d v="2019-03-15T00:00:00"/>
    <x v="0"/>
    <n v="3"/>
    <x v="6"/>
    <s v="55374-03175-IA"/>
    <s v="R-M-0.2"/>
    <n v="6"/>
    <x v="686"/>
    <s v=""/>
    <x v="0"/>
    <x v="0"/>
    <s v="M"/>
    <x v="3"/>
    <n v="2.9849999999999999"/>
    <x v="8"/>
    <x v="0"/>
    <x v="0"/>
  </r>
  <r>
    <s v="PKJ-30083-501"/>
    <d v="2021-12-27T00:00:00"/>
    <x v="1"/>
    <n v="12"/>
    <x v="9"/>
    <s v="76948-43532-JS"/>
    <s v="E-D-0.5"/>
    <n v="2"/>
    <x v="687"/>
    <s v="jhaldenkp@comcast.net"/>
    <x v="1"/>
    <x v="1"/>
    <s v="D"/>
    <x v="1"/>
    <n v="7.29"/>
    <x v="20"/>
    <x v="1"/>
    <x v="2"/>
  </r>
  <r>
    <s v="WTT-91832-645"/>
    <d v="2019-10-03T00:00:00"/>
    <x v="0"/>
    <n v="10"/>
    <x v="7"/>
    <s v="24344-88599-PP"/>
    <s v="A-M-1"/>
    <n v="3"/>
    <x v="688"/>
    <s v="holliffkq@sciencedirect.com"/>
    <x v="1"/>
    <x v="2"/>
    <s v="M"/>
    <x v="0"/>
    <n v="11.25"/>
    <x v="65"/>
    <x v="2"/>
    <x v="0"/>
  </r>
  <r>
    <s v="TRZ-94735-865"/>
    <d v="2019-02-05T00:00:00"/>
    <x v="0"/>
    <n v="2"/>
    <x v="10"/>
    <s v="54462-58311-YF"/>
    <s v="L-M-0.5"/>
    <n v="4"/>
    <x v="689"/>
    <s v="tquadrikr@opensource.org"/>
    <x v="1"/>
    <x v="3"/>
    <s v="M"/>
    <x v="1"/>
    <n v="8.73"/>
    <x v="190"/>
    <x v="3"/>
    <x v="0"/>
  </r>
  <r>
    <s v="UDB-09651-780"/>
    <d v="2020-08-31T00:00:00"/>
    <x v="3"/>
    <n v="8"/>
    <x v="3"/>
    <s v="90767-92589-LV"/>
    <s v="E-D-0.5"/>
    <n v="2"/>
    <x v="690"/>
    <s v="feshmadeks@umn.edu"/>
    <x v="0"/>
    <x v="1"/>
    <s v="D"/>
    <x v="1"/>
    <n v="7.29"/>
    <x v="20"/>
    <x v="1"/>
    <x v="2"/>
  </r>
  <r>
    <s v="EHJ-82097-549"/>
    <d v="2021-01-13T00:00:00"/>
    <x v="1"/>
    <n v="1"/>
    <x v="4"/>
    <s v="27517-43747-YD"/>
    <s v="R-D-0.2"/>
    <n v="2"/>
    <x v="691"/>
    <s v="moilierkt@paginegialle.it"/>
    <x v="1"/>
    <x v="0"/>
    <s v="D"/>
    <x v="3"/>
    <n v="2.6849999999999996"/>
    <x v="147"/>
    <x v="0"/>
    <x v="2"/>
  </r>
  <r>
    <s v="ZFR-79447-696"/>
    <d v="2021-03-22T00:00:00"/>
    <x v="1"/>
    <n v="3"/>
    <x v="6"/>
    <s v="77828-66867-KH"/>
    <s v="R-M-0.5"/>
    <n v="1"/>
    <x v="692"/>
    <s v=""/>
    <x v="0"/>
    <x v="0"/>
    <s v="M"/>
    <x v="1"/>
    <n v="5.97"/>
    <x v="9"/>
    <x v="0"/>
    <x v="0"/>
  </r>
  <r>
    <s v="NUU-03893-975"/>
    <d v="2020-01-17T00:00:00"/>
    <x v="3"/>
    <n v="1"/>
    <x v="4"/>
    <s v="41054-59693-XE"/>
    <s v="L-L-0.5"/>
    <n v="2"/>
    <x v="693"/>
    <s v="vshoebothamkv@redcross.org"/>
    <x v="0"/>
    <x v="3"/>
    <s v="L"/>
    <x v="1"/>
    <n v="9.51"/>
    <x v="81"/>
    <x v="3"/>
    <x v="1"/>
  </r>
  <r>
    <s v="GVG-59542-307"/>
    <d v="2019-07-02T00:00:00"/>
    <x v="0"/>
    <n v="7"/>
    <x v="2"/>
    <s v="26314-66792-VP"/>
    <s v="E-M-1"/>
    <n v="2"/>
    <x v="694"/>
    <s v="bsterkekw@biblegateway.com"/>
    <x v="0"/>
    <x v="1"/>
    <s v="M"/>
    <x v="0"/>
    <n v="13.75"/>
    <x v="3"/>
    <x v="1"/>
    <x v="0"/>
  </r>
  <r>
    <s v="YLY-35287-172"/>
    <d v="2022-05-23T00:00:00"/>
    <x v="2"/>
    <n v="5"/>
    <x v="5"/>
    <s v="69410-04668-MA"/>
    <s v="A-D-0.5"/>
    <n v="5"/>
    <x v="695"/>
    <s v="scaponkx@craigslist.org"/>
    <x v="0"/>
    <x v="2"/>
    <s v="D"/>
    <x v="1"/>
    <n v="5.97"/>
    <x v="44"/>
    <x v="2"/>
    <x v="2"/>
  </r>
  <r>
    <s v="DCI-96254-548"/>
    <d v="2022-06-14T00:00:00"/>
    <x v="2"/>
    <n v="6"/>
    <x v="1"/>
    <s v="94091-86957-HX"/>
    <s v="A-D-0.2"/>
    <n v="6"/>
    <x v="28"/>
    <s v="Not Found"/>
    <x v="2"/>
    <x v="2"/>
    <s v="D"/>
    <x v="3"/>
    <n v="2.9849999999999999"/>
    <x v="8"/>
    <x v="2"/>
    <x v="2"/>
  </r>
  <r>
    <s v="KHZ-26264-253"/>
    <d v="2021-07-20T00:00:00"/>
    <x v="1"/>
    <n v="7"/>
    <x v="2"/>
    <s v="24972-55878-KX"/>
    <s v="L-L-0.2"/>
    <n v="6"/>
    <x v="696"/>
    <s v="fconstancekz@ifeng.com"/>
    <x v="0"/>
    <x v="3"/>
    <s v="L"/>
    <x v="3"/>
    <n v="4.7549999999999999"/>
    <x v="32"/>
    <x v="3"/>
    <x v="1"/>
  </r>
  <r>
    <s v="AAQ-13644-699"/>
    <d v="2022-06-03T00:00:00"/>
    <x v="2"/>
    <n v="6"/>
    <x v="1"/>
    <s v="46296-42617-OQ"/>
    <s v="R-D-1"/>
    <n v="4"/>
    <x v="697"/>
    <s v="fsulmanl0@washington.edu"/>
    <x v="0"/>
    <x v="0"/>
    <s v="D"/>
    <x v="0"/>
    <n v="8.9499999999999993"/>
    <x v="191"/>
    <x v="0"/>
    <x v="2"/>
  </r>
  <r>
    <s v="LWL-68108-794"/>
    <d v="2020-05-26T00:00:00"/>
    <x v="3"/>
    <n v="5"/>
    <x v="5"/>
    <s v="44494-89923-UW"/>
    <s v="A-D-0.5"/>
    <n v="3"/>
    <x v="698"/>
    <s v="dhollymanl1@ibm.com"/>
    <x v="0"/>
    <x v="2"/>
    <s v="D"/>
    <x v="1"/>
    <n v="5.97"/>
    <x v="8"/>
    <x v="2"/>
    <x v="2"/>
  </r>
  <r>
    <s v="JQT-14347-517"/>
    <d v="2019-07-26T00:00:00"/>
    <x v="0"/>
    <n v="7"/>
    <x v="2"/>
    <s v="11621-09964-ID"/>
    <s v="R-D-1"/>
    <n v="1"/>
    <x v="699"/>
    <s v="lnardonil2@hao123.com"/>
    <x v="0"/>
    <x v="0"/>
    <s v="D"/>
    <x v="0"/>
    <n v="8.9499999999999993"/>
    <x v="192"/>
    <x v="0"/>
    <x v="2"/>
  </r>
  <r>
    <s v="BMM-86471-923"/>
    <d v="2020-10-22T00:00:00"/>
    <x v="3"/>
    <n v="10"/>
    <x v="7"/>
    <s v="76319-80715-II"/>
    <s v="L-D-2.5"/>
    <n v="1"/>
    <x v="700"/>
    <s v="dyarhaml3@moonfruit.com"/>
    <x v="0"/>
    <x v="3"/>
    <s v="D"/>
    <x v="2"/>
    <n v="29.784999999999997"/>
    <x v="91"/>
    <x v="3"/>
    <x v="2"/>
  </r>
  <r>
    <s v="IXU-67272-326"/>
    <d v="2020-12-24T00:00:00"/>
    <x v="3"/>
    <n v="12"/>
    <x v="9"/>
    <s v="91654-79216-IC"/>
    <s v="E-L-0.5"/>
    <n v="5"/>
    <x v="701"/>
    <s v="aferreal4@wikia.com"/>
    <x v="0"/>
    <x v="1"/>
    <s v="L"/>
    <x v="1"/>
    <n v="8.91"/>
    <x v="69"/>
    <x v="1"/>
    <x v="1"/>
  </r>
  <r>
    <s v="ITE-28312-615"/>
    <d v="2019-09-06T00:00:00"/>
    <x v="0"/>
    <n v="9"/>
    <x v="0"/>
    <s v="56450-21890-HK"/>
    <s v="E-L-1"/>
    <n v="6"/>
    <x v="702"/>
    <s v="ckendrickl5@webnode.com"/>
    <x v="0"/>
    <x v="1"/>
    <s v="L"/>
    <x v="0"/>
    <n v="14.85"/>
    <x v="146"/>
    <x v="1"/>
    <x v="1"/>
  </r>
  <r>
    <s v="ZHQ-30471-635"/>
    <d v="2019-04-08T00:00:00"/>
    <x v="0"/>
    <n v="4"/>
    <x v="8"/>
    <s v="40600-58915-WZ"/>
    <s v="L-M-0.5"/>
    <n v="5"/>
    <x v="703"/>
    <s v="sdanilchikl6@mit.edu"/>
    <x v="3"/>
    <x v="3"/>
    <s v="M"/>
    <x v="1"/>
    <n v="8.73"/>
    <x v="34"/>
    <x v="3"/>
    <x v="0"/>
  </r>
  <r>
    <s v="LTP-31133-134"/>
    <d v="2022-01-26T00:00:00"/>
    <x v="2"/>
    <n v="1"/>
    <x v="4"/>
    <s v="66527-94478-PB"/>
    <s v="A-L-0.5"/>
    <n v="3"/>
    <x v="704"/>
    <s v=""/>
    <x v="0"/>
    <x v="2"/>
    <s v="L"/>
    <x v="1"/>
    <n v="7.77"/>
    <x v="102"/>
    <x v="2"/>
    <x v="1"/>
  </r>
  <r>
    <s v="ZVQ-26122-859"/>
    <d v="2019-11-28T00:00:00"/>
    <x v="0"/>
    <n v="11"/>
    <x v="11"/>
    <s v="77154-45038-IH"/>
    <s v="A-L-2.5"/>
    <n v="6"/>
    <x v="705"/>
    <s v="bfolomkinl8@yolasite.com"/>
    <x v="0"/>
    <x v="2"/>
    <s v="L"/>
    <x v="2"/>
    <n v="29.784999999999997"/>
    <x v="39"/>
    <x v="2"/>
    <x v="1"/>
  </r>
  <r>
    <s v="MIU-01481-194"/>
    <d v="2019-07-21T00:00:00"/>
    <x v="0"/>
    <n v="7"/>
    <x v="2"/>
    <s v="08439-55669-AI"/>
    <s v="R-M-1"/>
    <n v="6"/>
    <x v="706"/>
    <s v="rpursglovel9@biblegateway.com"/>
    <x v="0"/>
    <x v="0"/>
    <s v="M"/>
    <x v="0"/>
    <n v="9.9499999999999993"/>
    <x v="33"/>
    <x v="0"/>
    <x v="0"/>
  </r>
  <r>
    <s v="MIU-01481-194"/>
    <d v="2019-07-21T00:00:00"/>
    <x v="0"/>
    <n v="7"/>
    <x v="2"/>
    <s v="08439-55669-AI"/>
    <s v="A-L-0.5"/>
    <n v="2"/>
    <x v="706"/>
    <s v="rpursglovel9@biblegateway.com"/>
    <x v="0"/>
    <x v="2"/>
    <s v="L"/>
    <x v="1"/>
    <n v="7.77"/>
    <x v="42"/>
    <x v="2"/>
    <x v="1"/>
  </r>
  <r>
    <s v="UEA-72681-629"/>
    <d v="2021-03-12T00:00:00"/>
    <x v="1"/>
    <n v="3"/>
    <x v="6"/>
    <s v="24972-55878-KX"/>
    <s v="A-L-2.5"/>
    <n v="3"/>
    <x v="28"/>
    <s v="Not Found"/>
    <x v="2"/>
    <x v="2"/>
    <s v="L"/>
    <x v="2"/>
    <n v="29.784999999999997"/>
    <x v="49"/>
    <x v="2"/>
    <x v="1"/>
  </r>
  <r>
    <s v="CVE-15042-481"/>
    <d v="2022-01-01T00:00:00"/>
    <x v="2"/>
    <n v="1"/>
    <x v="4"/>
    <s v="24972-55878-KX"/>
    <s v="R-L-1"/>
    <n v="2"/>
    <x v="28"/>
    <s v="Not Found"/>
    <x v="2"/>
    <x v="0"/>
    <s v="L"/>
    <x v="0"/>
    <n v="11.95"/>
    <x v="178"/>
    <x v="0"/>
    <x v="1"/>
  </r>
  <r>
    <s v="EJA-79176-833"/>
    <d v="2020-03-22T00:00:00"/>
    <x v="3"/>
    <n v="3"/>
    <x v="6"/>
    <s v="91509-62250-GN"/>
    <s v="R-M-2.5"/>
    <n v="6"/>
    <x v="707"/>
    <s v="deburahld@google.co.jp"/>
    <x v="3"/>
    <x v="0"/>
    <s v="M"/>
    <x v="2"/>
    <n v="22.884999999999998"/>
    <x v="170"/>
    <x v="0"/>
    <x v="0"/>
  </r>
  <r>
    <s v="AHQ-40440-522"/>
    <d v="2020-09-18T00:00:00"/>
    <x v="3"/>
    <n v="9"/>
    <x v="0"/>
    <s v="83833-46106-ZC"/>
    <s v="A-D-1"/>
    <n v="1"/>
    <x v="708"/>
    <s v="mbrimilcombele@cnn.com"/>
    <x v="0"/>
    <x v="2"/>
    <s v="D"/>
    <x v="0"/>
    <n v="9.9499999999999993"/>
    <x v="138"/>
    <x v="2"/>
    <x v="2"/>
  </r>
  <r>
    <s v="TID-21626-411"/>
    <d v="2019-01-03T00:00:00"/>
    <x v="0"/>
    <n v="1"/>
    <x v="4"/>
    <s v="19383-33606-PW"/>
    <s v="R-L-0.5"/>
    <n v="3"/>
    <x v="709"/>
    <s v="sbollamlf@list-manage.com"/>
    <x v="0"/>
    <x v="0"/>
    <s v="L"/>
    <x v="1"/>
    <n v="7.169999999999999"/>
    <x v="137"/>
    <x v="0"/>
    <x v="1"/>
  </r>
  <r>
    <s v="RSR-96390-187"/>
    <d v="2021-09-29T00:00:00"/>
    <x v="1"/>
    <n v="9"/>
    <x v="0"/>
    <s v="67052-76184-CB"/>
    <s v="E-M-1"/>
    <n v="6"/>
    <x v="710"/>
    <s v=""/>
    <x v="0"/>
    <x v="1"/>
    <s v="M"/>
    <x v="0"/>
    <n v="13.75"/>
    <x v="121"/>
    <x v="1"/>
    <x v="0"/>
  </r>
  <r>
    <s v="BZE-96093-118"/>
    <d v="2021-10-19T00:00:00"/>
    <x v="1"/>
    <n v="10"/>
    <x v="7"/>
    <s v="43452-18035-DH"/>
    <s v="L-M-0.2"/>
    <n v="2"/>
    <x v="711"/>
    <s v="afilipczaklh@ning.com"/>
    <x v="1"/>
    <x v="3"/>
    <s v="M"/>
    <x v="3"/>
    <n v="4.3650000000000002"/>
    <x v="31"/>
    <x v="3"/>
    <x v="0"/>
  </r>
  <r>
    <s v="LOU-41819-242"/>
    <d v="2022-07-14T00:00:00"/>
    <x v="2"/>
    <n v="7"/>
    <x v="2"/>
    <s v="88060-50676-MV"/>
    <s v="R-M-1"/>
    <n v="2"/>
    <x v="712"/>
    <s v=""/>
    <x v="0"/>
    <x v="0"/>
    <s v="M"/>
    <x v="0"/>
    <n v="9.9499999999999993"/>
    <x v="0"/>
    <x v="0"/>
    <x v="0"/>
  </r>
  <r>
    <s v="FND-99527-640"/>
    <d v="2021-07-19T00:00:00"/>
    <x v="1"/>
    <n v="7"/>
    <x v="2"/>
    <s v="89574-96203-EP"/>
    <s v="E-L-0.5"/>
    <n v="2"/>
    <x v="713"/>
    <s v="relnaughlj@comsenz.com"/>
    <x v="0"/>
    <x v="1"/>
    <s v="L"/>
    <x v="1"/>
    <n v="8.91"/>
    <x v="58"/>
    <x v="1"/>
    <x v="1"/>
  </r>
  <r>
    <s v="ASG-27179-958"/>
    <d v="2021-12-10T00:00:00"/>
    <x v="1"/>
    <n v="12"/>
    <x v="9"/>
    <s v="12607-75113-UV"/>
    <s v="A-M-0.5"/>
    <n v="3"/>
    <x v="714"/>
    <s v="jdeehanlk@about.me"/>
    <x v="0"/>
    <x v="2"/>
    <s v="M"/>
    <x v="1"/>
    <n v="6.75"/>
    <x v="16"/>
    <x v="2"/>
    <x v="0"/>
  </r>
  <r>
    <s v="YKX-23510-272"/>
    <d v="2019-03-17T00:00:00"/>
    <x v="0"/>
    <n v="3"/>
    <x v="6"/>
    <s v="56991-05510-PR"/>
    <s v="A-L-2.5"/>
    <n v="2"/>
    <x v="715"/>
    <s v="jedenll@e-recht24.de"/>
    <x v="0"/>
    <x v="2"/>
    <s v="L"/>
    <x v="2"/>
    <n v="29.784999999999997"/>
    <x v="120"/>
    <x v="2"/>
    <x v="1"/>
  </r>
  <r>
    <s v="FSA-98650-921"/>
    <d v="2020-02-28T00:00:00"/>
    <x v="3"/>
    <n v="2"/>
    <x v="10"/>
    <s v="01841-48191-NL"/>
    <s v="L-L-0.5"/>
    <n v="2"/>
    <x v="716"/>
    <s v="cjewsterlu@moonfruit.com"/>
    <x v="0"/>
    <x v="3"/>
    <s v="L"/>
    <x v="1"/>
    <n v="9.51"/>
    <x v="81"/>
    <x v="3"/>
    <x v="1"/>
  </r>
  <r>
    <s v="ZUR-55774-294"/>
    <d v="2020-06-03T00:00:00"/>
    <x v="3"/>
    <n v="6"/>
    <x v="1"/>
    <s v="33269-10023-CO"/>
    <s v="L-D-1"/>
    <n v="6"/>
    <x v="717"/>
    <s v="usoutherdenln@hao123.com"/>
    <x v="0"/>
    <x v="3"/>
    <s v="D"/>
    <x v="0"/>
    <n v="12.95"/>
    <x v="17"/>
    <x v="3"/>
    <x v="2"/>
  </r>
  <r>
    <s v="FUO-99821-974"/>
    <d v="2020-02-22T00:00:00"/>
    <x v="3"/>
    <n v="2"/>
    <x v="10"/>
    <s v="31245-81098-PJ"/>
    <s v="E-M-1"/>
    <n v="3"/>
    <x v="718"/>
    <s v=""/>
    <x v="0"/>
    <x v="1"/>
    <s v="M"/>
    <x v="0"/>
    <n v="13.75"/>
    <x v="1"/>
    <x v="1"/>
    <x v="0"/>
  </r>
  <r>
    <s v="YVH-19865-819"/>
    <d v="2019-11-09T00:00:00"/>
    <x v="0"/>
    <n v="11"/>
    <x v="11"/>
    <s v="08946-56610-IH"/>
    <s v="L-L-2.5"/>
    <n v="4"/>
    <x v="719"/>
    <s v="lburtenshawlp@shinystat.com"/>
    <x v="0"/>
    <x v="3"/>
    <s v="L"/>
    <x v="2"/>
    <n v="36.454999999999998"/>
    <x v="43"/>
    <x v="3"/>
    <x v="1"/>
  </r>
  <r>
    <s v="NNF-47422-501"/>
    <d v="2020-03-07T00:00:00"/>
    <x v="3"/>
    <n v="3"/>
    <x v="6"/>
    <s v="20260-32948-EB"/>
    <s v="E-L-0.2"/>
    <n v="6"/>
    <x v="720"/>
    <s v="agregorattilq@vistaprint.com"/>
    <x v="1"/>
    <x v="1"/>
    <s v="L"/>
    <x v="3"/>
    <n v="4.4550000000000001"/>
    <x v="149"/>
    <x v="1"/>
    <x v="1"/>
  </r>
  <r>
    <s v="RJI-71409-490"/>
    <d v="2021-04-26T00:00:00"/>
    <x v="1"/>
    <n v="4"/>
    <x v="8"/>
    <s v="31613-41626-KX"/>
    <s v="L-M-0.5"/>
    <n v="5"/>
    <x v="721"/>
    <s v="ccrosterlr@gov.uk"/>
    <x v="0"/>
    <x v="3"/>
    <s v="M"/>
    <x v="1"/>
    <n v="8.73"/>
    <x v="34"/>
    <x v="3"/>
    <x v="0"/>
  </r>
  <r>
    <s v="UZL-46108-213"/>
    <d v="2021-11-11T00:00:00"/>
    <x v="1"/>
    <n v="11"/>
    <x v="11"/>
    <s v="75961-20170-RD"/>
    <s v="L-L-1"/>
    <n v="2"/>
    <x v="722"/>
    <s v="gwhiteheadls@hp.com"/>
    <x v="0"/>
    <x v="3"/>
    <s v="L"/>
    <x v="0"/>
    <n v="15.85"/>
    <x v="124"/>
    <x v="3"/>
    <x v="1"/>
  </r>
  <r>
    <s v="AOX-44467-109"/>
    <d v="2021-06-15T00:00:00"/>
    <x v="1"/>
    <n v="6"/>
    <x v="1"/>
    <s v="72524-06410-KD"/>
    <s v="A-D-2.5"/>
    <n v="1"/>
    <x v="723"/>
    <s v="hjodrellelt@samsung.com"/>
    <x v="0"/>
    <x v="2"/>
    <s v="D"/>
    <x v="2"/>
    <n v="22.884999999999998"/>
    <x v="156"/>
    <x v="2"/>
    <x v="2"/>
  </r>
  <r>
    <s v="TZD-67261-174"/>
    <d v="2020-02-27T00:00:00"/>
    <x v="3"/>
    <n v="2"/>
    <x v="10"/>
    <s v="01841-48191-NL"/>
    <s v="E-D-2.5"/>
    <n v="1"/>
    <x v="716"/>
    <s v="cjewsterlu@moonfruit.com"/>
    <x v="0"/>
    <x v="1"/>
    <s v="D"/>
    <x v="2"/>
    <n v="27.945"/>
    <x v="140"/>
    <x v="1"/>
    <x v="2"/>
  </r>
  <r>
    <s v="TBU-64277-625"/>
    <d v="2021-04-19T00:00:00"/>
    <x v="1"/>
    <n v="4"/>
    <x v="8"/>
    <s v="98918-34330-GY"/>
    <s v="E-M-1"/>
    <n v="6"/>
    <x v="724"/>
    <s v=""/>
    <x v="0"/>
    <x v="1"/>
    <s v="M"/>
    <x v="0"/>
    <n v="13.75"/>
    <x v="121"/>
    <x v="1"/>
    <x v="0"/>
  </r>
  <r>
    <s v="TYP-85767-944"/>
    <d v="2022-07-29T00:00:00"/>
    <x v="2"/>
    <n v="7"/>
    <x v="2"/>
    <s v="51497-50894-WU"/>
    <s v="R-M-2.5"/>
    <n v="2"/>
    <x v="725"/>
    <s v="knottramlw@odnoklassniki.ru"/>
    <x v="1"/>
    <x v="0"/>
    <s v="M"/>
    <x v="2"/>
    <n v="22.884999999999998"/>
    <x v="135"/>
    <x v="0"/>
    <x v="0"/>
  </r>
  <r>
    <s v="GTT-73214-334"/>
    <d v="2019-01-20T00:00:00"/>
    <x v="0"/>
    <n v="1"/>
    <x v="4"/>
    <s v="98636-90072-YE"/>
    <s v="A-L-1"/>
    <n v="6"/>
    <x v="726"/>
    <s v="nbuneylx@jugem.jp"/>
    <x v="0"/>
    <x v="2"/>
    <s v="L"/>
    <x v="0"/>
    <n v="12.95"/>
    <x v="17"/>
    <x v="2"/>
    <x v="1"/>
  </r>
  <r>
    <s v="WAI-89905-069"/>
    <d v="2022-02-21T00:00:00"/>
    <x v="2"/>
    <n v="2"/>
    <x v="10"/>
    <s v="47011-57815-HJ"/>
    <s v="A-L-0.5"/>
    <n v="3"/>
    <x v="727"/>
    <s v="smcshealy@photobucket.com"/>
    <x v="0"/>
    <x v="2"/>
    <s v="L"/>
    <x v="1"/>
    <n v="7.77"/>
    <x v="102"/>
    <x v="2"/>
    <x v="1"/>
  </r>
  <r>
    <s v="OJL-96844-459"/>
    <d v="2020-05-03T00:00:00"/>
    <x v="3"/>
    <n v="5"/>
    <x v="5"/>
    <s v="61253-98356-VD"/>
    <s v="L-L-0.2"/>
    <n v="5"/>
    <x v="728"/>
    <s v="khuddartlz@about.com"/>
    <x v="0"/>
    <x v="3"/>
    <s v="L"/>
    <x v="3"/>
    <n v="4.7549999999999999"/>
    <x v="29"/>
    <x v="3"/>
    <x v="1"/>
  </r>
  <r>
    <s v="VGI-33205-360"/>
    <d v="2019-03-21T00:00:00"/>
    <x v="0"/>
    <n v="3"/>
    <x v="6"/>
    <s v="96762-10814-DA"/>
    <s v="L-M-0.5"/>
    <n v="6"/>
    <x v="729"/>
    <s v="jgippesm0@cloudflare.com"/>
    <x v="3"/>
    <x v="3"/>
    <s v="M"/>
    <x v="1"/>
    <n v="8.73"/>
    <x v="28"/>
    <x v="3"/>
    <x v="0"/>
  </r>
  <r>
    <s v="PCA-14081-576"/>
    <d v="2019-06-13T00:00:00"/>
    <x v="0"/>
    <n v="6"/>
    <x v="1"/>
    <s v="63112-10870-LC"/>
    <s v="R-L-0.2"/>
    <n v="5"/>
    <x v="730"/>
    <s v="lwhittleseem1@e-recht24.de"/>
    <x v="0"/>
    <x v="0"/>
    <s v="L"/>
    <x v="3"/>
    <n v="3.5849999999999995"/>
    <x v="131"/>
    <x v="0"/>
    <x v="1"/>
  </r>
  <r>
    <s v="SCS-67069-962"/>
    <d v="2020-06-05T00:00:00"/>
    <x v="3"/>
    <n v="6"/>
    <x v="1"/>
    <s v="21403-49423-PD"/>
    <s v="A-L-2.5"/>
    <n v="5"/>
    <x v="731"/>
    <s v="gtrengrovem2@elpais.com"/>
    <x v="0"/>
    <x v="2"/>
    <s v="L"/>
    <x v="2"/>
    <n v="29.784999999999997"/>
    <x v="74"/>
    <x v="2"/>
    <x v="1"/>
  </r>
  <r>
    <s v="BDM-03174-485"/>
    <d v="2019-03-16T00:00:00"/>
    <x v="0"/>
    <n v="3"/>
    <x v="6"/>
    <s v="29581-13303-VB"/>
    <s v="R-L-0.5"/>
    <n v="4"/>
    <x v="732"/>
    <s v="wcalderom3@stumbleupon.com"/>
    <x v="0"/>
    <x v="0"/>
    <s v="L"/>
    <x v="1"/>
    <n v="7.169999999999999"/>
    <x v="139"/>
    <x v="0"/>
    <x v="1"/>
  </r>
  <r>
    <s v="UJV-32333-364"/>
    <d v="2021-12-03T00:00:00"/>
    <x v="1"/>
    <n v="12"/>
    <x v="9"/>
    <s v="86110-83695-YS"/>
    <s v="L-L-0.5"/>
    <n v="1"/>
    <x v="733"/>
    <s v=""/>
    <x v="0"/>
    <x v="3"/>
    <s v="L"/>
    <x v="1"/>
    <n v="9.51"/>
    <x v="54"/>
    <x v="3"/>
    <x v="1"/>
  </r>
  <r>
    <s v="FLI-11493-954"/>
    <d v="2022-07-09T00:00:00"/>
    <x v="2"/>
    <n v="7"/>
    <x v="2"/>
    <s v="80454-42225-FT"/>
    <s v="A-L-0.5"/>
    <n v="4"/>
    <x v="734"/>
    <s v="jkennicottm5@yahoo.co.jp"/>
    <x v="0"/>
    <x v="2"/>
    <s v="L"/>
    <x v="1"/>
    <n v="7.77"/>
    <x v="113"/>
    <x v="2"/>
    <x v="1"/>
  </r>
  <r>
    <s v="IWL-13117-537"/>
    <d v="2020-04-29T00:00:00"/>
    <x v="3"/>
    <n v="4"/>
    <x v="8"/>
    <s v="29129-60664-KO"/>
    <s v="R-D-0.2"/>
    <n v="3"/>
    <x v="735"/>
    <s v="gruggenm6@nymag.com"/>
    <x v="0"/>
    <x v="0"/>
    <s v="D"/>
    <x v="3"/>
    <n v="2.6849999999999996"/>
    <x v="36"/>
    <x v="0"/>
    <x v="2"/>
  </r>
  <r>
    <s v="OAM-76916-748"/>
    <d v="2022-01-27T00:00:00"/>
    <x v="2"/>
    <n v="1"/>
    <x v="4"/>
    <s v="63025-62939-AN"/>
    <s v="E-D-1"/>
    <n v="3"/>
    <x v="736"/>
    <s v=""/>
    <x v="0"/>
    <x v="1"/>
    <s v="D"/>
    <x v="0"/>
    <n v="12.15"/>
    <x v="114"/>
    <x v="1"/>
    <x v="2"/>
  </r>
  <r>
    <s v="UMB-11223-710"/>
    <d v="2021-02-13T00:00:00"/>
    <x v="1"/>
    <n v="2"/>
    <x v="10"/>
    <s v="49012-12987-QT"/>
    <s v="R-D-0.2"/>
    <n v="6"/>
    <x v="737"/>
    <s v="mfrightm8@harvard.edu"/>
    <x v="1"/>
    <x v="0"/>
    <s v="D"/>
    <x v="3"/>
    <n v="2.6849999999999996"/>
    <x v="103"/>
    <x v="0"/>
    <x v="2"/>
  </r>
  <r>
    <s v="LXR-09892-726"/>
    <d v="2020-07-13T00:00:00"/>
    <x v="3"/>
    <n v="7"/>
    <x v="2"/>
    <s v="50924-94200-SQ"/>
    <s v="R-D-2.5"/>
    <n v="2"/>
    <x v="738"/>
    <s v="btartem9@aol.com"/>
    <x v="0"/>
    <x v="0"/>
    <s v="D"/>
    <x v="2"/>
    <n v="20.584999999999997"/>
    <x v="13"/>
    <x v="0"/>
    <x v="2"/>
  </r>
  <r>
    <s v="QXX-89943-393"/>
    <d v="2020-03-12T00:00:00"/>
    <x v="3"/>
    <n v="3"/>
    <x v="6"/>
    <s v="15673-18812-IU"/>
    <s v="R-D-0.2"/>
    <n v="4"/>
    <x v="739"/>
    <s v="ckrzysztofiakma@skyrock.com"/>
    <x v="0"/>
    <x v="0"/>
    <s v="D"/>
    <x v="3"/>
    <n v="2.6849999999999996"/>
    <x v="175"/>
    <x v="0"/>
    <x v="2"/>
  </r>
  <r>
    <s v="WVS-57822-366"/>
    <d v="2020-05-04T00:00:00"/>
    <x v="3"/>
    <n v="5"/>
    <x v="5"/>
    <s v="52151-75971-YY"/>
    <s v="E-M-2.5"/>
    <n v="4"/>
    <x v="740"/>
    <s v="dpenquetmb@diigo.com"/>
    <x v="0"/>
    <x v="1"/>
    <s v="M"/>
    <x v="2"/>
    <n v="31.624999999999996"/>
    <x v="177"/>
    <x v="1"/>
    <x v="0"/>
  </r>
  <r>
    <s v="CLJ-23403-689"/>
    <d v="2021-04-03T00:00:00"/>
    <x v="1"/>
    <n v="4"/>
    <x v="8"/>
    <s v="19413-02045-CG"/>
    <s v="R-L-1"/>
    <n v="2"/>
    <x v="741"/>
    <s v=""/>
    <x v="3"/>
    <x v="0"/>
    <s v="L"/>
    <x v="0"/>
    <n v="11.95"/>
    <x v="178"/>
    <x v="0"/>
    <x v="1"/>
  </r>
  <r>
    <s v="XNU-83276-288"/>
    <d v="2022-06-01T00:00:00"/>
    <x v="2"/>
    <n v="6"/>
    <x v="1"/>
    <s v="98185-92775-KT"/>
    <s v="R-M-0.5"/>
    <n v="1"/>
    <x v="742"/>
    <s v=""/>
    <x v="0"/>
    <x v="0"/>
    <s v="M"/>
    <x v="1"/>
    <n v="5.97"/>
    <x v="9"/>
    <x v="0"/>
    <x v="0"/>
  </r>
  <r>
    <s v="YOG-94666-679"/>
    <d v="2021-02-14T00:00:00"/>
    <x v="1"/>
    <n v="2"/>
    <x v="10"/>
    <s v="86991-53901-AT"/>
    <s v="L-D-0.2"/>
    <n v="2"/>
    <x v="743"/>
    <s v=""/>
    <x v="3"/>
    <x v="3"/>
    <s v="D"/>
    <x v="3"/>
    <n v="3.8849999999999998"/>
    <x v="41"/>
    <x v="3"/>
    <x v="2"/>
  </r>
  <r>
    <s v="KHG-33953-115"/>
    <d v="2021-12-13T00:00:00"/>
    <x v="1"/>
    <n v="12"/>
    <x v="9"/>
    <s v="78226-97287-JI"/>
    <s v="L-D-0.5"/>
    <n v="3"/>
    <x v="744"/>
    <s v="kferrettimf@huffingtonpost.com"/>
    <x v="1"/>
    <x v="3"/>
    <s v="D"/>
    <x v="1"/>
    <n v="7.77"/>
    <x v="102"/>
    <x v="3"/>
    <x v="2"/>
  </r>
  <r>
    <s v="MHD-95615-696"/>
    <d v="2020-02-07T00:00:00"/>
    <x v="3"/>
    <n v="2"/>
    <x v="10"/>
    <s v="27930-59250-JT"/>
    <s v="R-L-2.5"/>
    <n v="5"/>
    <x v="745"/>
    <s v=""/>
    <x v="0"/>
    <x v="0"/>
    <s v="L"/>
    <x v="2"/>
    <n v="27.484999999999996"/>
    <x v="187"/>
    <x v="0"/>
    <x v="1"/>
  </r>
  <r>
    <s v="HBH-64794-080"/>
    <d v="2021-02-08T00:00:00"/>
    <x v="1"/>
    <n v="2"/>
    <x v="10"/>
    <s v="40560-18556-YE"/>
    <s v="R-D-0.2"/>
    <n v="3"/>
    <x v="746"/>
    <s v=""/>
    <x v="0"/>
    <x v="0"/>
    <s v="D"/>
    <x v="3"/>
    <n v="2.6849999999999996"/>
    <x v="36"/>
    <x v="0"/>
    <x v="2"/>
  </r>
  <r>
    <s v="CNJ-56058-223"/>
    <d v="2020-08-11T00:00:00"/>
    <x v="3"/>
    <n v="8"/>
    <x v="3"/>
    <s v="40780-22081-LX"/>
    <s v="L-L-0.5"/>
    <n v="3"/>
    <x v="747"/>
    <s v="abalsdonemi@toplist.cz"/>
    <x v="0"/>
    <x v="3"/>
    <s v="L"/>
    <x v="1"/>
    <n v="9.51"/>
    <x v="32"/>
    <x v="3"/>
    <x v="1"/>
  </r>
  <r>
    <s v="KHO-27106-786"/>
    <d v="2020-10-10T00:00:00"/>
    <x v="3"/>
    <n v="10"/>
    <x v="7"/>
    <s v="01603-43789-TN"/>
    <s v="A-M-1"/>
    <n v="6"/>
    <x v="748"/>
    <s v="bromeramj@list-manage.com"/>
    <x v="1"/>
    <x v="2"/>
    <s v="M"/>
    <x v="0"/>
    <n v="11.25"/>
    <x v="173"/>
    <x v="2"/>
    <x v="0"/>
  </r>
  <r>
    <s v="KHO-27106-786"/>
    <d v="2020-10-10T00:00:00"/>
    <x v="3"/>
    <n v="10"/>
    <x v="7"/>
    <s v="01603-43789-TN"/>
    <s v="L-D-2.5"/>
    <n v="6"/>
    <x v="748"/>
    <s v="bromeramj@list-manage.com"/>
    <x v="1"/>
    <x v="3"/>
    <s v="D"/>
    <x v="2"/>
    <n v="29.784999999999997"/>
    <x v="39"/>
    <x v="3"/>
    <x v="2"/>
  </r>
  <r>
    <s v="YAC-50329-982"/>
    <d v="2020-12-08T00:00:00"/>
    <x v="3"/>
    <n v="12"/>
    <x v="9"/>
    <s v="75419-92838-TI"/>
    <s v="E-M-2.5"/>
    <n v="1"/>
    <x v="749"/>
    <s v="cbrydeml@tuttocitta.it"/>
    <x v="0"/>
    <x v="1"/>
    <s v="M"/>
    <x v="2"/>
    <n v="31.624999999999996"/>
    <x v="176"/>
    <x v="1"/>
    <x v="0"/>
  </r>
  <r>
    <s v="VVL-95291-039"/>
    <d v="2019-04-18T00:00:00"/>
    <x v="0"/>
    <n v="4"/>
    <x v="8"/>
    <s v="96516-97464-MF"/>
    <s v="E-L-0.2"/>
    <n v="2"/>
    <x v="750"/>
    <s v="senefermm@blog.com"/>
    <x v="0"/>
    <x v="1"/>
    <s v="L"/>
    <x v="3"/>
    <n v="4.4550000000000001"/>
    <x v="161"/>
    <x v="1"/>
    <x v="1"/>
  </r>
  <r>
    <s v="VUT-20974-364"/>
    <d v="2021-01-04T00:00:00"/>
    <x v="1"/>
    <n v="1"/>
    <x v="4"/>
    <s v="90285-56295-PO"/>
    <s v="R-M-0.5"/>
    <n v="6"/>
    <x v="751"/>
    <s v="lhaggerstonemn@independent.co.uk"/>
    <x v="0"/>
    <x v="0"/>
    <s v="M"/>
    <x v="1"/>
    <n v="5.97"/>
    <x v="27"/>
    <x v="0"/>
    <x v="0"/>
  </r>
  <r>
    <s v="SFC-34054-213"/>
    <d v="2019-03-10T00:00:00"/>
    <x v="0"/>
    <n v="3"/>
    <x v="6"/>
    <s v="08100-71102-HQ"/>
    <s v="L-L-0.5"/>
    <n v="4"/>
    <x v="752"/>
    <s v="mgundrymo@omniture.com"/>
    <x v="1"/>
    <x v="3"/>
    <s v="L"/>
    <x v="1"/>
    <n v="9.51"/>
    <x v="82"/>
    <x v="3"/>
    <x v="1"/>
  </r>
  <r>
    <s v="UDS-04807-593"/>
    <d v="2019-11-29T00:00:00"/>
    <x v="0"/>
    <n v="11"/>
    <x v="11"/>
    <s v="84074-28110-OV"/>
    <s v="L-D-0.5"/>
    <n v="2"/>
    <x v="753"/>
    <s v="bwellanmp@cafepress.com"/>
    <x v="0"/>
    <x v="3"/>
    <s v="D"/>
    <x v="1"/>
    <n v="7.77"/>
    <x v="42"/>
    <x v="3"/>
    <x v="2"/>
  </r>
  <r>
    <s v="FWE-98471-488"/>
    <d v="2022-07-19T00:00:00"/>
    <x v="2"/>
    <n v="7"/>
    <x v="2"/>
    <s v="27930-59250-JT"/>
    <s v="L-L-1"/>
    <n v="5"/>
    <x v="745"/>
    <s v=""/>
    <x v="0"/>
    <x v="3"/>
    <s v="L"/>
    <x v="0"/>
    <n v="15.85"/>
    <x v="180"/>
    <x v="3"/>
    <x v="1"/>
  </r>
  <r>
    <s v="RAU-17060-674"/>
    <d v="2020-06-26T00:00:00"/>
    <x v="3"/>
    <n v="6"/>
    <x v="1"/>
    <s v="12747-63766-EU"/>
    <s v="L-L-0.2"/>
    <n v="1"/>
    <x v="754"/>
    <s v="catchesonmr@xinhuanet.com"/>
    <x v="0"/>
    <x v="3"/>
    <s v="L"/>
    <x v="3"/>
    <n v="4.7549999999999999"/>
    <x v="7"/>
    <x v="3"/>
    <x v="1"/>
  </r>
  <r>
    <s v="AOL-13866-711"/>
    <d v="2019-02-14T00:00:00"/>
    <x v="0"/>
    <n v="2"/>
    <x v="10"/>
    <s v="83490-88357-LJ"/>
    <s v="E-M-1"/>
    <n v="4"/>
    <x v="755"/>
    <s v="estentonms@google.it"/>
    <x v="0"/>
    <x v="1"/>
    <s v="M"/>
    <x v="0"/>
    <n v="13.75"/>
    <x v="193"/>
    <x v="1"/>
    <x v="0"/>
  </r>
  <r>
    <s v="NOA-79645-377"/>
    <d v="2020-11-09T00:00:00"/>
    <x v="3"/>
    <n v="11"/>
    <x v="11"/>
    <s v="53729-30320-XZ"/>
    <s v="R-D-0.5"/>
    <n v="5"/>
    <x v="756"/>
    <s v="etrippmt@wp.com"/>
    <x v="0"/>
    <x v="0"/>
    <s v="D"/>
    <x v="1"/>
    <n v="5.3699999999999992"/>
    <x v="51"/>
    <x v="0"/>
    <x v="2"/>
  </r>
  <r>
    <s v="KMS-49214-806"/>
    <d v="2019-04-30T00:00:00"/>
    <x v="0"/>
    <n v="4"/>
    <x v="8"/>
    <s v="50384-52703-LA"/>
    <s v="E-L-2.5"/>
    <n v="4"/>
    <x v="757"/>
    <s v="lmacmanusmu@imdb.com"/>
    <x v="0"/>
    <x v="1"/>
    <s v="L"/>
    <x v="2"/>
    <n v="34.154999999999994"/>
    <x v="56"/>
    <x v="1"/>
    <x v="1"/>
  </r>
  <r>
    <s v="ABK-08091-531"/>
    <d v="2020-10-30T00:00:00"/>
    <x v="3"/>
    <n v="10"/>
    <x v="7"/>
    <s v="53864-36201-FG"/>
    <s v="L-L-1"/>
    <n v="3"/>
    <x v="758"/>
    <s v="tbenediktovichmv@ebay.com"/>
    <x v="0"/>
    <x v="3"/>
    <s v="L"/>
    <x v="0"/>
    <n v="15.85"/>
    <x v="46"/>
    <x v="3"/>
    <x v="1"/>
  </r>
  <r>
    <s v="GPT-67705-953"/>
    <d v="2019-11-12T00:00:00"/>
    <x v="0"/>
    <n v="11"/>
    <x v="11"/>
    <s v="70631-33225-MZ"/>
    <s v="A-M-0.2"/>
    <n v="5"/>
    <x v="759"/>
    <s v="cbournermw@chronoengine.com"/>
    <x v="0"/>
    <x v="2"/>
    <s v="M"/>
    <x v="3"/>
    <n v="3.375"/>
    <x v="19"/>
    <x v="2"/>
    <x v="0"/>
  </r>
  <r>
    <s v="JNA-21450-177"/>
    <d v="2022-02-11T00:00:00"/>
    <x v="2"/>
    <n v="2"/>
    <x v="10"/>
    <s v="54798-14109-HC"/>
    <s v="A-D-1"/>
    <n v="3"/>
    <x v="760"/>
    <s v="oskermen3@hatena.ne.jp"/>
    <x v="0"/>
    <x v="2"/>
    <s v="D"/>
    <x v="0"/>
    <n v="9.9499999999999993"/>
    <x v="44"/>
    <x v="2"/>
    <x v="2"/>
  </r>
  <r>
    <s v="MPQ-23421-608"/>
    <d v="2021-03-28T00:00:00"/>
    <x v="1"/>
    <n v="3"/>
    <x v="6"/>
    <s v="08023-52962-ET"/>
    <s v="E-M-0.5"/>
    <n v="5"/>
    <x v="761"/>
    <s v="kheddanmy@icq.com"/>
    <x v="0"/>
    <x v="1"/>
    <s v="M"/>
    <x v="1"/>
    <n v="8.25"/>
    <x v="1"/>
    <x v="1"/>
    <x v="0"/>
  </r>
  <r>
    <s v="NLI-63891-565"/>
    <d v="2021-12-10T00:00:00"/>
    <x v="1"/>
    <n v="12"/>
    <x v="9"/>
    <s v="41899-00283-VK"/>
    <s v="E-M-0.2"/>
    <n v="5"/>
    <x v="762"/>
    <s v="ichartersmz@abc.net.au"/>
    <x v="0"/>
    <x v="1"/>
    <s v="M"/>
    <x v="3"/>
    <n v="4.125"/>
    <x v="132"/>
    <x v="1"/>
    <x v="0"/>
  </r>
  <r>
    <s v="HHF-36647-854"/>
    <d v="2021-11-05T00:00:00"/>
    <x v="1"/>
    <n v="11"/>
    <x v="11"/>
    <s v="39011-18412-GR"/>
    <s v="A-D-2.5"/>
    <n v="6"/>
    <x v="763"/>
    <s v="aroubertn0@tmall.com"/>
    <x v="0"/>
    <x v="2"/>
    <s v="D"/>
    <x v="2"/>
    <n v="22.884999999999998"/>
    <x v="170"/>
    <x v="2"/>
    <x v="2"/>
  </r>
  <r>
    <s v="SBN-16537-046"/>
    <d v="2020-02-29T00:00:00"/>
    <x v="3"/>
    <n v="2"/>
    <x v="10"/>
    <s v="60255-12579-PZ"/>
    <s v="A-D-0.2"/>
    <n v="1"/>
    <x v="764"/>
    <s v="hmairsn1@so-net.ne.jp"/>
    <x v="0"/>
    <x v="2"/>
    <s v="D"/>
    <x v="3"/>
    <n v="2.9849999999999999"/>
    <x v="55"/>
    <x v="2"/>
    <x v="2"/>
  </r>
  <r>
    <s v="XZD-44484-632"/>
    <d v="2021-08-06T00:00:00"/>
    <x v="1"/>
    <n v="8"/>
    <x v="3"/>
    <s v="80541-38332-BP"/>
    <s v="E-M-1"/>
    <n v="2"/>
    <x v="765"/>
    <s v="hrainforthn2@blog.com"/>
    <x v="0"/>
    <x v="1"/>
    <s v="M"/>
    <x v="0"/>
    <n v="13.75"/>
    <x v="3"/>
    <x v="1"/>
    <x v="0"/>
  </r>
  <r>
    <s v="XZD-44484-632"/>
    <d v="2021-08-06T00:00:00"/>
    <x v="1"/>
    <n v="8"/>
    <x v="3"/>
    <s v="80541-38332-BP"/>
    <s v="A-D-0.2"/>
    <n v="2"/>
    <x v="765"/>
    <s v="hrainforthn2@blog.com"/>
    <x v="0"/>
    <x v="2"/>
    <s v="D"/>
    <x v="3"/>
    <n v="2.9849999999999999"/>
    <x v="9"/>
    <x v="2"/>
    <x v="2"/>
  </r>
  <r>
    <s v="IKQ-39946-768"/>
    <d v="2021-03-19T00:00:00"/>
    <x v="1"/>
    <n v="3"/>
    <x v="6"/>
    <s v="72778-50968-UQ"/>
    <s v="R-M-1"/>
    <n v="6"/>
    <x v="766"/>
    <s v="ijespern4@theglobeandmail.com"/>
    <x v="0"/>
    <x v="0"/>
    <s v="M"/>
    <x v="0"/>
    <n v="9.9499999999999993"/>
    <x v="33"/>
    <x v="0"/>
    <x v="0"/>
  </r>
  <r>
    <s v="KMB-95211-174"/>
    <d v="2021-04-16T00:00:00"/>
    <x v="1"/>
    <n v="4"/>
    <x v="8"/>
    <s v="23941-30203-MO"/>
    <s v="R-D-2.5"/>
    <n v="4"/>
    <x v="767"/>
    <s v="ldwerryhousen5@gravatar.com"/>
    <x v="0"/>
    <x v="0"/>
    <s v="D"/>
    <x v="2"/>
    <n v="20.584999999999997"/>
    <x v="18"/>
    <x v="0"/>
    <x v="2"/>
  </r>
  <r>
    <s v="QWY-99467-368"/>
    <d v="2020-11-06T00:00:00"/>
    <x v="3"/>
    <n v="11"/>
    <x v="11"/>
    <s v="96434-50068-DZ"/>
    <s v="A-D-2.5"/>
    <n v="1"/>
    <x v="768"/>
    <s v="nbroomern6@examiner.com"/>
    <x v="0"/>
    <x v="2"/>
    <s v="D"/>
    <x v="2"/>
    <n v="22.884999999999998"/>
    <x v="156"/>
    <x v="2"/>
    <x v="2"/>
  </r>
  <r>
    <s v="SRG-76791-614"/>
    <d v="2021-03-15T00:00:00"/>
    <x v="1"/>
    <n v="3"/>
    <x v="6"/>
    <s v="11729-74102-XB"/>
    <s v="E-L-0.5"/>
    <n v="1"/>
    <x v="769"/>
    <s v="kthoumassonn7@bloglovin.com"/>
    <x v="0"/>
    <x v="1"/>
    <s v="L"/>
    <x v="1"/>
    <n v="8.91"/>
    <x v="161"/>
    <x v="1"/>
    <x v="1"/>
  </r>
  <r>
    <s v="VSN-94485-621"/>
    <d v="2021-10-17T00:00:00"/>
    <x v="1"/>
    <n v="10"/>
    <x v="7"/>
    <s v="88116-12604-TE"/>
    <s v="A-D-0.2"/>
    <n v="4"/>
    <x v="770"/>
    <s v="fhabberghamn8@discovery.com"/>
    <x v="0"/>
    <x v="2"/>
    <s v="D"/>
    <x v="3"/>
    <n v="2.9849999999999999"/>
    <x v="22"/>
    <x v="2"/>
    <x v="2"/>
  </r>
  <r>
    <s v="UFZ-24348-219"/>
    <d v="2019-09-07T00:00:00"/>
    <x v="0"/>
    <n v="9"/>
    <x v="0"/>
    <s v="27930-59250-JT"/>
    <s v="L-M-2.5"/>
    <n v="3"/>
    <x v="28"/>
    <s v="Not Found"/>
    <x v="2"/>
    <x v="3"/>
    <s v="M"/>
    <x v="2"/>
    <n v="33.464999999999996"/>
    <x v="64"/>
    <x v="3"/>
    <x v="0"/>
  </r>
  <r>
    <s v="UKS-93055-397"/>
    <d v="2022-07-13T00:00:00"/>
    <x v="2"/>
    <n v="7"/>
    <x v="2"/>
    <s v="13082-41034-PD"/>
    <s v="A-D-2.5"/>
    <n v="5"/>
    <x v="771"/>
    <s v="ravrashinna@tamu.edu"/>
    <x v="0"/>
    <x v="2"/>
    <s v="D"/>
    <x v="2"/>
    <n v="22.884999999999998"/>
    <x v="15"/>
    <x v="2"/>
    <x v="2"/>
  </r>
  <r>
    <s v="AVH-56062-335"/>
    <d v="2021-11-21T00:00:00"/>
    <x v="1"/>
    <n v="11"/>
    <x v="11"/>
    <s v="18082-74419-QH"/>
    <s v="E-M-0.5"/>
    <n v="5"/>
    <x v="772"/>
    <s v="mdoidgenb@etsy.com"/>
    <x v="0"/>
    <x v="1"/>
    <s v="M"/>
    <x v="1"/>
    <n v="8.25"/>
    <x v="1"/>
    <x v="1"/>
    <x v="0"/>
  </r>
  <r>
    <s v="HGE-19842-613"/>
    <d v="2022-01-13T00:00:00"/>
    <x v="2"/>
    <n v="1"/>
    <x v="4"/>
    <s v="49401-45041-ZU"/>
    <s v="R-L-0.5"/>
    <n v="4"/>
    <x v="773"/>
    <s v="jedinboronc@reverbnation.com"/>
    <x v="0"/>
    <x v="0"/>
    <s v="L"/>
    <x v="1"/>
    <n v="7.169999999999999"/>
    <x v="139"/>
    <x v="0"/>
    <x v="1"/>
  </r>
  <r>
    <s v="WBA-85905-175"/>
    <d v="2022-07-13T00:00:00"/>
    <x v="2"/>
    <n v="7"/>
    <x v="2"/>
    <s v="41252-45992-VS"/>
    <s v="L-M-0.2"/>
    <n v="1"/>
    <x v="774"/>
    <s v="ttewelsonnd@cdbaby.com"/>
    <x v="0"/>
    <x v="3"/>
    <s v="M"/>
    <x v="3"/>
    <n v="4.3650000000000002"/>
    <x v="189"/>
    <x v="3"/>
    <x v="0"/>
  </r>
  <r>
    <s v="DZI-35365-596"/>
    <d v="2021-11-02T00:00:00"/>
    <x v="1"/>
    <n v="11"/>
    <x v="11"/>
    <s v="54798-14109-HC"/>
    <s v="E-M-0.2"/>
    <n v="2"/>
    <x v="28"/>
    <s v="Not Found"/>
    <x v="2"/>
    <x v="1"/>
    <s v="M"/>
    <x v="3"/>
    <n v="4.125"/>
    <x v="112"/>
    <x v="1"/>
    <x v="0"/>
  </r>
  <r>
    <s v="XIR-88982-743"/>
    <d v="2021-07-10T00:00:00"/>
    <x v="1"/>
    <n v="7"/>
    <x v="2"/>
    <s v="00852-54571-WP"/>
    <s v="E-M-0.2"/>
    <n v="2"/>
    <x v="775"/>
    <s v="ddrewittnf@mapquest.com"/>
    <x v="0"/>
    <x v="1"/>
    <s v="M"/>
    <x v="3"/>
    <n v="4.125"/>
    <x v="112"/>
    <x v="1"/>
    <x v="0"/>
  </r>
  <r>
    <s v="VUC-72395-865"/>
    <d v="2021-10-07T00:00:00"/>
    <x v="1"/>
    <n v="10"/>
    <x v="7"/>
    <s v="13321-57602-GK"/>
    <s v="A-D-0.5"/>
    <n v="6"/>
    <x v="776"/>
    <s v="agladhillng@stanford.edu"/>
    <x v="0"/>
    <x v="2"/>
    <s v="D"/>
    <x v="1"/>
    <n v="5.97"/>
    <x v="27"/>
    <x v="2"/>
    <x v="2"/>
  </r>
  <r>
    <s v="BQJ-44755-910"/>
    <d v="2020-02-28T00:00:00"/>
    <x v="3"/>
    <n v="2"/>
    <x v="10"/>
    <s v="75006-89922-VW"/>
    <s v="E-D-2.5"/>
    <n v="6"/>
    <x v="777"/>
    <s v="mlorineznh@whitehouse.gov"/>
    <x v="0"/>
    <x v="1"/>
    <s v="D"/>
    <x v="2"/>
    <n v="27.945"/>
    <x v="164"/>
    <x v="1"/>
    <x v="2"/>
  </r>
  <r>
    <s v="JKC-64636-831"/>
    <d v="2022-07-05T00:00:00"/>
    <x v="2"/>
    <n v="7"/>
    <x v="2"/>
    <s v="52098-80103-FD"/>
    <s v="A-M-2.5"/>
    <n v="2"/>
    <x v="778"/>
    <s v=""/>
    <x v="0"/>
    <x v="2"/>
    <s v="M"/>
    <x v="2"/>
    <n v="25.874999999999996"/>
    <x v="95"/>
    <x v="2"/>
    <x v="0"/>
  </r>
  <r>
    <s v="ZKI-78561-066"/>
    <d v="2021-09-21T00:00:00"/>
    <x v="1"/>
    <n v="9"/>
    <x v="0"/>
    <s v="60121-12432-VU"/>
    <s v="A-D-0.2"/>
    <n v="3"/>
    <x v="779"/>
    <s v="mvannj@wikipedia.org"/>
    <x v="0"/>
    <x v="2"/>
    <s v="D"/>
    <x v="3"/>
    <n v="2.9849999999999999"/>
    <x v="169"/>
    <x v="2"/>
    <x v="2"/>
  </r>
  <r>
    <s v="IMP-12563-728"/>
    <d v="2019-01-03T00:00:00"/>
    <x v="0"/>
    <n v="1"/>
    <x v="4"/>
    <s v="68346-14810-UA"/>
    <s v="E-L-0.5"/>
    <n v="6"/>
    <x v="780"/>
    <s v=""/>
    <x v="0"/>
    <x v="1"/>
    <s v="L"/>
    <x v="1"/>
    <n v="8.91"/>
    <x v="119"/>
    <x v="1"/>
    <x v="1"/>
  </r>
  <r>
    <s v="MZL-81126-390"/>
    <d v="2022-03-08T00:00:00"/>
    <x v="2"/>
    <n v="3"/>
    <x v="6"/>
    <s v="48464-99723-HK"/>
    <s v="A-L-0.2"/>
    <n v="6"/>
    <x v="781"/>
    <s v="jethelstonnl@creativecommons.org"/>
    <x v="0"/>
    <x v="2"/>
    <s v="L"/>
    <x v="3"/>
    <n v="3.8849999999999998"/>
    <x v="102"/>
    <x v="2"/>
    <x v="1"/>
  </r>
  <r>
    <s v="MZL-81126-390"/>
    <d v="2022-03-08T00:00:00"/>
    <x v="2"/>
    <n v="3"/>
    <x v="6"/>
    <s v="48464-99723-HK"/>
    <s v="A-M-0.2"/>
    <n v="2"/>
    <x v="781"/>
    <s v="jethelstonnl@creativecommons.org"/>
    <x v="0"/>
    <x v="2"/>
    <s v="M"/>
    <x v="3"/>
    <n v="3.375"/>
    <x v="52"/>
    <x v="2"/>
    <x v="0"/>
  </r>
  <r>
    <s v="TVF-57766-608"/>
    <d v="2020-03-10T00:00:00"/>
    <x v="3"/>
    <n v="3"/>
    <x v="6"/>
    <s v="88420-46464-XE"/>
    <s v="L-D-0.5"/>
    <n v="1"/>
    <x v="782"/>
    <s v="peberznn@woothemes.com"/>
    <x v="0"/>
    <x v="3"/>
    <s v="D"/>
    <x v="1"/>
    <n v="7.77"/>
    <x v="41"/>
    <x v="3"/>
    <x v="2"/>
  </r>
  <r>
    <s v="RUX-37995-892"/>
    <d v="2021-11-27T00:00:00"/>
    <x v="1"/>
    <n v="11"/>
    <x v="11"/>
    <s v="37762-09530-MP"/>
    <s v="L-D-2.5"/>
    <n v="4"/>
    <x v="783"/>
    <s v="bgaishno@altervista.org"/>
    <x v="0"/>
    <x v="3"/>
    <s v="D"/>
    <x v="2"/>
    <n v="29.784999999999997"/>
    <x v="129"/>
    <x v="3"/>
    <x v="2"/>
  </r>
  <r>
    <s v="AVK-76526-953"/>
    <d v="2021-03-04T00:00:00"/>
    <x v="1"/>
    <n v="3"/>
    <x v="6"/>
    <s v="47268-50127-XY"/>
    <s v="A-D-1"/>
    <n v="2"/>
    <x v="784"/>
    <s v="ldantonnp@miitbeian.gov.cn"/>
    <x v="0"/>
    <x v="2"/>
    <s v="D"/>
    <x v="0"/>
    <n v="9.9499999999999993"/>
    <x v="0"/>
    <x v="2"/>
    <x v="2"/>
  </r>
  <r>
    <s v="RIU-02231-623"/>
    <d v="2021-11-16T00:00:00"/>
    <x v="1"/>
    <n v="11"/>
    <x v="11"/>
    <s v="25544-84179-QC"/>
    <s v="R-L-0.5"/>
    <n v="5"/>
    <x v="785"/>
    <s v="smorrallnq@answers.com"/>
    <x v="0"/>
    <x v="0"/>
    <s v="L"/>
    <x v="1"/>
    <n v="7.169999999999999"/>
    <x v="66"/>
    <x v="0"/>
    <x v="1"/>
  </r>
  <r>
    <s v="WFK-99317-827"/>
    <d v="2019-06-16T00:00:00"/>
    <x v="0"/>
    <n v="6"/>
    <x v="1"/>
    <s v="32058-76765-ZL"/>
    <s v="L-D-2.5"/>
    <n v="3"/>
    <x v="786"/>
    <s v="dcrownshawnr@photobucket.com"/>
    <x v="0"/>
    <x v="3"/>
    <s v="D"/>
    <x v="2"/>
    <n v="29.784999999999997"/>
    <x v="49"/>
    <x v="3"/>
    <x v="2"/>
  </r>
  <r>
    <s v="SFD-00372-284"/>
    <d v="2020-07-19T00:00:00"/>
    <x v="3"/>
    <n v="7"/>
    <x v="2"/>
    <s v="54798-14109-HC"/>
    <s v="L-M-0.2"/>
    <n v="2"/>
    <x v="28"/>
    <s v="Not Found"/>
    <x v="2"/>
    <x v="3"/>
    <s v="M"/>
    <x v="3"/>
    <n v="4.3650000000000002"/>
    <x v="31"/>
    <x v="3"/>
    <x v="0"/>
  </r>
  <r>
    <s v="SXC-62166-515"/>
    <d v="2020-02-28T00:00:00"/>
    <x v="3"/>
    <n v="2"/>
    <x v="10"/>
    <s v="69171-65646-UC"/>
    <s v="R-L-2.5"/>
    <n v="5"/>
    <x v="787"/>
    <s v="jreddochnt@sun.com"/>
    <x v="0"/>
    <x v="0"/>
    <s v="L"/>
    <x v="2"/>
    <n v="27.484999999999996"/>
    <x v="187"/>
    <x v="0"/>
    <x v="1"/>
  </r>
  <r>
    <s v="YIE-87008-621"/>
    <d v="2019-06-22T00:00:00"/>
    <x v="0"/>
    <n v="6"/>
    <x v="1"/>
    <s v="22503-52799-MI"/>
    <s v="L-M-0.5"/>
    <n v="4"/>
    <x v="788"/>
    <s v="stitleynu@whitehouse.gov"/>
    <x v="0"/>
    <x v="3"/>
    <s v="M"/>
    <x v="1"/>
    <n v="8.73"/>
    <x v="190"/>
    <x v="3"/>
    <x v="0"/>
  </r>
  <r>
    <s v="HRM-94548-288"/>
    <d v="2019-09-08T00:00:00"/>
    <x v="0"/>
    <n v="9"/>
    <x v="0"/>
    <s v="08934-65581-ZI"/>
    <s v="A-L-2.5"/>
    <n v="6"/>
    <x v="789"/>
    <s v="rsimaonv@simplemachines.org"/>
    <x v="0"/>
    <x v="2"/>
    <s v="L"/>
    <x v="2"/>
    <n v="29.784999999999997"/>
    <x v="39"/>
    <x v="2"/>
    <x v="1"/>
  </r>
  <r>
    <s v="UJG-34731-295"/>
    <d v="2022-05-26T00:00:00"/>
    <x v="2"/>
    <n v="5"/>
    <x v="5"/>
    <s v="15764-22559-ZT"/>
    <s v="A-M-2.5"/>
    <n v="1"/>
    <x v="790"/>
    <s v=""/>
    <x v="0"/>
    <x v="2"/>
    <s v="M"/>
    <x v="2"/>
    <n v="25.874999999999996"/>
    <x v="145"/>
    <x v="2"/>
    <x v="0"/>
  </r>
  <r>
    <s v="TWD-70988-853"/>
    <d v="2019-12-03T00:00:00"/>
    <x v="0"/>
    <n v="12"/>
    <x v="9"/>
    <s v="87519-68847-ZG"/>
    <s v="L-D-1"/>
    <n v="6"/>
    <x v="791"/>
    <s v="nchisholmnx@example.com"/>
    <x v="0"/>
    <x v="3"/>
    <s v="D"/>
    <x v="0"/>
    <n v="12.95"/>
    <x v="17"/>
    <x v="3"/>
    <x v="2"/>
  </r>
  <r>
    <s v="CIX-22904-641"/>
    <d v="2019-09-17T00:00:00"/>
    <x v="0"/>
    <n v="9"/>
    <x v="0"/>
    <s v="78012-56878-UB"/>
    <s v="R-M-1"/>
    <n v="1"/>
    <x v="792"/>
    <s v="goatsny@live.com"/>
    <x v="0"/>
    <x v="0"/>
    <s v="M"/>
    <x v="0"/>
    <n v="9.9499999999999993"/>
    <x v="138"/>
    <x v="0"/>
    <x v="0"/>
  </r>
  <r>
    <s v="DLV-65840-759"/>
    <d v="2022-05-31T00:00:00"/>
    <x v="2"/>
    <n v="5"/>
    <x v="5"/>
    <s v="77192-72145-RG"/>
    <s v="L-M-1"/>
    <n v="2"/>
    <x v="793"/>
    <s v="mbirkinnz@java.com"/>
    <x v="0"/>
    <x v="3"/>
    <s v="M"/>
    <x v="0"/>
    <n v="14.55"/>
    <x v="194"/>
    <x v="3"/>
    <x v="0"/>
  </r>
  <r>
    <s v="RXN-55491-201"/>
    <d v="2019-10-21T00:00:00"/>
    <x v="0"/>
    <n v="10"/>
    <x v="7"/>
    <s v="86071-79238-CX"/>
    <s v="R-L-0.2"/>
    <n v="6"/>
    <x v="794"/>
    <s v="rpysono0@constantcontact.com"/>
    <x v="1"/>
    <x v="0"/>
    <s v="L"/>
    <x v="3"/>
    <n v="3.5849999999999995"/>
    <x v="137"/>
    <x v="0"/>
    <x v="1"/>
  </r>
  <r>
    <s v="UHK-63283-868"/>
    <d v="2022-04-24T00:00:00"/>
    <x v="2"/>
    <n v="4"/>
    <x v="8"/>
    <s v="16809-16936-WF"/>
    <s v="A-M-0.5"/>
    <n v="1"/>
    <x v="795"/>
    <s v="mmacconnechieo9@reuters.com"/>
    <x v="0"/>
    <x v="2"/>
    <s v="M"/>
    <x v="1"/>
    <n v="6.75"/>
    <x v="52"/>
    <x v="2"/>
    <x v="0"/>
  </r>
  <r>
    <s v="PJC-31401-893"/>
    <d v="2021-01-13T00:00:00"/>
    <x v="1"/>
    <n v="1"/>
    <x v="4"/>
    <s v="11212-69985-ZJ"/>
    <s v="A-D-0.5"/>
    <n v="3"/>
    <x v="796"/>
    <s v="rtreachero2@usa.gov"/>
    <x v="1"/>
    <x v="2"/>
    <s v="D"/>
    <x v="1"/>
    <n v="5.97"/>
    <x v="8"/>
    <x v="2"/>
    <x v="2"/>
  </r>
  <r>
    <s v="HHO-79903-185"/>
    <d v="2022-08-19T00:00:00"/>
    <x v="2"/>
    <n v="8"/>
    <x v="3"/>
    <s v="53893-01719-CL"/>
    <s v="A-L-2.5"/>
    <n v="1"/>
    <x v="797"/>
    <s v="bfattorinio3@quantcast.com"/>
    <x v="1"/>
    <x v="2"/>
    <s v="L"/>
    <x v="2"/>
    <n v="29.784999999999997"/>
    <x v="91"/>
    <x v="2"/>
    <x v="1"/>
  </r>
  <r>
    <s v="YWM-07310-594"/>
    <d v="2019-03-02T00:00:00"/>
    <x v="0"/>
    <n v="3"/>
    <x v="6"/>
    <s v="66028-99867-WJ"/>
    <s v="E-M-0.5"/>
    <n v="5"/>
    <x v="798"/>
    <s v="mpalleskeo4@nyu.edu"/>
    <x v="0"/>
    <x v="1"/>
    <s v="M"/>
    <x v="1"/>
    <n v="8.25"/>
    <x v="1"/>
    <x v="1"/>
    <x v="0"/>
  </r>
  <r>
    <s v="FHD-94983-982"/>
    <d v="2020-01-21T00:00:00"/>
    <x v="3"/>
    <n v="1"/>
    <x v="4"/>
    <s v="62839-56723-CH"/>
    <s v="R-M-0.5"/>
    <n v="3"/>
    <x v="799"/>
    <s v=""/>
    <x v="0"/>
    <x v="0"/>
    <s v="M"/>
    <x v="1"/>
    <n v="5.97"/>
    <x v="8"/>
    <x v="0"/>
    <x v="0"/>
  </r>
  <r>
    <s v="WQK-10857-119"/>
    <d v="2021-09-21T00:00:00"/>
    <x v="1"/>
    <n v="9"/>
    <x v="0"/>
    <s v="96849-52854-CR"/>
    <s v="E-D-0.5"/>
    <n v="1"/>
    <x v="800"/>
    <s v="fantcliffeo6@amazon.co.jp"/>
    <x v="1"/>
    <x v="1"/>
    <s v="D"/>
    <x v="1"/>
    <n v="7.29"/>
    <x v="35"/>
    <x v="1"/>
    <x v="2"/>
  </r>
  <r>
    <s v="DXA-50313-073"/>
    <d v="2019-08-30T00:00:00"/>
    <x v="0"/>
    <n v="8"/>
    <x v="3"/>
    <s v="19755-55847-VW"/>
    <s v="E-L-1"/>
    <n v="2"/>
    <x v="801"/>
    <s v="pmatignono7@harvard.edu"/>
    <x v="3"/>
    <x v="1"/>
    <s v="L"/>
    <x v="0"/>
    <n v="14.85"/>
    <x v="195"/>
    <x v="1"/>
    <x v="1"/>
  </r>
  <r>
    <s v="ONW-00560-570"/>
    <d v="2019-02-25T00:00:00"/>
    <x v="0"/>
    <n v="2"/>
    <x v="10"/>
    <s v="32900-82606-BO"/>
    <s v="A-M-1"/>
    <n v="2"/>
    <x v="802"/>
    <s v="cweondo8@theglobeandmail.com"/>
    <x v="0"/>
    <x v="2"/>
    <s v="M"/>
    <x v="0"/>
    <n v="11.25"/>
    <x v="122"/>
    <x v="2"/>
    <x v="0"/>
  </r>
  <r>
    <s v="BRJ-19414-277"/>
    <d v="2019-09-17T00:00:00"/>
    <x v="0"/>
    <n v="9"/>
    <x v="0"/>
    <s v="16809-16936-WF"/>
    <s v="R-M-0.2"/>
    <n v="4"/>
    <x v="795"/>
    <s v="mmacconnechieo9@reuters.com"/>
    <x v="0"/>
    <x v="0"/>
    <s v="M"/>
    <x v="3"/>
    <n v="2.9849999999999999"/>
    <x v="22"/>
    <x v="0"/>
    <x v="0"/>
  </r>
  <r>
    <s v="MIQ-16322-908"/>
    <d v="2019-08-03T00:00:00"/>
    <x v="0"/>
    <n v="8"/>
    <x v="3"/>
    <s v="20118-28138-QD"/>
    <s v="A-L-1"/>
    <n v="2"/>
    <x v="803"/>
    <s v="jskentelberyoa@paypal.com"/>
    <x v="0"/>
    <x v="2"/>
    <s v="L"/>
    <x v="0"/>
    <n v="12.95"/>
    <x v="109"/>
    <x v="2"/>
    <x v="1"/>
  </r>
  <r>
    <s v="MVO-39328-830"/>
    <d v="2021-02-26T00:00:00"/>
    <x v="1"/>
    <n v="2"/>
    <x v="10"/>
    <s v="84057-45461-AH"/>
    <s v="L-M-0.5"/>
    <n v="5"/>
    <x v="804"/>
    <s v="ocomberob@goo.gl"/>
    <x v="1"/>
    <x v="3"/>
    <s v="M"/>
    <x v="1"/>
    <n v="8.73"/>
    <x v="34"/>
    <x v="3"/>
    <x v="0"/>
  </r>
  <r>
    <s v="MVO-39328-830"/>
    <d v="2021-02-26T00:00:00"/>
    <x v="1"/>
    <n v="2"/>
    <x v="10"/>
    <s v="84057-45461-AH"/>
    <s v="A-L-0.5"/>
    <n v="6"/>
    <x v="804"/>
    <s v="ocomberob@goo.gl"/>
    <x v="1"/>
    <x v="2"/>
    <s v="L"/>
    <x v="1"/>
    <n v="7.77"/>
    <x v="162"/>
    <x v="2"/>
    <x v="1"/>
  </r>
  <r>
    <s v="NTJ-88319-746"/>
    <d v="2021-08-03T00:00:00"/>
    <x v="1"/>
    <n v="8"/>
    <x v="3"/>
    <s v="90882-88130-KQ"/>
    <s v="L-L-0.5"/>
    <n v="3"/>
    <x v="805"/>
    <s v="ztramelod@netlog.com"/>
    <x v="0"/>
    <x v="3"/>
    <s v="L"/>
    <x v="1"/>
    <n v="9.51"/>
    <x v="32"/>
    <x v="3"/>
    <x v="1"/>
  </r>
  <r>
    <s v="LCY-24377-948"/>
    <d v="2021-05-07T00:00:00"/>
    <x v="1"/>
    <n v="5"/>
    <x v="5"/>
    <s v="21617-79890-DD"/>
    <s v="R-L-2.5"/>
    <n v="1"/>
    <x v="806"/>
    <s v=""/>
    <x v="0"/>
    <x v="0"/>
    <s v="L"/>
    <x v="2"/>
    <n v="27.484999999999996"/>
    <x v="142"/>
    <x v="0"/>
    <x v="1"/>
  </r>
  <r>
    <s v="FWD-85967-769"/>
    <d v="2019-06-14T00:00:00"/>
    <x v="0"/>
    <n v="6"/>
    <x v="1"/>
    <s v="20256-54689-LO"/>
    <s v="E-D-0.2"/>
    <n v="3"/>
    <x v="807"/>
    <s v=""/>
    <x v="0"/>
    <x v="1"/>
    <s v="D"/>
    <x v="3"/>
    <n v="3.645"/>
    <x v="47"/>
    <x v="1"/>
    <x v="2"/>
  </r>
  <r>
    <s v="KTO-53793-109"/>
    <d v="2019-11-21T00:00:00"/>
    <x v="0"/>
    <n v="11"/>
    <x v="11"/>
    <s v="17572-27091-AA"/>
    <s v="R-L-0.2"/>
    <n v="2"/>
    <x v="808"/>
    <s v="chatfullog@ebay.com"/>
    <x v="0"/>
    <x v="0"/>
    <s v="L"/>
    <x v="3"/>
    <n v="3.5849999999999995"/>
    <x v="53"/>
    <x v="0"/>
    <x v="1"/>
  </r>
  <r>
    <s v="OCK-89033-348"/>
    <d v="2021-03-31T00:00:00"/>
    <x v="1"/>
    <n v="3"/>
    <x v="6"/>
    <s v="82300-88786-UE"/>
    <s v="A-L-0.2"/>
    <n v="6"/>
    <x v="809"/>
    <s v=""/>
    <x v="0"/>
    <x v="2"/>
    <s v="L"/>
    <x v="3"/>
    <n v="3.8849999999999998"/>
    <x v="102"/>
    <x v="2"/>
    <x v="1"/>
  </r>
  <r>
    <s v="GPZ-36017-366"/>
    <d v="2019-07-01T00:00:00"/>
    <x v="0"/>
    <n v="7"/>
    <x v="2"/>
    <s v="65732-22589-OW"/>
    <s v="A-D-2.5"/>
    <n v="5"/>
    <x v="810"/>
    <s v="kmarrisonoq@dropbox.com"/>
    <x v="0"/>
    <x v="2"/>
    <s v="D"/>
    <x v="2"/>
    <n v="22.884999999999998"/>
    <x v="15"/>
    <x v="2"/>
    <x v="2"/>
  </r>
  <r>
    <s v="BZP-33213-637"/>
    <d v="2020-05-05T00:00:00"/>
    <x v="3"/>
    <n v="5"/>
    <x v="5"/>
    <s v="77175-09826-SF"/>
    <s v="A-M-2.5"/>
    <n v="3"/>
    <x v="811"/>
    <s v="lagnolooj@pinterest.com"/>
    <x v="0"/>
    <x v="2"/>
    <s v="M"/>
    <x v="2"/>
    <n v="25.874999999999996"/>
    <x v="57"/>
    <x v="2"/>
    <x v="0"/>
  </r>
  <r>
    <s v="WFH-21507-708"/>
    <d v="2020-04-20T00:00:00"/>
    <x v="3"/>
    <n v="4"/>
    <x v="8"/>
    <s v="07237-32539-NB"/>
    <s v="R-D-0.5"/>
    <n v="1"/>
    <x v="812"/>
    <s v="dkiddyok@fda.gov"/>
    <x v="0"/>
    <x v="0"/>
    <s v="D"/>
    <x v="1"/>
    <n v="5.3699999999999992"/>
    <x v="147"/>
    <x v="0"/>
    <x v="2"/>
  </r>
  <r>
    <s v="HST-96923-073"/>
    <d v="2019-07-18T00:00:00"/>
    <x v="0"/>
    <n v="7"/>
    <x v="2"/>
    <s v="54722-76431-EX"/>
    <s v="R-D-2.5"/>
    <n v="6"/>
    <x v="813"/>
    <s v="hpetroulisol@state.tx.us"/>
    <x v="1"/>
    <x v="0"/>
    <s v="D"/>
    <x v="2"/>
    <n v="20.584999999999997"/>
    <x v="99"/>
    <x v="0"/>
    <x v="2"/>
  </r>
  <r>
    <s v="ENN-79947-323"/>
    <d v="2021-11-18T00:00:00"/>
    <x v="1"/>
    <n v="11"/>
    <x v="11"/>
    <s v="67847-82662-TE"/>
    <s v="L-M-0.5"/>
    <n v="2"/>
    <x v="814"/>
    <s v="mschollom@taobao.com"/>
    <x v="0"/>
    <x v="3"/>
    <s v="M"/>
    <x v="1"/>
    <n v="8.73"/>
    <x v="92"/>
    <x v="3"/>
    <x v="0"/>
  </r>
  <r>
    <s v="BHA-47429-889"/>
    <d v="2020-06-20T00:00:00"/>
    <x v="3"/>
    <n v="6"/>
    <x v="1"/>
    <s v="51114-51191-EW"/>
    <s v="E-L-0.2"/>
    <n v="3"/>
    <x v="815"/>
    <s v="kfersonon@g.co"/>
    <x v="0"/>
    <x v="1"/>
    <s v="L"/>
    <x v="3"/>
    <n v="4.4550000000000001"/>
    <x v="77"/>
    <x v="1"/>
    <x v="1"/>
  </r>
  <r>
    <s v="SZY-63017-318"/>
    <d v="2021-04-06T00:00:00"/>
    <x v="1"/>
    <n v="4"/>
    <x v="8"/>
    <s v="91809-58808-TV"/>
    <s v="A-L-0.2"/>
    <n v="2"/>
    <x v="816"/>
    <s v="bkellowayoo@omniture.com"/>
    <x v="0"/>
    <x v="2"/>
    <s v="L"/>
    <x v="3"/>
    <n v="3.8849999999999998"/>
    <x v="41"/>
    <x v="2"/>
    <x v="1"/>
  </r>
  <r>
    <s v="LCU-93317-340"/>
    <d v="2019-06-17T00:00:00"/>
    <x v="0"/>
    <n v="6"/>
    <x v="1"/>
    <s v="84996-26826-DK"/>
    <s v="R-D-0.2"/>
    <n v="1"/>
    <x v="817"/>
    <s v="soliffeop@yellowbook.com"/>
    <x v="0"/>
    <x v="0"/>
    <s v="D"/>
    <x v="3"/>
    <n v="2.6849999999999996"/>
    <x v="97"/>
    <x v="0"/>
    <x v="2"/>
  </r>
  <r>
    <s v="UOM-71431-481"/>
    <d v="2022-03-26T00:00:00"/>
    <x v="2"/>
    <n v="3"/>
    <x v="6"/>
    <s v="65732-22589-OW"/>
    <s v="R-D-2.5"/>
    <n v="1"/>
    <x v="810"/>
    <s v="kmarrisonoq@dropbox.com"/>
    <x v="0"/>
    <x v="0"/>
    <s v="D"/>
    <x v="2"/>
    <n v="20.584999999999997"/>
    <x v="123"/>
    <x v="0"/>
    <x v="2"/>
  </r>
  <r>
    <s v="PJH-42618-877"/>
    <d v="2021-09-30T00:00:00"/>
    <x v="1"/>
    <n v="9"/>
    <x v="0"/>
    <s v="93676-95250-XJ"/>
    <s v="A-D-2.5"/>
    <n v="5"/>
    <x v="818"/>
    <s v="cdolohuntyor@dailymail.co.uk"/>
    <x v="0"/>
    <x v="2"/>
    <s v="D"/>
    <x v="2"/>
    <n v="22.884999999999998"/>
    <x v="15"/>
    <x v="2"/>
    <x v="2"/>
  </r>
  <r>
    <s v="XED-90333-402"/>
    <d v="2019-06-19T00:00:00"/>
    <x v="0"/>
    <n v="6"/>
    <x v="1"/>
    <s v="28300-14355-GF"/>
    <s v="E-M-0.2"/>
    <n v="5"/>
    <x v="819"/>
    <s v="pvasilenkoos@addtoany.com"/>
    <x v="3"/>
    <x v="1"/>
    <s v="M"/>
    <x v="3"/>
    <n v="4.125"/>
    <x v="132"/>
    <x v="1"/>
    <x v="0"/>
  </r>
  <r>
    <s v="IKK-62234-199"/>
    <d v="2022-03-31T00:00:00"/>
    <x v="2"/>
    <n v="3"/>
    <x v="6"/>
    <s v="91190-84826-IQ"/>
    <s v="L-L-0.5"/>
    <n v="6"/>
    <x v="820"/>
    <s v="rschankelborgot@ameblo.jp"/>
    <x v="0"/>
    <x v="3"/>
    <s v="L"/>
    <x v="1"/>
    <n v="9.51"/>
    <x v="30"/>
    <x v="3"/>
    <x v="1"/>
  </r>
  <r>
    <s v="KAW-95195-329"/>
    <d v="2020-07-04T00:00:00"/>
    <x v="3"/>
    <n v="7"/>
    <x v="2"/>
    <s v="34570-99384-AF"/>
    <s v="R-D-2.5"/>
    <n v="4"/>
    <x v="821"/>
    <s v=""/>
    <x v="1"/>
    <x v="0"/>
    <s v="D"/>
    <x v="2"/>
    <n v="20.584999999999997"/>
    <x v="18"/>
    <x v="0"/>
    <x v="2"/>
  </r>
  <r>
    <s v="QDO-57268-842"/>
    <d v="2021-11-21T00:00:00"/>
    <x v="1"/>
    <n v="11"/>
    <x v="11"/>
    <s v="57808-90533-UE"/>
    <s v="E-M-2.5"/>
    <n v="5"/>
    <x v="822"/>
    <s v=""/>
    <x v="0"/>
    <x v="1"/>
    <s v="M"/>
    <x v="2"/>
    <n v="31.624999999999996"/>
    <x v="196"/>
    <x v="1"/>
    <x v="0"/>
  </r>
  <r>
    <s v="IIZ-24416-212"/>
    <d v="2021-05-31T00:00:00"/>
    <x v="1"/>
    <n v="5"/>
    <x v="5"/>
    <s v="76060-30540-LB"/>
    <s v="R-D-0.5"/>
    <n v="6"/>
    <x v="823"/>
    <s v="bcargenow@geocities.jp"/>
    <x v="0"/>
    <x v="0"/>
    <s v="D"/>
    <x v="1"/>
    <n v="5.3699999999999992"/>
    <x v="111"/>
    <x v="0"/>
    <x v="2"/>
  </r>
  <r>
    <s v="AWP-11469-510"/>
    <d v="2020-04-11T00:00:00"/>
    <x v="3"/>
    <n v="4"/>
    <x v="8"/>
    <s v="76730-63769-ND"/>
    <s v="E-D-1"/>
    <n v="2"/>
    <x v="824"/>
    <s v="rsticklerox@printfriendly.com"/>
    <x v="3"/>
    <x v="1"/>
    <s v="D"/>
    <x v="0"/>
    <n v="12.15"/>
    <x v="76"/>
    <x v="1"/>
    <x v="2"/>
  </r>
  <r>
    <s v="KXA-27983-918"/>
    <d v="2020-09-15T00:00:00"/>
    <x v="3"/>
    <n v="9"/>
    <x v="0"/>
    <s v="96042-27290-EQ"/>
    <s v="R-L-0.5"/>
    <n v="5"/>
    <x v="825"/>
    <s v=""/>
    <x v="0"/>
    <x v="0"/>
    <s v="L"/>
    <x v="1"/>
    <n v="7.169999999999999"/>
    <x v="66"/>
    <x v="0"/>
    <x v="1"/>
  </r>
  <r>
    <s v="VKQ-39009-292"/>
    <d v="2021-11-23T00:00:00"/>
    <x v="1"/>
    <n v="11"/>
    <x v="11"/>
    <s v="57808-90533-UE"/>
    <s v="L-M-1"/>
    <n v="5"/>
    <x v="28"/>
    <s v="Not Found"/>
    <x v="2"/>
    <x v="3"/>
    <s v="M"/>
    <x v="0"/>
    <n v="14.55"/>
    <x v="45"/>
    <x v="3"/>
    <x v="0"/>
  </r>
  <r>
    <s v="PDB-98743-282"/>
    <d v="2022-01-23T00:00:00"/>
    <x v="2"/>
    <n v="1"/>
    <x v="4"/>
    <s v="51940-02669-OR"/>
    <s v="L-L-1"/>
    <n v="3"/>
    <x v="826"/>
    <s v=""/>
    <x v="1"/>
    <x v="3"/>
    <s v="L"/>
    <x v="0"/>
    <n v="15.85"/>
    <x v="46"/>
    <x v="3"/>
    <x v="1"/>
  </r>
  <r>
    <s v="SXW-34014-556"/>
    <d v="2021-01-27T00:00:00"/>
    <x v="1"/>
    <n v="1"/>
    <x v="4"/>
    <s v="99144-98314-GN"/>
    <s v="R-L-0.2"/>
    <n v="1"/>
    <x v="827"/>
    <s v="djevonp1@ibm.com"/>
    <x v="0"/>
    <x v="0"/>
    <s v="L"/>
    <x v="3"/>
    <n v="3.5849999999999995"/>
    <x v="60"/>
    <x v="0"/>
    <x v="1"/>
  </r>
  <r>
    <s v="QOJ-38788-727"/>
    <d v="2019-06-24T00:00:00"/>
    <x v="0"/>
    <n v="6"/>
    <x v="1"/>
    <s v="16358-63919-CE"/>
    <s v="E-M-2.5"/>
    <n v="5"/>
    <x v="828"/>
    <s v="hrannerp2@omniture.com"/>
    <x v="0"/>
    <x v="1"/>
    <s v="M"/>
    <x v="2"/>
    <n v="31.624999999999996"/>
    <x v="196"/>
    <x v="1"/>
    <x v="0"/>
  </r>
  <r>
    <s v="TGF-38649-658"/>
    <d v="2020-03-15T00:00:00"/>
    <x v="3"/>
    <n v="3"/>
    <x v="6"/>
    <s v="67743-54817-UT"/>
    <s v="L-M-0.5"/>
    <n v="2"/>
    <x v="829"/>
    <s v="bimriep3@addtoany.com"/>
    <x v="0"/>
    <x v="3"/>
    <s v="M"/>
    <x v="1"/>
    <n v="8.73"/>
    <x v="92"/>
    <x v="3"/>
    <x v="0"/>
  </r>
  <r>
    <s v="EAI-25194-209"/>
    <d v="2021-09-24T00:00:00"/>
    <x v="1"/>
    <n v="9"/>
    <x v="0"/>
    <s v="44601-51441-BH"/>
    <s v="A-L-2.5"/>
    <n v="5"/>
    <x v="830"/>
    <s v="dsopperp4@eventbrite.com"/>
    <x v="0"/>
    <x v="2"/>
    <s v="L"/>
    <x v="2"/>
    <n v="29.784999999999997"/>
    <x v="74"/>
    <x v="2"/>
    <x v="1"/>
  </r>
  <r>
    <s v="IJK-34441-720"/>
    <d v="2019-04-05T00:00:00"/>
    <x v="0"/>
    <n v="4"/>
    <x v="8"/>
    <s v="97201-58870-WB"/>
    <s v="A-M-0.5"/>
    <n v="6"/>
    <x v="831"/>
    <s v=""/>
    <x v="0"/>
    <x v="2"/>
    <s v="M"/>
    <x v="1"/>
    <n v="6.75"/>
    <x v="61"/>
    <x v="2"/>
    <x v="0"/>
  </r>
  <r>
    <s v="ZMC-00336-619"/>
    <d v="2022-01-27T00:00:00"/>
    <x v="2"/>
    <n v="1"/>
    <x v="4"/>
    <s v="19849-12926-QF"/>
    <s v="A-M-0.5"/>
    <n v="4"/>
    <x v="832"/>
    <s v="lledgleyp6@de.vu"/>
    <x v="0"/>
    <x v="2"/>
    <s v="M"/>
    <x v="1"/>
    <n v="6.75"/>
    <x v="25"/>
    <x v="2"/>
    <x v="0"/>
  </r>
  <r>
    <s v="UPX-54529-618"/>
    <d v="2021-09-10T00:00:00"/>
    <x v="1"/>
    <n v="9"/>
    <x v="0"/>
    <s v="40535-56770-UM"/>
    <s v="L-D-1"/>
    <n v="3"/>
    <x v="833"/>
    <s v="tmenaryp7@phoca.cz"/>
    <x v="0"/>
    <x v="3"/>
    <s v="D"/>
    <x v="0"/>
    <n v="12.95"/>
    <x v="5"/>
    <x v="3"/>
    <x v="2"/>
  </r>
  <r>
    <s v="DLX-01059-899"/>
    <d v="2020-01-06T00:00:00"/>
    <x v="3"/>
    <n v="1"/>
    <x v="4"/>
    <s v="74940-09646-MU"/>
    <s v="R-L-1"/>
    <n v="5"/>
    <x v="834"/>
    <s v="gciccottip8@so-net.ne.jp"/>
    <x v="0"/>
    <x v="0"/>
    <s v="L"/>
    <x v="0"/>
    <n v="11.95"/>
    <x v="143"/>
    <x v="0"/>
    <x v="1"/>
  </r>
  <r>
    <s v="MEK-85120-243"/>
    <d v="2022-03-15T00:00:00"/>
    <x v="2"/>
    <n v="3"/>
    <x v="6"/>
    <s v="06623-54610-HC"/>
    <s v="R-L-0.2"/>
    <n v="3"/>
    <x v="835"/>
    <s v=""/>
    <x v="0"/>
    <x v="0"/>
    <s v="L"/>
    <x v="3"/>
    <n v="3.5849999999999995"/>
    <x v="127"/>
    <x v="0"/>
    <x v="1"/>
  </r>
  <r>
    <s v="NFI-37188-246"/>
    <d v="2021-09-08T00:00:00"/>
    <x v="1"/>
    <n v="9"/>
    <x v="0"/>
    <s v="89490-75361-AF"/>
    <s v="A-D-2.5"/>
    <n v="4"/>
    <x v="836"/>
    <s v="wjallinpa@pcworld.com"/>
    <x v="0"/>
    <x v="2"/>
    <s v="D"/>
    <x v="2"/>
    <n v="22.884999999999998"/>
    <x v="21"/>
    <x v="2"/>
    <x v="2"/>
  </r>
  <r>
    <s v="BXH-62195-013"/>
    <d v="2021-11-11T00:00:00"/>
    <x v="1"/>
    <n v="11"/>
    <x v="11"/>
    <s v="94526-79230-GZ"/>
    <s v="A-M-1"/>
    <n v="4"/>
    <x v="837"/>
    <s v="mbogeypb@thetimes.co.uk"/>
    <x v="0"/>
    <x v="2"/>
    <s v="M"/>
    <x v="0"/>
    <n v="11.25"/>
    <x v="157"/>
    <x v="2"/>
    <x v="0"/>
  </r>
  <r>
    <s v="YLK-78851-470"/>
    <d v="2019-09-18T00:00:00"/>
    <x v="0"/>
    <n v="9"/>
    <x v="0"/>
    <s v="58559-08254-UY"/>
    <s v="R-M-2.5"/>
    <n v="6"/>
    <x v="838"/>
    <s v=""/>
    <x v="0"/>
    <x v="0"/>
    <s v="M"/>
    <x v="2"/>
    <n v="22.884999999999998"/>
    <x v="170"/>
    <x v="0"/>
    <x v="0"/>
  </r>
  <r>
    <s v="DXY-76225-633"/>
    <d v="2021-07-29T00:00:00"/>
    <x v="1"/>
    <n v="7"/>
    <x v="2"/>
    <s v="88574-37083-WX"/>
    <s v="A-M-0.5"/>
    <n v="1"/>
    <x v="839"/>
    <s v="mcobbledickpd@ucsd.edu"/>
    <x v="0"/>
    <x v="2"/>
    <s v="M"/>
    <x v="1"/>
    <n v="6.75"/>
    <x v="52"/>
    <x v="2"/>
    <x v="0"/>
  </r>
  <r>
    <s v="UHP-24614-199"/>
    <d v="2022-03-20T00:00:00"/>
    <x v="2"/>
    <n v="3"/>
    <x v="6"/>
    <s v="67953-79896-AC"/>
    <s v="A-M-1"/>
    <n v="4"/>
    <x v="840"/>
    <s v="alewrype@whitehouse.gov"/>
    <x v="0"/>
    <x v="2"/>
    <s v="M"/>
    <x v="0"/>
    <n v="11.25"/>
    <x v="157"/>
    <x v="2"/>
    <x v="0"/>
  </r>
  <r>
    <s v="HBY-35655-049"/>
    <d v="2020-05-04T00:00:00"/>
    <x v="3"/>
    <n v="5"/>
    <x v="5"/>
    <s v="69207-93422-CQ"/>
    <s v="E-D-2.5"/>
    <n v="3"/>
    <x v="841"/>
    <s v="ihesselpf@ox.ac.uk"/>
    <x v="0"/>
    <x v="1"/>
    <s v="D"/>
    <x v="2"/>
    <n v="27.945"/>
    <x v="171"/>
    <x v="1"/>
    <x v="2"/>
  </r>
  <r>
    <s v="DCE-22886-861"/>
    <d v="2021-04-05T00:00:00"/>
    <x v="1"/>
    <n v="4"/>
    <x v="8"/>
    <s v="56060-17602-RG"/>
    <s v="E-D-0.2"/>
    <n v="1"/>
    <x v="842"/>
    <s v=""/>
    <x v="1"/>
    <x v="1"/>
    <s v="D"/>
    <x v="3"/>
    <n v="3.645"/>
    <x v="186"/>
    <x v="1"/>
    <x v="2"/>
  </r>
  <r>
    <s v="QTG-93823-843"/>
    <d v="2022-01-12T00:00:00"/>
    <x v="2"/>
    <n v="1"/>
    <x v="4"/>
    <s v="46859-14212-FI"/>
    <s v="A-M-0.5"/>
    <n v="1"/>
    <x v="843"/>
    <s v="csorrellph@amazon.com"/>
    <x v="3"/>
    <x v="2"/>
    <s v="M"/>
    <x v="1"/>
    <n v="6.75"/>
    <x v="52"/>
    <x v="2"/>
    <x v="0"/>
  </r>
  <r>
    <s v="QTG-93823-843"/>
    <d v="2022-01-12T00:00:00"/>
    <x v="2"/>
    <n v="1"/>
    <x v="4"/>
    <s v="46859-14212-FI"/>
    <s v="E-D-0.5"/>
    <n v="3"/>
    <x v="843"/>
    <s v="csorrellph@amazon.com"/>
    <x v="3"/>
    <x v="1"/>
    <s v="D"/>
    <x v="1"/>
    <n v="7.29"/>
    <x v="6"/>
    <x v="1"/>
    <x v="2"/>
  </r>
  <r>
    <s v="WFT-16178-396"/>
    <d v="2020-12-16T00:00:00"/>
    <x v="3"/>
    <n v="12"/>
    <x v="9"/>
    <s v="33555-01585-RP"/>
    <s v="R-D-0.2"/>
    <n v="5"/>
    <x v="844"/>
    <s v="qheavysidepj@unc.edu"/>
    <x v="0"/>
    <x v="0"/>
    <s v="D"/>
    <x v="3"/>
    <n v="2.6849999999999996"/>
    <x v="148"/>
    <x v="0"/>
    <x v="2"/>
  </r>
  <r>
    <s v="ERC-54560-934"/>
    <d v="2022-05-30T00:00:00"/>
    <x v="2"/>
    <n v="5"/>
    <x v="5"/>
    <s v="11932-85629-CU"/>
    <s v="R-D-2.5"/>
    <n v="6"/>
    <x v="845"/>
    <s v="hreuvenpk@whitehouse.gov"/>
    <x v="0"/>
    <x v="0"/>
    <s v="D"/>
    <x v="2"/>
    <n v="20.584999999999997"/>
    <x v="99"/>
    <x v="0"/>
    <x v="2"/>
  </r>
  <r>
    <s v="RUK-78200-416"/>
    <d v="2021-11-09T00:00:00"/>
    <x v="1"/>
    <n v="11"/>
    <x v="11"/>
    <s v="36192-07175-XC"/>
    <s v="L-D-0.2"/>
    <n v="2"/>
    <x v="846"/>
    <s v="mattwoolpl@nba.com"/>
    <x v="0"/>
    <x v="3"/>
    <s v="D"/>
    <x v="3"/>
    <n v="3.8849999999999998"/>
    <x v="41"/>
    <x v="3"/>
    <x v="2"/>
  </r>
  <r>
    <s v="KHK-13105-388"/>
    <d v="2022-04-08T00:00:00"/>
    <x v="2"/>
    <n v="4"/>
    <x v="8"/>
    <s v="46242-54946-ZW"/>
    <s v="A-M-1"/>
    <n v="6"/>
    <x v="847"/>
    <s v=""/>
    <x v="0"/>
    <x v="2"/>
    <s v="M"/>
    <x v="0"/>
    <n v="11.25"/>
    <x v="173"/>
    <x v="2"/>
    <x v="0"/>
  </r>
  <r>
    <s v="NJR-03699-189"/>
    <d v="2019-10-08T00:00:00"/>
    <x v="0"/>
    <n v="10"/>
    <x v="7"/>
    <s v="95152-82155-VQ"/>
    <s v="E-D-2.5"/>
    <n v="1"/>
    <x v="848"/>
    <s v="gwynespn@dagondesign.com"/>
    <x v="0"/>
    <x v="1"/>
    <s v="D"/>
    <x v="2"/>
    <n v="27.945"/>
    <x v="140"/>
    <x v="1"/>
    <x v="2"/>
  </r>
  <r>
    <s v="PJV-20427-019"/>
    <d v="2021-09-12T00:00:00"/>
    <x v="1"/>
    <n v="9"/>
    <x v="0"/>
    <s v="13404-39127-WQ"/>
    <s v="A-L-2.5"/>
    <n v="3"/>
    <x v="849"/>
    <s v="cmaccourtpo@amazon.com"/>
    <x v="0"/>
    <x v="2"/>
    <s v="L"/>
    <x v="2"/>
    <n v="29.784999999999997"/>
    <x v="49"/>
    <x v="2"/>
    <x v="1"/>
  </r>
  <r>
    <s v="UGK-07613-982"/>
    <d v="2022-07-28T00:00:00"/>
    <x v="2"/>
    <n v="7"/>
    <x v="2"/>
    <s v="57808-90533-UE"/>
    <s v="A-M-0.5"/>
    <n v="3"/>
    <x v="28"/>
    <s v="Not Found"/>
    <x v="2"/>
    <x v="2"/>
    <s v="M"/>
    <x v="1"/>
    <n v="6.75"/>
    <x v="16"/>
    <x v="2"/>
    <x v="0"/>
  </r>
  <r>
    <s v="OLA-68289-577"/>
    <d v="2020-06-30T00:00:00"/>
    <x v="3"/>
    <n v="6"/>
    <x v="1"/>
    <s v="40226-52317-IO"/>
    <s v="A-M-0.5"/>
    <n v="5"/>
    <x v="850"/>
    <s v="ewilsonepq@eepurl.com"/>
    <x v="0"/>
    <x v="2"/>
    <s v="M"/>
    <x v="1"/>
    <n v="6.75"/>
    <x v="65"/>
    <x v="2"/>
    <x v="0"/>
  </r>
  <r>
    <s v="TNR-84447-052"/>
    <d v="2019-01-09T00:00:00"/>
    <x v="0"/>
    <n v="1"/>
    <x v="4"/>
    <s v="34419-18068-AG"/>
    <s v="E-D-2.5"/>
    <n v="4"/>
    <x v="851"/>
    <s v="dduffiepr@time.com"/>
    <x v="0"/>
    <x v="1"/>
    <s v="D"/>
    <x v="2"/>
    <n v="27.945"/>
    <x v="150"/>
    <x v="1"/>
    <x v="2"/>
  </r>
  <r>
    <s v="FBZ-64200-586"/>
    <d v="2022-07-12T00:00:00"/>
    <x v="2"/>
    <n v="7"/>
    <x v="2"/>
    <s v="51738-61457-RS"/>
    <s v="E-M-2.5"/>
    <n v="2"/>
    <x v="852"/>
    <s v="mmatiasekps@ucoz.ru"/>
    <x v="0"/>
    <x v="1"/>
    <s v="M"/>
    <x v="2"/>
    <n v="31.624999999999996"/>
    <x v="40"/>
    <x v="1"/>
    <x v="0"/>
  </r>
  <r>
    <s v="OBN-66334-505"/>
    <d v="2020-11-30T00:00:00"/>
    <x v="3"/>
    <n v="11"/>
    <x v="11"/>
    <s v="86757-52367-ON"/>
    <s v="E-L-0.2"/>
    <n v="2"/>
    <x v="853"/>
    <s v="jcamillopt@shinystat.com"/>
    <x v="0"/>
    <x v="1"/>
    <s v="L"/>
    <x v="3"/>
    <n v="4.4550000000000001"/>
    <x v="161"/>
    <x v="1"/>
    <x v="1"/>
  </r>
  <r>
    <s v="NXM-89323-646"/>
    <d v="2019-03-22T00:00:00"/>
    <x v="0"/>
    <n v="3"/>
    <x v="6"/>
    <s v="28158-93383-CK"/>
    <s v="E-D-1"/>
    <n v="1"/>
    <x v="854"/>
    <s v="kphilbrickpu@cdc.gov"/>
    <x v="0"/>
    <x v="1"/>
    <s v="D"/>
    <x v="0"/>
    <n v="12.15"/>
    <x v="87"/>
    <x v="1"/>
    <x v="2"/>
  </r>
  <r>
    <s v="NHI-23264-055"/>
    <d v="2022-02-15T00:00:00"/>
    <x v="2"/>
    <n v="2"/>
    <x v="10"/>
    <s v="44799-09711-XW"/>
    <s v="A-D-0.5"/>
    <n v="4"/>
    <x v="855"/>
    <s v=""/>
    <x v="0"/>
    <x v="2"/>
    <s v="D"/>
    <x v="1"/>
    <n v="5.97"/>
    <x v="86"/>
    <x v="2"/>
    <x v="2"/>
  </r>
  <r>
    <s v="EQH-53569-934"/>
    <d v="2020-10-13T00:00:00"/>
    <x v="3"/>
    <n v="10"/>
    <x v="7"/>
    <s v="53667-91553-LT"/>
    <s v="E-M-1"/>
    <n v="4"/>
    <x v="856"/>
    <s v="bsillispw@istockphoto.com"/>
    <x v="0"/>
    <x v="1"/>
    <s v="M"/>
    <x v="0"/>
    <n v="13.75"/>
    <x v="193"/>
    <x v="1"/>
    <x v="0"/>
  </r>
  <r>
    <s v="XKK-06692-189"/>
    <d v="2021-12-27T00:00:00"/>
    <x v="1"/>
    <n v="12"/>
    <x v="9"/>
    <s v="86579-92122-OC"/>
    <s v="R-D-1"/>
    <n v="3"/>
    <x v="857"/>
    <s v=""/>
    <x v="0"/>
    <x v="0"/>
    <s v="D"/>
    <x v="0"/>
    <n v="8.9499999999999993"/>
    <x v="166"/>
    <x v="0"/>
    <x v="2"/>
  </r>
  <r>
    <s v="BYP-16005-016"/>
    <d v="2021-08-01T00:00:00"/>
    <x v="1"/>
    <n v="8"/>
    <x v="3"/>
    <s v="01474-63436-TP"/>
    <s v="R-M-2.5"/>
    <n v="5"/>
    <x v="858"/>
    <s v="rcuttspy@techcrunch.com"/>
    <x v="0"/>
    <x v="0"/>
    <s v="M"/>
    <x v="2"/>
    <n v="22.884999999999998"/>
    <x v="15"/>
    <x v="0"/>
    <x v="0"/>
  </r>
  <r>
    <s v="LWS-13938-905"/>
    <d v="2020-11-18T00:00:00"/>
    <x v="3"/>
    <n v="11"/>
    <x v="11"/>
    <s v="90533-82440-EE"/>
    <s v="A-M-2.5"/>
    <n v="6"/>
    <x v="859"/>
    <s v="mdelvespz@nature.com"/>
    <x v="0"/>
    <x v="2"/>
    <s v="M"/>
    <x v="2"/>
    <n v="25.874999999999996"/>
    <x v="71"/>
    <x v="2"/>
    <x v="0"/>
  </r>
  <r>
    <s v="OLH-95722-362"/>
    <d v="2021-10-24T00:00:00"/>
    <x v="1"/>
    <n v="10"/>
    <x v="7"/>
    <s v="48553-69225-VX"/>
    <s v="L-D-0.5"/>
    <n v="3"/>
    <x v="860"/>
    <s v="dgrittonq0@nydailynews.com"/>
    <x v="0"/>
    <x v="3"/>
    <s v="D"/>
    <x v="1"/>
    <n v="7.77"/>
    <x v="102"/>
    <x v="3"/>
    <x v="2"/>
  </r>
  <r>
    <s v="OLH-95722-362"/>
    <d v="2021-10-24T00:00:00"/>
    <x v="1"/>
    <n v="10"/>
    <x v="7"/>
    <s v="48553-69225-VX"/>
    <s v="R-M-2.5"/>
    <n v="4"/>
    <x v="860"/>
    <s v="dgrittonq0@nydailynews.com"/>
    <x v="0"/>
    <x v="0"/>
    <s v="M"/>
    <x v="2"/>
    <n v="22.884999999999998"/>
    <x v="21"/>
    <x v="0"/>
    <x v="0"/>
  </r>
  <r>
    <s v="KCW-50949-318"/>
    <d v="2019-12-30T00:00:00"/>
    <x v="0"/>
    <n v="12"/>
    <x v="9"/>
    <s v="52374-27313-IV"/>
    <s v="E-L-1"/>
    <n v="5"/>
    <x v="861"/>
    <s v="dgutq2@umich.edu"/>
    <x v="0"/>
    <x v="1"/>
    <s v="L"/>
    <x v="0"/>
    <n v="14.85"/>
    <x v="159"/>
    <x v="1"/>
    <x v="1"/>
  </r>
  <r>
    <s v="JGZ-16947-591"/>
    <d v="2021-02-02T00:00:00"/>
    <x v="1"/>
    <n v="2"/>
    <x v="10"/>
    <s v="14264-41252-SL"/>
    <s v="L-L-0.2"/>
    <n v="6"/>
    <x v="862"/>
    <s v="wpummeryq3@topsy.com"/>
    <x v="0"/>
    <x v="3"/>
    <s v="L"/>
    <x v="3"/>
    <n v="4.7549999999999999"/>
    <x v="32"/>
    <x v="3"/>
    <x v="1"/>
  </r>
  <r>
    <s v="LXS-63326-144"/>
    <d v="2021-05-16T00:00:00"/>
    <x v="1"/>
    <n v="5"/>
    <x v="5"/>
    <s v="35367-50483-AR"/>
    <s v="R-L-0.5"/>
    <n v="2"/>
    <x v="863"/>
    <s v="gsiudaq4@nytimes.com"/>
    <x v="0"/>
    <x v="0"/>
    <s v="L"/>
    <x v="1"/>
    <n v="7.169999999999999"/>
    <x v="79"/>
    <x v="0"/>
    <x v="1"/>
  </r>
  <r>
    <s v="CZG-86544-655"/>
    <d v="2022-04-23T00:00:00"/>
    <x v="2"/>
    <n v="4"/>
    <x v="8"/>
    <s v="69443-77665-QW"/>
    <s v="A-L-0.5"/>
    <n v="2"/>
    <x v="864"/>
    <s v="hcrowneq5@wufoo.com"/>
    <x v="1"/>
    <x v="2"/>
    <s v="L"/>
    <x v="1"/>
    <n v="7.77"/>
    <x v="42"/>
    <x v="2"/>
    <x v="1"/>
  </r>
  <r>
    <s v="WFV-88138-247"/>
    <d v="2021-09-25T00:00:00"/>
    <x v="1"/>
    <n v="9"/>
    <x v="0"/>
    <s v="63411-51758-QC"/>
    <s v="R-L-1"/>
    <n v="3"/>
    <x v="865"/>
    <s v="vpawseyq6@tiny.cc"/>
    <x v="0"/>
    <x v="0"/>
    <s v="L"/>
    <x v="0"/>
    <n v="11.95"/>
    <x v="66"/>
    <x v="0"/>
    <x v="1"/>
  </r>
  <r>
    <s v="RFG-28227-288"/>
    <d v="2022-06-07T00:00:00"/>
    <x v="2"/>
    <n v="6"/>
    <x v="1"/>
    <s v="68605-21835-UF"/>
    <s v="A-L-0.5"/>
    <n v="6"/>
    <x v="866"/>
    <s v="awaterhouseq7@istockphoto.com"/>
    <x v="0"/>
    <x v="2"/>
    <s v="L"/>
    <x v="1"/>
    <n v="7.77"/>
    <x v="162"/>
    <x v="2"/>
    <x v="1"/>
  </r>
  <r>
    <s v="QAK-77286-758"/>
    <d v="2020-08-11T00:00:00"/>
    <x v="3"/>
    <n v="8"/>
    <x v="3"/>
    <s v="34786-30419-XY"/>
    <s v="R-L-0.5"/>
    <n v="5"/>
    <x v="867"/>
    <s v="fhaughianq8@1688.com"/>
    <x v="0"/>
    <x v="0"/>
    <s v="L"/>
    <x v="1"/>
    <n v="7.169999999999999"/>
    <x v="66"/>
    <x v="0"/>
    <x v="1"/>
  </r>
  <r>
    <s v="CZD-56716-840"/>
    <d v="2019-02-28T00:00:00"/>
    <x v="0"/>
    <n v="2"/>
    <x v="10"/>
    <s v="15456-29250-RU"/>
    <s v="L-D-2.5"/>
    <n v="4"/>
    <x v="868"/>
    <s v=""/>
    <x v="0"/>
    <x v="3"/>
    <s v="D"/>
    <x v="2"/>
    <n v="29.784999999999997"/>
    <x v="129"/>
    <x v="3"/>
    <x v="2"/>
  </r>
  <r>
    <s v="UBI-59229-277"/>
    <d v="2019-09-11T00:00:00"/>
    <x v="0"/>
    <n v="9"/>
    <x v="0"/>
    <s v="00886-35803-FG"/>
    <s v="L-D-0.5"/>
    <n v="3"/>
    <x v="869"/>
    <s v=""/>
    <x v="0"/>
    <x v="3"/>
    <s v="D"/>
    <x v="1"/>
    <n v="7.77"/>
    <x v="102"/>
    <x v="3"/>
    <x v="2"/>
  </r>
  <r>
    <s v="WJJ-37489-898"/>
    <d v="2021-04-08T00:00:00"/>
    <x v="1"/>
    <n v="4"/>
    <x v="8"/>
    <s v="31599-82152-AD"/>
    <s v="A-M-1"/>
    <n v="1"/>
    <x v="870"/>
    <s v="rfaltinqb@topsy.com"/>
    <x v="1"/>
    <x v="2"/>
    <s v="M"/>
    <x v="0"/>
    <n v="11.25"/>
    <x v="23"/>
    <x v="2"/>
    <x v="0"/>
  </r>
  <r>
    <s v="ORX-57454-917"/>
    <d v="2021-09-06T00:00:00"/>
    <x v="1"/>
    <n v="9"/>
    <x v="0"/>
    <s v="76209-39601-ZR"/>
    <s v="E-D-2.5"/>
    <n v="3"/>
    <x v="871"/>
    <s v="gcheekeqc@sitemeter.com"/>
    <x v="3"/>
    <x v="1"/>
    <s v="D"/>
    <x v="2"/>
    <n v="27.945"/>
    <x v="171"/>
    <x v="1"/>
    <x v="2"/>
  </r>
  <r>
    <s v="GRB-68838-629"/>
    <d v="2021-09-10T00:00:00"/>
    <x v="1"/>
    <n v="9"/>
    <x v="0"/>
    <s v="15064-65241-HB"/>
    <s v="R-L-2.5"/>
    <n v="4"/>
    <x v="872"/>
    <s v="grattqd@phpbb.com"/>
    <x v="1"/>
    <x v="0"/>
    <s v="L"/>
    <x v="2"/>
    <n v="27.484999999999996"/>
    <x v="108"/>
    <x v="0"/>
    <x v="1"/>
  </r>
  <r>
    <s v="SHT-04865-419"/>
    <d v="2022-05-22T00:00:00"/>
    <x v="2"/>
    <n v="5"/>
    <x v="5"/>
    <s v="69215-90789-DL"/>
    <s v="R-L-0.2"/>
    <n v="4"/>
    <x v="873"/>
    <s v=""/>
    <x v="0"/>
    <x v="0"/>
    <s v="L"/>
    <x v="3"/>
    <n v="3.5849999999999995"/>
    <x v="79"/>
    <x v="0"/>
    <x v="1"/>
  </r>
  <r>
    <s v="UQI-28177-865"/>
    <d v="2020-09-18T00:00:00"/>
    <x v="3"/>
    <n v="9"/>
    <x v="0"/>
    <s v="04317-46176-TB"/>
    <s v="R-L-0.2"/>
    <n v="6"/>
    <x v="874"/>
    <s v="ieberleinqf@hc360.com"/>
    <x v="0"/>
    <x v="0"/>
    <s v="L"/>
    <x v="3"/>
    <n v="3.5849999999999995"/>
    <x v="137"/>
    <x v="0"/>
    <x v="1"/>
  </r>
  <r>
    <s v="OIB-13664-879"/>
    <d v="2021-08-31T00:00:00"/>
    <x v="1"/>
    <n v="8"/>
    <x v="3"/>
    <s v="04713-57765-KR"/>
    <s v="A-M-1"/>
    <n v="2"/>
    <x v="875"/>
    <s v="jdrengqg@uiuc.edu"/>
    <x v="1"/>
    <x v="2"/>
    <s v="M"/>
    <x v="0"/>
    <n v="11.25"/>
    <x v="122"/>
    <x v="2"/>
    <x v="0"/>
  </r>
  <r>
    <s v="PJS-30996-485"/>
    <d v="2022-01-21T00:00:00"/>
    <x v="2"/>
    <n v="1"/>
    <x v="4"/>
    <s v="86579-92122-OC"/>
    <s v="A-L-0.2"/>
    <n v="1"/>
    <x v="28"/>
    <s v="Not Found"/>
    <x v="2"/>
    <x v="2"/>
    <s v="L"/>
    <x v="3"/>
    <n v="3.8849999999999998"/>
    <x v="84"/>
    <x v="2"/>
    <x v="1"/>
  </r>
  <r>
    <s v="HEL-86709-449"/>
    <d v="2022-06-10T00:00:00"/>
    <x v="2"/>
    <n v="6"/>
    <x v="1"/>
    <s v="86579-92122-OC"/>
    <s v="E-D-2.5"/>
    <n v="1"/>
    <x v="28"/>
    <s v="Not Found"/>
    <x v="2"/>
    <x v="1"/>
    <s v="D"/>
    <x v="2"/>
    <n v="27.945"/>
    <x v="140"/>
    <x v="1"/>
    <x v="2"/>
  </r>
  <r>
    <s v="NCH-55389-562"/>
    <d v="2019-04-27T00:00:00"/>
    <x v="0"/>
    <n v="4"/>
    <x v="8"/>
    <s v="86579-92122-OC"/>
    <s v="E-L-2.5"/>
    <n v="5"/>
    <x v="28"/>
    <s v="Not Found"/>
    <x v="2"/>
    <x v="1"/>
    <s v="L"/>
    <x v="2"/>
    <n v="34.154999999999994"/>
    <x v="11"/>
    <x v="1"/>
    <x v="1"/>
  </r>
  <r>
    <s v="NCH-55389-562"/>
    <d v="2019-04-27T00:00:00"/>
    <x v="0"/>
    <n v="4"/>
    <x v="8"/>
    <s v="86579-92122-OC"/>
    <s v="R-L-2.5"/>
    <n v="2"/>
    <x v="28"/>
    <s v="Not Found"/>
    <x v="2"/>
    <x v="0"/>
    <s v="L"/>
    <x v="2"/>
    <n v="27.484999999999996"/>
    <x v="4"/>
    <x v="0"/>
    <x v="1"/>
  </r>
  <r>
    <s v="NCH-55389-562"/>
    <d v="2019-04-27T00:00:00"/>
    <x v="0"/>
    <n v="4"/>
    <x v="8"/>
    <s v="86579-92122-OC"/>
    <s v="E-L-1"/>
    <n v="1"/>
    <x v="28"/>
    <s v="Not Found"/>
    <x v="2"/>
    <x v="1"/>
    <s v="L"/>
    <x v="0"/>
    <n v="14.85"/>
    <x v="151"/>
    <x v="1"/>
    <x v="1"/>
  </r>
  <r>
    <s v="NCH-55389-562"/>
    <d v="2019-04-27T00:00:00"/>
    <x v="0"/>
    <n v="4"/>
    <x v="8"/>
    <s v="86579-92122-OC"/>
    <s v="A-L-0.2"/>
    <n v="2"/>
    <x v="28"/>
    <s v="Not Found"/>
    <x v="2"/>
    <x v="2"/>
    <s v="L"/>
    <x v="3"/>
    <n v="3.8849999999999998"/>
    <x v="41"/>
    <x v="2"/>
    <x v="1"/>
  </r>
  <r>
    <s v="GUG-45603-775"/>
    <d v="2022-02-06T00:00:00"/>
    <x v="2"/>
    <n v="2"/>
    <x v="10"/>
    <s v="40959-32642-DN"/>
    <s v="L-L-0.2"/>
    <n v="5"/>
    <x v="876"/>
    <s v="rstrathernqn@devhub.com"/>
    <x v="0"/>
    <x v="3"/>
    <s v="L"/>
    <x v="3"/>
    <n v="4.7549999999999999"/>
    <x v="29"/>
    <x v="3"/>
    <x v="1"/>
  </r>
  <r>
    <s v="KJB-98240-098"/>
    <d v="2022-01-30T00:00:00"/>
    <x v="2"/>
    <n v="1"/>
    <x v="4"/>
    <s v="77746-08153-PM"/>
    <s v="L-L-1"/>
    <n v="5"/>
    <x v="877"/>
    <s v="cmiguelqo@exblog.jp"/>
    <x v="0"/>
    <x v="3"/>
    <s v="L"/>
    <x v="0"/>
    <n v="15.85"/>
    <x v="180"/>
    <x v="3"/>
    <x v="1"/>
  </r>
  <r>
    <s v="JMS-48374-462"/>
    <d v="2020-11-23T00:00:00"/>
    <x v="3"/>
    <n v="11"/>
    <x v="11"/>
    <s v="49667-96708-JL"/>
    <s v="A-D-2.5"/>
    <n v="2"/>
    <x v="878"/>
    <s v=""/>
    <x v="0"/>
    <x v="2"/>
    <s v="D"/>
    <x v="2"/>
    <n v="22.884999999999998"/>
    <x v="135"/>
    <x v="2"/>
    <x v="2"/>
  </r>
  <r>
    <s v="YIT-15877-117"/>
    <d v="2022-04-13T00:00:00"/>
    <x v="2"/>
    <n v="4"/>
    <x v="8"/>
    <s v="24155-79322-EQ"/>
    <s v="R-D-1"/>
    <n v="1"/>
    <x v="879"/>
    <s v="mrocksqq@exblog.jp"/>
    <x v="1"/>
    <x v="0"/>
    <s v="D"/>
    <x v="0"/>
    <n v="8.9499999999999993"/>
    <x v="192"/>
    <x v="0"/>
    <x v="2"/>
  </r>
  <r>
    <s v="YVK-82679-655"/>
    <d v="2021-01-07T00:00:00"/>
    <x v="1"/>
    <n v="1"/>
    <x v="4"/>
    <s v="95342-88311-SF"/>
    <s v="R-M-0.5"/>
    <n v="4"/>
    <x v="880"/>
    <s v="yburrellsqr@vinaora.com"/>
    <x v="0"/>
    <x v="0"/>
    <s v="M"/>
    <x v="1"/>
    <n v="5.97"/>
    <x v="86"/>
    <x v="0"/>
    <x v="0"/>
  </r>
  <r>
    <s v="TYH-81940-054"/>
    <d v="2020-02-04T00:00:00"/>
    <x v="3"/>
    <n v="2"/>
    <x v="10"/>
    <s v="69374-08133-RI"/>
    <s v="E-L-0.2"/>
    <n v="5"/>
    <x v="881"/>
    <s v="cgoodrumqs@goodreads.com"/>
    <x v="0"/>
    <x v="1"/>
    <s v="L"/>
    <x v="3"/>
    <n v="4.4550000000000001"/>
    <x v="110"/>
    <x v="1"/>
    <x v="1"/>
  </r>
  <r>
    <s v="HTY-30660-254"/>
    <d v="2019-09-16T00:00:00"/>
    <x v="0"/>
    <n v="9"/>
    <x v="0"/>
    <s v="83844-95908-RX"/>
    <s v="R-M-1"/>
    <n v="3"/>
    <x v="882"/>
    <s v="jjefferysqt@blog.com"/>
    <x v="0"/>
    <x v="0"/>
    <s v="M"/>
    <x v="0"/>
    <n v="9.9499999999999993"/>
    <x v="44"/>
    <x v="0"/>
    <x v="0"/>
  </r>
  <r>
    <s v="GPW-43956-761"/>
    <d v="2019-01-26T00:00:00"/>
    <x v="0"/>
    <n v="1"/>
    <x v="4"/>
    <s v="09667-09231-YM"/>
    <s v="E-L-0.5"/>
    <n v="6"/>
    <x v="883"/>
    <s v="bwardellqu@adobe.com"/>
    <x v="0"/>
    <x v="1"/>
    <s v="L"/>
    <x v="1"/>
    <n v="8.91"/>
    <x v="119"/>
    <x v="1"/>
    <x v="1"/>
  </r>
  <r>
    <s v="DWY-56352-412"/>
    <d v="2021-02-19T00:00:00"/>
    <x v="1"/>
    <n v="2"/>
    <x v="10"/>
    <s v="55427-08059-DF"/>
    <s v="R-D-0.2"/>
    <n v="1"/>
    <x v="884"/>
    <s v="zwalisiakqv@ucsd.edu"/>
    <x v="1"/>
    <x v="0"/>
    <s v="D"/>
    <x v="3"/>
    <n v="2.6849999999999996"/>
    <x v="97"/>
    <x v="0"/>
    <x v="2"/>
  </r>
  <r>
    <s v="PUH-55647-976"/>
    <d v="2022-03-22T00:00:00"/>
    <x v="2"/>
    <n v="3"/>
    <x v="6"/>
    <s v="06624-54037-BQ"/>
    <s v="R-M-0.2"/>
    <n v="2"/>
    <x v="885"/>
    <s v="wleopoldqw@blogspot.com"/>
    <x v="0"/>
    <x v="0"/>
    <s v="M"/>
    <x v="3"/>
    <n v="2.9849999999999999"/>
    <x v="9"/>
    <x v="0"/>
    <x v="0"/>
  </r>
  <r>
    <s v="DTB-71371-705"/>
    <d v="2019-07-03T00:00:00"/>
    <x v="0"/>
    <n v="7"/>
    <x v="2"/>
    <s v="48544-90737-AZ"/>
    <s v="L-D-1"/>
    <n v="1"/>
    <x v="886"/>
    <s v="cshaldersqx@cisco.com"/>
    <x v="0"/>
    <x v="3"/>
    <s v="D"/>
    <x v="0"/>
    <n v="12.95"/>
    <x v="2"/>
    <x v="3"/>
    <x v="2"/>
  </r>
  <r>
    <s v="ZDC-64769-740"/>
    <d v="2019-09-21T00:00:00"/>
    <x v="0"/>
    <n v="9"/>
    <x v="0"/>
    <s v="79463-01597-FQ"/>
    <s v="E-M-0.5"/>
    <n v="1"/>
    <x v="887"/>
    <s v=""/>
    <x v="0"/>
    <x v="1"/>
    <s v="M"/>
    <x v="1"/>
    <n v="8.25"/>
    <x v="112"/>
    <x v="1"/>
    <x v="0"/>
  </r>
  <r>
    <s v="TED-81959-419"/>
    <d v="2019-08-26T00:00:00"/>
    <x v="0"/>
    <n v="8"/>
    <x v="3"/>
    <s v="27702-50024-XC"/>
    <s v="A-L-2.5"/>
    <n v="5"/>
    <x v="888"/>
    <s v="nfurberqz@jugem.jp"/>
    <x v="0"/>
    <x v="2"/>
    <s v="L"/>
    <x v="2"/>
    <n v="29.784999999999997"/>
    <x v="74"/>
    <x v="2"/>
    <x v="1"/>
  </r>
  <r>
    <s v="FDO-25756-141"/>
    <d v="2021-08-03T00:00:00"/>
    <x v="1"/>
    <n v="8"/>
    <x v="3"/>
    <s v="57360-46846-NS"/>
    <s v="A-L-2.5"/>
    <n v="3"/>
    <x v="889"/>
    <s v=""/>
    <x v="1"/>
    <x v="2"/>
    <s v="L"/>
    <x v="2"/>
    <n v="29.784999999999997"/>
    <x v="49"/>
    <x v="2"/>
    <x v="1"/>
  </r>
  <r>
    <s v="HKN-31467-517"/>
    <d v="2021-10-24T00:00:00"/>
    <x v="1"/>
    <n v="10"/>
    <x v="7"/>
    <s v="84045-66771-SL"/>
    <s v="L-M-1"/>
    <n v="6"/>
    <x v="890"/>
    <s v="ckeaver1@ucoz.com"/>
    <x v="0"/>
    <x v="3"/>
    <s v="M"/>
    <x v="0"/>
    <n v="14.55"/>
    <x v="75"/>
    <x v="3"/>
    <x v="0"/>
  </r>
  <r>
    <s v="POF-29666-012"/>
    <d v="2019-04-01T00:00:00"/>
    <x v="0"/>
    <n v="4"/>
    <x v="8"/>
    <s v="46885-00260-TL"/>
    <s v="R-D-0.5"/>
    <n v="1"/>
    <x v="891"/>
    <s v="sroseboroughr2@virginia.edu"/>
    <x v="0"/>
    <x v="0"/>
    <s v="D"/>
    <x v="1"/>
    <n v="5.3699999999999992"/>
    <x v="147"/>
    <x v="0"/>
    <x v="2"/>
  </r>
  <r>
    <s v="IRX-59256-644"/>
    <d v="2021-12-08T00:00:00"/>
    <x v="1"/>
    <n v="12"/>
    <x v="9"/>
    <s v="96446-62142-EN"/>
    <s v="A-D-0.2"/>
    <n v="3"/>
    <x v="892"/>
    <s v="ckingwellr3@squarespace.com"/>
    <x v="1"/>
    <x v="2"/>
    <s v="D"/>
    <x v="3"/>
    <n v="2.9849999999999999"/>
    <x v="169"/>
    <x v="2"/>
    <x v="2"/>
  </r>
  <r>
    <s v="LTN-89139-350"/>
    <d v="2019-06-27T00:00:00"/>
    <x v="0"/>
    <n v="6"/>
    <x v="1"/>
    <s v="07756-71018-GU"/>
    <s v="R-L-2.5"/>
    <n v="5"/>
    <x v="893"/>
    <s v="kcantor4@gmpg.org"/>
    <x v="0"/>
    <x v="0"/>
    <s v="L"/>
    <x v="2"/>
    <n v="27.484999999999996"/>
    <x v="187"/>
    <x v="0"/>
    <x v="1"/>
  </r>
  <r>
    <s v="TXF-79780-017"/>
    <d v="2020-07-14T00:00:00"/>
    <x v="3"/>
    <n v="7"/>
    <x v="2"/>
    <s v="92048-47813-QB"/>
    <s v="R-L-1"/>
    <n v="5"/>
    <x v="894"/>
    <s v="mblakemorer5@nsw.gov.au"/>
    <x v="0"/>
    <x v="0"/>
    <s v="L"/>
    <x v="0"/>
    <n v="11.95"/>
    <x v="143"/>
    <x v="0"/>
    <x v="1"/>
  </r>
  <r>
    <s v="ALM-80762-974"/>
    <d v="2020-03-23T00:00:00"/>
    <x v="3"/>
    <n v="3"/>
    <x v="6"/>
    <s v="84045-66771-SL"/>
    <s v="A-L-0.5"/>
    <n v="3"/>
    <x v="28"/>
    <s v="Not Found"/>
    <x v="2"/>
    <x v="2"/>
    <s v="L"/>
    <x v="1"/>
    <n v="7.77"/>
    <x v="102"/>
    <x v="2"/>
    <x v="1"/>
  </r>
  <r>
    <s v="NXF-15738-707"/>
    <d v="2020-01-26T00:00:00"/>
    <x v="3"/>
    <n v="1"/>
    <x v="4"/>
    <s v="28699-16256-XV"/>
    <s v="R-D-0.5"/>
    <n v="2"/>
    <x v="895"/>
    <s v=""/>
    <x v="0"/>
    <x v="0"/>
    <s v="D"/>
    <x v="1"/>
    <n v="5.3699999999999992"/>
    <x v="175"/>
    <x v="0"/>
    <x v="2"/>
  </r>
  <r>
    <s v="MVV-19034-198"/>
    <d v="2020-05-31T00:00:00"/>
    <x v="3"/>
    <n v="5"/>
    <x v="5"/>
    <s v="98476-63654-CG"/>
    <s v="E-D-2.5"/>
    <n v="6"/>
    <x v="896"/>
    <s v=""/>
    <x v="0"/>
    <x v="1"/>
    <s v="D"/>
    <x v="2"/>
    <n v="27.945"/>
    <x v="164"/>
    <x v="1"/>
    <x v="2"/>
  </r>
  <r>
    <s v="KUX-19632-830"/>
    <d v="2021-07-20T00:00:00"/>
    <x v="1"/>
    <n v="7"/>
    <x v="2"/>
    <s v="55409-07759-YG"/>
    <s v="E-D-0.2"/>
    <n v="6"/>
    <x v="897"/>
    <s v="cbernardotr9@wix.com"/>
    <x v="0"/>
    <x v="1"/>
    <s v="D"/>
    <x v="3"/>
    <n v="3.645"/>
    <x v="6"/>
    <x v="1"/>
    <x v="2"/>
  </r>
  <r>
    <s v="SNZ-44595-152"/>
    <d v="2022-08-12T00:00:00"/>
    <x v="2"/>
    <n v="8"/>
    <x v="3"/>
    <s v="06136-65250-PG"/>
    <s v="R-L-1"/>
    <n v="2"/>
    <x v="898"/>
    <s v="kkemeryra@t.co"/>
    <x v="0"/>
    <x v="0"/>
    <s v="L"/>
    <x v="0"/>
    <n v="11.95"/>
    <x v="178"/>
    <x v="0"/>
    <x v="1"/>
  </r>
  <r>
    <s v="GQA-37241-629"/>
    <d v="2020-01-01T00:00:00"/>
    <x v="3"/>
    <n v="1"/>
    <x v="4"/>
    <s v="08405-33165-BS"/>
    <s v="A-M-0.2"/>
    <n v="2"/>
    <x v="899"/>
    <s v="fparlotrb@forbes.com"/>
    <x v="0"/>
    <x v="2"/>
    <s v="M"/>
    <x v="3"/>
    <n v="3.375"/>
    <x v="52"/>
    <x v="2"/>
    <x v="0"/>
  </r>
  <r>
    <s v="WVV-79948-067"/>
    <d v="2021-01-18T00:00:00"/>
    <x v="1"/>
    <n v="1"/>
    <x v="4"/>
    <s v="66070-30559-WI"/>
    <s v="E-M-2.5"/>
    <n v="1"/>
    <x v="900"/>
    <s v="rcheakrc@tripadvisor.com"/>
    <x v="1"/>
    <x v="1"/>
    <s v="M"/>
    <x v="2"/>
    <n v="31.624999999999996"/>
    <x v="176"/>
    <x v="1"/>
    <x v="0"/>
  </r>
  <r>
    <s v="LHX-81117-166"/>
    <d v="2021-12-31T00:00:00"/>
    <x v="1"/>
    <n v="12"/>
    <x v="9"/>
    <s v="01282-28364-RZ"/>
    <s v="R-L-1"/>
    <n v="4"/>
    <x v="901"/>
    <s v="kogeneayrd@utexas.edu"/>
    <x v="0"/>
    <x v="0"/>
    <s v="L"/>
    <x v="0"/>
    <n v="11.95"/>
    <x v="62"/>
    <x v="0"/>
    <x v="1"/>
  </r>
  <r>
    <s v="GCD-75444-320"/>
    <d v="2020-05-04T00:00:00"/>
    <x v="3"/>
    <n v="5"/>
    <x v="5"/>
    <s v="51277-93873-RP"/>
    <s v="L-M-2.5"/>
    <n v="1"/>
    <x v="902"/>
    <s v="cayrere@symantec.com"/>
    <x v="0"/>
    <x v="3"/>
    <s v="M"/>
    <x v="2"/>
    <n v="33.464999999999996"/>
    <x v="116"/>
    <x v="3"/>
    <x v="0"/>
  </r>
  <r>
    <s v="SGA-30059-217"/>
    <d v="2021-02-20T00:00:00"/>
    <x v="1"/>
    <n v="2"/>
    <x v="10"/>
    <s v="84405-83364-DG"/>
    <s v="A-D-0.5"/>
    <n v="5"/>
    <x v="903"/>
    <s v="lkynetonrf@macromedia.com"/>
    <x v="3"/>
    <x v="2"/>
    <s v="D"/>
    <x v="1"/>
    <n v="5.97"/>
    <x v="44"/>
    <x v="2"/>
    <x v="2"/>
  </r>
  <r>
    <s v="GNL-98714-885"/>
    <d v="2020-03-07T00:00:00"/>
    <x v="3"/>
    <n v="3"/>
    <x v="6"/>
    <s v="83731-53280-YC"/>
    <s v="R-M-1"/>
    <n v="3"/>
    <x v="904"/>
    <s v=""/>
    <x v="3"/>
    <x v="0"/>
    <s v="M"/>
    <x v="0"/>
    <n v="9.9499999999999993"/>
    <x v="44"/>
    <x v="0"/>
    <x v="0"/>
  </r>
  <r>
    <s v="OQA-93249-841"/>
    <d v="2019-04-05T00:00:00"/>
    <x v="0"/>
    <n v="4"/>
    <x v="8"/>
    <s v="03917-13632-KC"/>
    <s v="A-M-2.5"/>
    <n v="6"/>
    <x v="905"/>
    <s v=""/>
    <x v="0"/>
    <x v="2"/>
    <s v="M"/>
    <x v="2"/>
    <n v="25.874999999999996"/>
    <x v="71"/>
    <x v="2"/>
    <x v="0"/>
  </r>
  <r>
    <s v="DUV-12075-132"/>
    <d v="2022-06-06T00:00:00"/>
    <x v="2"/>
    <n v="6"/>
    <x v="1"/>
    <s v="62494-09113-RP"/>
    <s v="E-D-0.2"/>
    <n v="5"/>
    <x v="906"/>
    <s v=""/>
    <x v="0"/>
    <x v="1"/>
    <s v="D"/>
    <x v="3"/>
    <n v="3.645"/>
    <x v="94"/>
    <x v="1"/>
    <x v="2"/>
  </r>
  <r>
    <s v="DUV-12075-132"/>
    <d v="2022-06-06T00:00:00"/>
    <x v="2"/>
    <n v="6"/>
    <x v="1"/>
    <s v="62494-09113-RP"/>
    <s v="L-D-0.5"/>
    <n v="2"/>
    <x v="906"/>
    <s v=""/>
    <x v="0"/>
    <x v="3"/>
    <s v="D"/>
    <x v="1"/>
    <n v="7.77"/>
    <x v="42"/>
    <x v="3"/>
    <x v="2"/>
  </r>
  <r>
    <s v="KPO-24942-184"/>
    <d v="2021-03-21T00:00:00"/>
    <x v="1"/>
    <n v="3"/>
    <x v="6"/>
    <s v="70567-65133-CN"/>
    <s v="L-L-2.5"/>
    <n v="3"/>
    <x v="907"/>
    <s v=""/>
    <x v="1"/>
    <x v="3"/>
    <s v="L"/>
    <x v="2"/>
    <n v="36.454999999999998"/>
    <x v="63"/>
    <x v="3"/>
    <x v="1"/>
  </r>
  <r>
    <s v="SRJ-79353-838"/>
    <d v="2021-12-19T00:00:00"/>
    <x v="1"/>
    <n v="12"/>
    <x v="9"/>
    <s v="77869-81373-AY"/>
    <s v="A-L-1"/>
    <n v="6"/>
    <x v="908"/>
    <s v=""/>
    <x v="0"/>
    <x v="2"/>
    <s v="L"/>
    <x v="0"/>
    <n v="12.95"/>
    <x v="17"/>
    <x v="2"/>
    <x v="1"/>
  </r>
  <r>
    <s v="XBV-40336-071"/>
    <d v="2021-02-17T00:00:00"/>
    <x v="1"/>
    <n v="2"/>
    <x v="10"/>
    <s v="38536-98293-JZ"/>
    <s v="A-D-0.2"/>
    <n v="3"/>
    <x v="909"/>
    <s v=""/>
    <x v="1"/>
    <x v="2"/>
    <s v="D"/>
    <x v="3"/>
    <n v="2.9849999999999999"/>
    <x v="169"/>
    <x v="2"/>
    <x v="2"/>
  </r>
  <r>
    <s v="RLM-96511-467"/>
    <d v="2020-01-06T00:00:00"/>
    <x v="3"/>
    <n v="1"/>
    <x v="4"/>
    <s v="43014-53743-XK"/>
    <s v="R-L-2.5"/>
    <n v="1"/>
    <x v="910"/>
    <s v="jtewelsonrn@samsung.com"/>
    <x v="0"/>
    <x v="0"/>
    <s v="L"/>
    <x v="2"/>
    <n v="27.484999999999996"/>
    <x v="142"/>
    <x v="0"/>
    <x v="1"/>
  </r>
  <r>
    <s v="AEZ-13242-456"/>
    <d v="2022-05-04T00:00:00"/>
    <x v="2"/>
    <n v="5"/>
    <x v="5"/>
    <s v="62494-09113-RP"/>
    <s v="R-M-0.5"/>
    <n v="5"/>
    <x v="906"/>
    <s v=""/>
    <x v="0"/>
    <x v="0"/>
    <s v="M"/>
    <x v="1"/>
    <n v="5.97"/>
    <x v="44"/>
    <x v="0"/>
    <x v="0"/>
  </r>
  <r>
    <s v="UME-75640-698"/>
    <d v="2019-10-11T00:00:00"/>
    <x v="0"/>
    <n v="10"/>
    <x v="7"/>
    <s v="62494-09113-RP"/>
    <s v="A-M-0.5"/>
    <n v="4"/>
    <x v="906"/>
    <s v=""/>
    <x v="0"/>
    <x v="2"/>
    <s v="M"/>
    <x v="1"/>
    <n v="6.75"/>
    <x v="25"/>
    <x v="2"/>
    <x v="0"/>
  </r>
  <r>
    <s v="GJC-66474-557"/>
    <d v="2021-08-03T00:00:00"/>
    <x v="1"/>
    <n v="8"/>
    <x v="3"/>
    <s v="64965-78386-MY"/>
    <s v="A-D-1"/>
    <n v="1"/>
    <x v="911"/>
    <s v="njennyrq@bigcartel.com"/>
    <x v="0"/>
    <x v="2"/>
    <s v="D"/>
    <x v="0"/>
    <n v="9.9499999999999993"/>
    <x v="138"/>
    <x v="2"/>
    <x v="2"/>
  </r>
  <r>
    <s v="IRV-20769-219"/>
    <d v="2020-10-15T00:00:00"/>
    <x v="3"/>
    <n v="10"/>
    <x v="7"/>
    <s v="77131-58092-GE"/>
    <s v="E-M-0.2"/>
    <n v="3"/>
    <x v="912"/>
    <s v=""/>
    <x v="3"/>
    <x v="1"/>
    <s v="M"/>
    <x v="3"/>
    <n v="4.125"/>
    <x v="2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CDC25-EB73-44EB-89AB-AE4245303F86}" name="Total_Sales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3">
  <location ref="A3:B7" firstHeaderRow="1" firstDataRow="1" firstDataCol="1"/>
  <pivotFields count="18">
    <pivotField compact="0" outline="0" showAll="0" defaultSubtotal="0"/>
    <pivotField compact="0" numFmtId="165" outline="0" showAll="0" defaultSubtotal="0"/>
    <pivotField compact="0" outline="0" showAll="0" defaultSubtotal="0">
      <items count="4">
        <item x="0"/>
        <item x="3"/>
        <item x="1"/>
        <item x="2"/>
      </items>
    </pivotField>
    <pivotField compact="0" outline="0" showAll="0" defaultSubtotal="0"/>
    <pivotField compact="0" outline="0" showAll="0" defaultSubtotal="0">
      <items count="12">
        <item x="4"/>
        <item x="10"/>
        <item x="6"/>
        <item x="8"/>
        <item x="5"/>
        <item x="1"/>
        <item x="2"/>
        <item x="3"/>
        <item x="0"/>
        <item x="7"/>
        <item x="11"/>
        <item x="9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28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</items>
    </pivotField>
    <pivotField compact="0" outline="0" showAll="0" defaultSubtotal="0"/>
    <pivotField compact="0" outline="0" showAll="0" defaultSubtotal="0">
      <items count="4">
        <item x="1"/>
        <item h="1" x="2"/>
        <item x="3"/>
        <item x="0"/>
      </items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axis="axisRow" compact="0" numFmtId="166" outline="0" showAll="0" defaultSubtotal="0">
      <items count="4">
        <item x="3"/>
        <item x="1"/>
        <item x="0"/>
        <item x="2"/>
      </items>
    </pivotField>
    <pivotField compact="0" numFmtId="167" outline="0" showAll="0" defaultSubtotal="0"/>
    <pivotField compact="0" numFmtId="167" outline="0" showAll="0" defaultSubtotal="0"/>
    <pivotField name="Coffee Name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Quantity" fld="7" baseField="0" baseItem="0"/>
  </dataFields>
  <formats count="3">
    <format dxfId="28">
      <pivotArea outline="0" collapsedLevelsAreSubtotals="1" fieldPosition="0"/>
    </format>
    <format dxfId="29">
      <pivotArea field="16" type="button" dataOnly="0" labelOnly="1" outline="0"/>
    </format>
    <format dxfId="30">
      <pivotArea type="topRight" dataOnly="0" labelOnly="1" outline="0" fieldPosition="0"/>
    </format>
  </formats>
  <chartFormats count="5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B8E0C-4878-43B7-A4DF-355331FFC365}" name="Total_Sales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3">
  <location ref="A3:B6" firstHeaderRow="1" firstDataRow="1" firstDataCol="1"/>
  <pivotFields count="18">
    <pivotField compact="0" outline="0" showAll="0" defaultSubtotal="0"/>
    <pivotField compact="0" numFmtId="165" outline="0" showAll="0" defaultSubtotal="0"/>
    <pivotField compact="0" outline="0" showAll="0" defaultSubtotal="0">
      <items count="4">
        <item x="0"/>
        <item x="3"/>
        <item x="1"/>
        <item x="2"/>
      </items>
    </pivotField>
    <pivotField compact="0" outline="0" showAll="0" defaultSubtotal="0"/>
    <pivotField compact="0" outline="0" showAll="0" defaultSubtotal="0">
      <items count="12">
        <item x="4"/>
        <item x="10"/>
        <item x="6"/>
        <item x="8"/>
        <item x="5"/>
        <item x="1"/>
        <item x="2"/>
        <item x="3"/>
        <item x="0"/>
        <item x="7"/>
        <item x="11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28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</items>
    </pivotField>
    <pivotField compact="0" outline="0" showAll="0" defaultSubtotal="0"/>
    <pivotField compact="0" outline="0" showAll="0" defaultSubtotal="0">
      <items count="4">
        <item x="1"/>
        <item h="1" x="2"/>
        <item x="3"/>
        <item x="0"/>
      </items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numFmtId="166" outline="0" showAll="0" defaultSubtotal="0"/>
    <pivotField compact="0" numFmtId="167" outline="0" showAll="0" defaultSubtotal="0"/>
    <pivotField dataField="1" compact="0" numFmtId="167" outline="0" showAll="0" defaultSubtotal="0"/>
    <pivotField name="Coffee Name" compact="0" outline="0" showAll="0" defaultSubtotal="0">
      <items count="4">
        <item x="2"/>
        <item x="1"/>
        <item x="3"/>
        <item x="0"/>
      </items>
    </pivotField>
    <pivotField axis="axisRow" compact="0" outline="0" showAll="0" defaultSubtotal="0">
      <items count="3">
        <item x="2"/>
        <item n="Light" x="1"/>
        <item x="0"/>
      </items>
    </pivotField>
  </pivotFields>
  <rowFields count="1">
    <field x="17"/>
  </rowFields>
  <rowItems count="3">
    <i>
      <x/>
    </i>
    <i>
      <x v="1"/>
    </i>
    <i>
      <x v="2"/>
    </i>
  </rowItems>
  <colItems count="1">
    <i/>
  </colItems>
  <dataFields count="1">
    <dataField name="Sum of Sales" fld="15" baseField="0" baseItem="0" numFmtId="1"/>
  </dataFields>
  <formats count="3">
    <format dxfId="25">
      <pivotArea outline="0" collapsedLevelsAreSubtotals="1" fieldPosition="0"/>
    </format>
    <format dxfId="26">
      <pivotArea field="16" type="button" dataOnly="0" labelOnly="1" outline="0"/>
    </format>
    <format dxfId="27">
      <pivotArea type="topRight" dataOnly="0" labelOnly="1" outline="0" fieldPosition="0"/>
    </format>
  </formats>
  <chartFormats count="1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AA05F-591E-42AE-988B-141461DB9161}" name="Total_Sales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9">
  <location ref="A3:B7" firstHeaderRow="1" firstDataRow="1" firstDataCol="1"/>
  <pivotFields count="18">
    <pivotField compact="0" outline="0" showAll="0" defaultSubtotal="0"/>
    <pivotField compact="0" numFmtId="165" outline="0" showAll="0" defaultSubtotal="0"/>
    <pivotField compact="0" outline="0" showAll="0" defaultSubtotal="0">
      <items count="4">
        <item x="0"/>
        <item x="3"/>
        <item x="1"/>
        <item x="2"/>
      </items>
    </pivotField>
    <pivotField compact="0" outline="0" showAll="0" defaultSubtotal="0"/>
    <pivotField compact="0" outline="0" showAll="0" defaultSubtotal="0">
      <items count="12">
        <item x="4"/>
        <item x="10"/>
        <item x="6"/>
        <item x="8"/>
        <item x="5"/>
        <item x="1"/>
        <item x="2"/>
        <item x="3"/>
        <item x="0"/>
        <item x="7"/>
        <item x="11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28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</items>
    </pivotField>
    <pivotField compact="0" outline="0" showAll="0" defaultSubtotal="0"/>
    <pivotField compact="0" outline="0" showAll="0" defaultSubtotal="0">
      <items count="4">
        <item x="1"/>
        <item h="1" x="2"/>
        <item x="3"/>
        <item x="0"/>
      </items>
    </pivotField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numFmtId="166" outline="0" showAll="0" defaultSubtotal="0"/>
    <pivotField compact="0" numFmtId="167" outline="0" showAll="0" defaultSubtotal="0"/>
    <pivotField dataField="1" compact="0" numFmtId="167" outline="0" showAll="0" defaultSubtotal="0"/>
    <pivotField name="Coffee Name" axis="axisRow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</pivotFields>
  <rowFields count="1">
    <field x="16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Sales" fld="15" baseField="0" baseItem="0" numFmtId="1"/>
  </dataFields>
  <formats count="3">
    <format dxfId="22">
      <pivotArea outline="0" collapsedLevelsAreSubtotals="1" fieldPosition="0"/>
    </format>
    <format dxfId="23">
      <pivotArea field="16" type="button" dataOnly="0" labelOnly="1" outline="0" axis="axisRow" fieldPosition="0"/>
    </format>
    <format dxfId="24">
      <pivotArea type="topRight" dataOnly="0" labelOnly="1" outline="0" fieldPosition="0"/>
    </format>
  </formats>
  <chartFormats count="20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478CA-5265-4E24-A27B-3BAED8EF5189}" name="Total_Sales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0">
  <location ref="A3:B6" firstHeaderRow="1" firstDataRow="1" firstDataCol="1"/>
  <pivotFields count="18">
    <pivotField compact="0" outline="0" showAll="0" defaultSubtotal="0"/>
    <pivotField compact="0" numFmtId="165" outline="0" showAll="0" defaultSubtotal="0"/>
    <pivotField compact="0" outline="0" showAll="0" defaultSubtotal="0">
      <items count="4">
        <item x="0"/>
        <item x="3"/>
        <item x="1"/>
        <item x="2"/>
      </items>
    </pivotField>
    <pivotField compact="0" outline="0" showAll="0" defaultSubtotal="0"/>
    <pivotField compact="0" outline="0" showAll="0" defaultSubtotal="0">
      <items count="12">
        <item x="4"/>
        <item x="10"/>
        <item x="6"/>
        <item x="8"/>
        <item x="5"/>
        <item x="1"/>
        <item x="2"/>
        <item x="3"/>
        <item x="0"/>
        <item x="7"/>
        <item x="11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913">
        <item x="344"/>
        <item x="521"/>
        <item x="38"/>
        <item x="129"/>
        <item x="170"/>
        <item x="904"/>
        <item x="776"/>
        <item x="394"/>
        <item x="85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8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5"/>
        <item x="497"/>
        <item x="265"/>
        <item x="210"/>
        <item x="561"/>
        <item x="673"/>
        <item x="363"/>
        <item x="562"/>
        <item x="60"/>
        <item x="174"/>
        <item x="625"/>
        <item x="19"/>
        <item x="392"/>
        <item x="58"/>
        <item x="433"/>
        <item x="608"/>
        <item x="171"/>
        <item x="195"/>
        <item x="366"/>
        <item x="419"/>
        <item x="840"/>
        <item x="247"/>
        <item x="429"/>
        <item x="49"/>
        <item x="43"/>
        <item x="595"/>
        <item x="282"/>
        <item x="701"/>
        <item x="417"/>
        <item x="354"/>
        <item x="177"/>
        <item x="93"/>
        <item x="523"/>
        <item x="379"/>
        <item x="866"/>
        <item x="17"/>
        <item x="554"/>
        <item x="67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1"/>
        <item x="212"/>
        <item x="61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5"/>
        <item x="122"/>
        <item x="560"/>
        <item x="498"/>
        <item x="816"/>
        <item x="550"/>
        <item x="456"/>
        <item x="809"/>
        <item x="207"/>
        <item x="835"/>
        <item x="705"/>
        <item x="123"/>
        <item x="431"/>
        <item x="738"/>
        <item x="132"/>
        <item x="97"/>
        <item x="694"/>
        <item x="519"/>
        <item x="857"/>
        <item x="748"/>
        <item x="807"/>
        <item x="391"/>
        <item x="111"/>
        <item x="77"/>
        <item x="178"/>
        <item x="268"/>
        <item x="578"/>
        <item x="754"/>
        <item x="739"/>
        <item x="716"/>
        <item x="472"/>
        <item x="220"/>
        <item x="680"/>
        <item x="426"/>
        <item x="108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4"/>
        <item x="239"/>
        <item x="241"/>
        <item x="224"/>
        <item x="539"/>
        <item x="72"/>
        <item x="749"/>
        <item x="235"/>
        <item x="216"/>
        <item x="193"/>
        <item x="808"/>
        <item x="113"/>
        <item x="572"/>
        <item x="310"/>
        <item x="345"/>
        <item x="348"/>
        <item x="529"/>
        <item x="759"/>
        <item x="55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5"/>
        <item x="606"/>
        <item x="851"/>
        <item x="505"/>
        <item x="272"/>
        <item x="520"/>
        <item x="526"/>
        <item x="556"/>
        <item x="303"/>
        <item x="42"/>
        <item x="256"/>
        <item x="490"/>
        <item x="647"/>
        <item x="258"/>
        <item x="712"/>
        <item x="830"/>
        <item x="278"/>
        <item x="34"/>
        <item x="698"/>
        <item x="594"/>
        <item x="152"/>
        <item x="827"/>
        <item x="9"/>
        <item x="96"/>
        <item x="583"/>
        <item x="279"/>
        <item x="869"/>
        <item x="778"/>
        <item x="485"/>
        <item x="228"/>
        <item x="638"/>
        <item x="527"/>
        <item x="356"/>
        <item x="82"/>
        <item x="313"/>
        <item x="128"/>
        <item x="209"/>
        <item x="87"/>
        <item x="524"/>
        <item x="164"/>
        <item x="555"/>
        <item x="198"/>
        <item x="98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1"/>
        <item x="850"/>
        <item x="126"/>
        <item x="31"/>
        <item x="899"/>
        <item x="867"/>
        <item x="446"/>
        <item x="579"/>
        <item x="59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9"/>
        <item x="445"/>
        <item x="581"/>
        <item x="666"/>
        <item x="64"/>
        <item x="110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8"/>
        <item x="86"/>
        <item x="382"/>
        <item x="462"/>
        <item x="842"/>
        <item x="48"/>
        <item x="384"/>
        <item x="723"/>
        <item x="517"/>
        <item x="63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8"/>
        <item x="496"/>
        <item x="764"/>
        <item x="308"/>
        <item x="688"/>
        <item x="35"/>
        <item x="762"/>
        <item x="502"/>
        <item x="200"/>
        <item x="91"/>
        <item x="874"/>
        <item x="109"/>
        <item x="372"/>
        <item x="46"/>
        <item x="569"/>
        <item x="20"/>
        <item x="611"/>
        <item x="242"/>
        <item x="487"/>
        <item x="173"/>
        <item x="766"/>
        <item x="102"/>
        <item x="274"/>
        <item x="841"/>
        <item x="45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80"/>
        <item x="781"/>
        <item x="910"/>
        <item x="69"/>
        <item x="545"/>
        <item x="587"/>
        <item x="630"/>
        <item x="729"/>
        <item x="612"/>
        <item x="36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7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70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100"/>
        <item x="811"/>
        <item x="582"/>
        <item x="571"/>
        <item x="567"/>
        <item x="309"/>
        <item x="411"/>
        <item x="13"/>
        <item x="500"/>
        <item x="699"/>
        <item x="37"/>
        <item x="903"/>
        <item x="380"/>
        <item x="73"/>
        <item x="127"/>
        <item x="84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4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4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9"/>
        <item x="602"/>
        <item x="793"/>
        <item x="71"/>
        <item x="296"/>
        <item x="710"/>
        <item x="691"/>
        <item x="400"/>
        <item x="5"/>
        <item x="234"/>
        <item x="733"/>
        <item x="107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2"/>
        <item x="199"/>
        <item x="777"/>
        <item x="249"/>
        <item x="642"/>
        <item x="768"/>
        <item x="422"/>
        <item x="266"/>
        <item x="492"/>
        <item x="447"/>
        <item x="297"/>
        <item x="62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5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7"/>
        <item x="888"/>
        <item x="89"/>
        <item x="28"/>
        <item x="760"/>
        <item x="166"/>
        <item x="40"/>
        <item x="163"/>
        <item x="804"/>
        <item x="192"/>
        <item x="449"/>
        <item x="643"/>
        <item x="406"/>
        <item x="124"/>
        <item x="136"/>
        <item x="125"/>
        <item x="16"/>
        <item x="56"/>
        <item x="292"/>
        <item x="339"/>
        <item x="261"/>
        <item x="12"/>
        <item x="819"/>
        <item x="390"/>
        <item x="838"/>
        <item x="147"/>
        <item x="101"/>
        <item x="782"/>
        <item x="284"/>
        <item x="470"/>
        <item x="41"/>
        <item x="553"/>
        <item x="801"/>
        <item x="181"/>
        <item x="532"/>
        <item x="476"/>
        <item x="214"/>
        <item x="355"/>
        <item x="418"/>
        <item x="99"/>
        <item x="311"/>
        <item x="844"/>
        <item x="141"/>
        <item x="568"/>
        <item x="796"/>
        <item x="706"/>
        <item x="119"/>
        <item x="900"/>
        <item x="491"/>
        <item x="367"/>
        <item x="430"/>
        <item x="820"/>
        <item x="414"/>
        <item x="44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2"/>
        <item x="94"/>
        <item x="88"/>
        <item x="504"/>
        <item x="536"/>
        <item x="374"/>
        <item x="92"/>
        <item x="824"/>
        <item x="657"/>
        <item x="891"/>
        <item x="50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5"/>
        <item x="821"/>
        <item x="887"/>
        <item x="703"/>
        <item x="106"/>
        <item x="566"/>
        <item x="4"/>
        <item x="649"/>
        <item x="788"/>
        <item x="652"/>
        <item x="325"/>
        <item x="76"/>
        <item x="156"/>
        <item x="609"/>
        <item x="361"/>
        <item x="66"/>
        <item x="226"/>
        <item x="537"/>
        <item x="513"/>
        <item x="656"/>
        <item x="727"/>
        <item x="250"/>
        <item x="750"/>
        <item x="342"/>
        <item x="33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6"/>
        <item x="54"/>
        <item x="158"/>
        <item x="448"/>
        <item x="489"/>
        <item x="654"/>
        <item x="117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3"/>
        <item x="685"/>
        <item x="758"/>
        <item x="299"/>
        <item x="51"/>
        <item x="413"/>
        <item x="628"/>
        <item x="25"/>
        <item x="169"/>
        <item x="477"/>
        <item x="120"/>
        <item x="495"/>
        <item x="218"/>
        <item x="334"/>
        <item x="83"/>
        <item x="172"/>
        <item x="283"/>
        <item x="305"/>
        <item x="774"/>
        <item x="588"/>
        <item x="533"/>
        <item x="717"/>
        <item x="30"/>
        <item x="458"/>
        <item x="607"/>
        <item x="542"/>
        <item x="131"/>
        <item x="188"/>
        <item x="352"/>
        <item x="482"/>
        <item x="511"/>
        <item x="718"/>
        <item x="865"/>
        <item x="90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3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9"/>
        <item x="254"/>
        <item x="233"/>
        <item x="805"/>
        <item x="501"/>
        <item x="884"/>
        <item x="540"/>
        <item x="32"/>
      </items>
    </pivotField>
    <pivotField compact="0" outline="0" showAll="0" defaultSubtotal="0"/>
    <pivotField axis="axisRow" compact="0" outline="0" showAll="0" defaultSubtotal="0">
      <items count="4">
        <item x="1"/>
        <item h="1" x="2"/>
        <item x="3"/>
        <item x="0"/>
      </items>
    </pivotField>
    <pivotField compact="0" outline="0" showAll="0" defaultSubtotal="0"/>
    <pivotField compact="0" outline="0" showAll="0" defaultSubtotal="0"/>
    <pivotField compact="0" numFmtId="166" outline="0" showAll="0" defaultSubtotal="0"/>
    <pivotField compact="0" numFmtId="167" outline="0" showAll="0" defaultSubtotal="0"/>
    <pivotField dataField="1" compact="0" numFmtId="167" outline="0" showAll="0" defaultSubtotal="0"/>
    <pivotField name="Coffee Name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</pivotFields>
  <rowFields count="1">
    <field x="10"/>
  </rowFields>
  <rowItems count="3">
    <i>
      <x/>
    </i>
    <i>
      <x v="2"/>
    </i>
    <i>
      <x v="3"/>
    </i>
  </rowItems>
  <colItems count="1">
    <i/>
  </colItems>
  <dataFields count="1">
    <dataField name="Sum of Sales" fld="15" baseField="0" baseItem="0" numFmtId="1"/>
  </dataFields>
  <formats count="3">
    <format dxfId="19">
      <pivotArea outline="0" collapsedLevelsAreSubtotals="1" fieldPosition="0"/>
    </format>
    <format dxfId="20">
      <pivotArea field="16" type="button" dataOnly="0" labelOnly="1" outline="0"/>
    </format>
    <format dxfId="21">
      <pivotArea type="topRight" dataOnly="0" labelOnly="1" outline="0" fieldPosition="0"/>
    </format>
  </formats>
  <chartFormats count="1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5B730-0D7D-4CE1-A210-1B7F88209BFA}" name="Total_Sales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3:F48" firstHeaderRow="1" firstDataRow="2" firstDataCol="2"/>
  <pivotFields count="18">
    <pivotField compact="0" outline="0" showAll="0" defaultSubtotal="0"/>
    <pivotField compact="0" numFmtId="165" outline="0" showAll="0" defaultSubtotal="0"/>
    <pivotField axis="axisRow" compact="0" outline="0" showAll="0" defaultSubtotal="0">
      <items count="4">
        <item x="0"/>
        <item x="3"/>
        <item x="1"/>
        <item x="2"/>
      </items>
    </pivotField>
    <pivotField compact="0" outline="0" showAll="0" defaultSubtotal="0"/>
    <pivotField axis="axisRow" compact="0" outline="0" showAll="0" defaultSubtotal="0">
      <items count="12">
        <item x="4"/>
        <item x="10"/>
        <item x="6"/>
        <item x="8"/>
        <item x="5"/>
        <item x="1"/>
        <item x="2"/>
        <item x="3"/>
        <item x="0"/>
        <item x="7"/>
        <item x="11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7" outline="0" showAll="0" defaultSubtotal="0"/>
    <pivotField dataField="1" compact="0" numFmtId="167" outline="0" showAll="0" defaultSubtotal="0"/>
    <pivotField name="Coffee Name"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</pivotFields>
  <rowFields count="2">
    <field x="2"/>
    <field x="4"/>
  </rowFields>
  <rowItems count="4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16"/>
  </colFields>
  <colItems count="4">
    <i>
      <x/>
    </i>
    <i>
      <x v="1"/>
    </i>
    <i>
      <x v="2"/>
    </i>
    <i>
      <x v="3"/>
    </i>
  </colItems>
  <dataFields count="1">
    <dataField name="Sum of Sales" fld="15" baseField="0" baseItem="0" numFmtId="1"/>
  </dataFields>
  <formats count="4">
    <format dxfId="15">
      <pivotArea outline="0" collapsedLevelsAreSubtotals="1" fieldPosition="0"/>
    </format>
    <format dxfId="16">
      <pivotArea field="16" type="button" dataOnly="0" labelOnly="1" outline="0" axis="axisCol" fieldPosition="0"/>
    </format>
    <format dxfId="17">
      <pivotArea type="topRight" dataOnly="0" labelOnly="1" outline="0" fieldPosition="0"/>
    </format>
    <format dxfId="18">
      <pivotArea dataOnly="0" labelOnly="1" outline="0" fieldPosition="0">
        <references count="1">
          <reference field="16" count="0"/>
        </references>
      </pivotArea>
    </format>
  </format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8A8E6-227E-4A2A-AD6A-F64E178B68FB}" name="Orders_Table" displayName="Orders_Table" ref="A1:R1001" totalsRowShown="0" headerRowDxfId="14">
  <autoFilter ref="A1:R1001" xr:uid="{6048A8E6-227E-4A2A-AD6A-F64E178B68FB}"/>
  <tableColumns count="18">
    <tableColumn id="1" xr3:uid="{6BD0A63F-51D8-4D13-B792-BCC859ED3CF2}" name="Order ID" dataDxfId="13"/>
    <tableColumn id="2" xr3:uid="{D66447B7-E31B-4F2D-BDD0-B833AEE16CA1}" name="Order Date" dataDxfId="12"/>
    <tableColumn id="16" xr3:uid="{B5740D82-C5E3-41D6-9916-760355B75F29}" name="Year" dataDxfId="11">
      <calculatedColumnFormula>YEAR(Orders_Table[[#This Row],[Order Date]])</calculatedColumnFormula>
    </tableColumn>
    <tableColumn id="17" xr3:uid="{843E14B8-C4C6-4981-9077-051735690739}" name="Month Number" dataDxfId="10">
      <calculatedColumnFormula>MONTH(Orders_Table[[#This Row],[Order Date]])</calculatedColumnFormula>
    </tableColumn>
    <tableColumn id="18" xr3:uid="{EA3B4AFA-A0BE-43A1-A7CB-D3203FE02305}" name="Month" dataDxfId="9">
      <calculatedColumnFormula array="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calculatedColumnFormula>
    </tableColumn>
    <tableColumn id="3" xr3:uid="{21A060BC-39A3-42BC-B39C-8EFBC8804C15}" name="Customer ID" dataDxfId="8"/>
    <tableColumn id="4" xr3:uid="{E9F5C16D-26F5-494E-B25B-8A56036A382C}" name="Product ID"/>
    <tableColumn id="5" xr3:uid="{791142D0-7DFD-40CD-AA24-2966D07C10A2}" name="Quantity" dataDxfId="7"/>
    <tableColumn id="6" xr3:uid="{AAD2336D-332B-4022-B80E-A6B39FE01E0B}" name="Customer Name" dataDxfId="6">
      <calculatedColumnFormula array="1">_xlfn.XLOOKUP(F2,Customers!A1:$A$1001,Customers!B1:$B$1001,"Not Found",0)</calculatedColumnFormula>
    </tableColumn>
    <tableColumn id="7" xr3:uid="{D63BB600-4069-4917-8A01-63F67E9ADE9F}" name="Email" dataDxfId="5">
      <calculatedColumnFormula array="1">IF(_xlfn.XLOOKUP(F2,Customers!A1:$A$1001,Customers!C1:$C$1001,"Not Found",0)=0,"",_xlfn.XLOOKUP(F2,Customers!A1:$A$1001,Customers!C1:$C$1001,"Not Found",0))</calculatedColumnFormula>
    </tableColumn>
    <tableColumn id="8" xr3:uid="{83132CF7-B42C-4D04-B1D8-3AE0250BDC71}" name="Country" dataDxfId="4">
      <calculatedColumnFormula array="1">_xlfn.XLOOKUP(F2,Customers!A1:$A$1001,Customers!G1:$G$1001,"Not Found",0)</calculatedColumnFormula>
    </tableColumn>
    <tableColumn id="9" xr3:uid="{87937E94-6651-48A5-ACEA-0E3FD70BA187}" name="Coffee Type">
      <calculatedColumnFormula>INDEX(Products!$A$1:$G$49,MATCH(Orders!$G2,Products!$A$1:$A$49,0),MATCH(Orders!L$1,Products!$A$1:$G$1,0))</calculatedColumnFormula>
    </tableColumn>
    <tableColumn id="10" xr3:uid="{FD4BAA66-D1CE-4798-8A7A-F44DEA34E5E3}" name="Roast Type">
      <calculatedColumnFormula>INDEX(Products!$A$1:$G$49,MATCH(Orders!$G2,Products!$A$1:$A$49,0),MATCH(Orders!M$1,Products!$A$1:$G$1,0))</calculatedColumnFormula>
    </tableColumn>
    <tableColumn id="11" xr3:uid="{A4B8506F-9521-40BB-AB38-EAB56799893D}" name="Size" dataDxfId="3">
      <calculatedColumnFormula>INDEX(Products!$A$1:$G$49,MATCH(Orders!$G2,Products!$A$1:$A$49,0),MATCH(Orders!N$1,Products!$A$1:$G$1,0))</calculatedColumnFormula>
    </tableColumn>
    <tableColumn id="12" xr3:uid="{F3A72642-51BF-46A2-AA47-36B48D7FF970}" name="Unit Price" dataDxfId="2">
      <calculatedColumnFormula>INDEX(Products!$A$1:$G$49,MATCH(Orders!$G2,Products!$A$1:$A$49,0),MATCH(Orders!O$1,Products!$A$1:$G$1,0))</calculatedColumnFormula>
    </tableColumn>
    <tableColumn id="13" xr3:uid="{C72540C7-2B8E-47AA-9F85-718124CD7F24}" name="Sales" dataDxfId="1">
      <calculatedColumnFormula>O2*H2</calculatedColumnFormula>
    </tableColumn>
    <tableColumn id="14" xr3:uid="{3637EE95-E98D-4D8A-ACDC-7E508C1EF199}" name="Coffee Type Full">
      <calculatedColumnFormula array="1">_xlfn.IFS(L2="Rob","Robusta",L2="Exc", "Excelsa",L2="Ara", "Arabica",L2="Lib", "Liberica")</calculatedColumnFormula>
    </tableColumn>
    <tableColumn id="15" xr3:uid="{AD4C5499-241E-4D4E-B198-69D158F4EDED}" name="Roast Type Full" dataDxfId="0">
      <calculatedColumnFormula array="1">_xlfn.IFS(M2="M","Medium",M2="L","Light",M2="D","Dark")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425F-54F0-45DD-B955-419EA0A0E875}">
  <dimension ref="A1"/>
  <sheetViews>
    <sheetView tabSelected="1" workbookViewId="0">
      <selection activeCell="Q19" sqref="Q19"/>
    </sheetView>
  </sheetViews>
  <sheetFormatPr defaultRowHeight="15"/>
  <cols>
    <col min="1" max="1" width="2.140625" style="12" customWidth="1"/>
    <col min="2" max="26" width="9.140625" style="12"/>
    <col min="27" max="27" width="2.140625" style="12" customWidth="1"/>
    <col min="28" max="16384" width="9.140625" style="12"/>
  </cols>
  <sheetData>
    <row r="1" s="12" customFormat="1" ht="11.2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7763-46E1-494A-96E7-021BCA06FB75}">
  <dimension ref="A1:G2"/>
  <sheetViews>
    <sheetView topLeftCell="C1" workbookViewId="0">
      <selection activeCell="A9" sqref="A9"/>
    </sheetView>
  </sheetViews>
  <sheetFormatPr defaultRowHeight="15"/>
  <cols>
    <col min="1" max="1" width="11.85546875" bestFit="1" customWidth="1"/>
    <col min="3" max="3" width="12.5703125" bestFit="1" customWidth="1"/>
    <col min="5" max="5" width="16" bestFit="1" customWidth="1"/>
    <col min="7" max="7" width="16.7109375" bestFit="1" customWidth="1"/>
  </cols>
  <sheetData>
    <row r="1" spans="1:7">
      <c r="A1" t="s">
        <v>0</v>
      </c>
      <c r="C1" t="s">
        <v>1</v>
      </c>
      <c r="E1" t="s">
        <v>2</v>
      </c>
      <c r="G1" t="s">
        <v>3</v>
      </c>
    </row>
    <row r="2" spans="1:7">
      <c r="A2" s="7">
        <f>SUM(Orders_Table[Sales])</f>
        <v>45134.254999999997</v>
      </c>
      <c r="C2">
        <f>COUNTA(Orders!A:A)-1</f>
        <v>1000</v>
      </c>
      <c r="E2">
        <f>COUNTA(_xlfn.UNIQUE(Orders!F:F))-1</f>
        <v>914</v>
      </c>
      <c r="G2">
        <f>SUM(Orders!H:H)-1</f>
        <v>3550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C4DE-0A45-4E59-8B3A-73E1DB8B3831}">
  <dimension ref="A3:F48"/>
  <sheetViews>
    <sheetView workbookViewId="0">
      <selection activeCell="K16" sqref="K16"/>
    </sheetView>
  </sheetViews>
  <sheetFormatPr defaultRowHeight="15"/>
  <cols>
    <col min="1" max="1" width="7.7109375" bestFit="1" customWidth="1"/>
    <col min="2" max="2" width="15.42578125" bestFit="1" customWidth="1"/>
    <col min="3" max="3" width="12.140625" style="11" bestFit="1" customWidth="1"/>
    <col min="4" max="4" width="7.85546875" style="11" bestFit="1" customWidth="1"/>
    <col min="5" max="6" width="8.28515625" style="11" bestFit="1" customWidth="1"/>
  </cols>
  <sheetData>
    <row r="3" spans="1:6">
      <c r="A3" s="8" t="s">
        <v>4</v>
      </c>
      <c r="B3" s="11" t="s">
        <v>5</v>
      </c>
      <c r="C3"/>
      <c r="D3"/>
      <c r="E3"/>
      <c r="F3"/>
    </row>
    <row r="4" spans="1:6">
      <c r="A4" s="4">
        <v>0.2</v>
      </c>
      <c r="B4" s="11">
        <v>892</v>
      </c>
      <c r="C4"/>
      <c r="D4"/>
      <c r="E4"/>
      <c r="F4"/>
    </row>
    <row r="5" spans="1:6">
      <c r="A5" s="4">
        <v>0.5</v>
      </c>
      <c r="B5" s="11">
        <v>943</v>
      </c>
      <c r="C5"/>
      <c r="D5"/>
      <c r="E5"/>
      <c r="F5"/>
    </row>
    <row r="6" spans="1:6">
      <c r="A6" s="4">
        <v>1</v>
      </c>
      <c r="B6" s="11">
        <v>875</v>
      </c>
      <c r="C6"/>
      <c r="D6"/>
      <c r="E6"/>
      <c r="F6"/>
    </row>
    <row r="7" spans="1:6">
      <c r="A7" s="4">
        <v>2.5</v>
      </c>
      <c r="B7" s="11">
        <v>841</v>
      </c>
      <c r="C7"/>
      <c r="D7"/>
      <c r="E7"/>
      <c r="F7"/>
    </row>
    <row r="8" spans="1:6">
      <c r="C8"/>
      <c r="D8"/>
      <c r="E8"/>
      <c r="F8"/>
    </row>
    <row r="9" spans="1:6">
      <c r="C9"/>
      <c r="D9"/>
      <c r="E9"/>
      <c r="F9"/>
    </row>
    <row r="10" spans="1:6">
      <c r="C10"/>
      <c r="D10"/>
      <c r="E10"/>
      <c r="F10"/>
    </row>
    <row r="11" spans="1:6">
      <c r="C11"/>
      <c r="D11"/>
      <c r="E11"/>
      <c r="F11"/>
    </row>
    <row r="12" spans="1:6">
      <c r="C12"/>
      <c r="D12"/>
      <c r="E12"/>
      <c r="F12"/>
    </row>
    <row r="13" spans="1:6">
      <c r="C13"/>
      <c r="D13"/>
      <c r="E13"/>
      <c r="F13"/>
    </row>
    <row r="14" spans="1:6">
      <c r="C14"/>
      <c r="D14"/>
      <c r="E14"/>
      <c r="F14"/>
    </row>
    <row r="15" spans="1:6">
      <c r="C15"/>
      <c r="D15"/>
      <c r="E15"/>
      <c r="F15"/>
    </row>
    <row r="16" spans="1:6"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57BE-7A48-471C-838D-F52AB3FDF521}">
  <dimension ref="A3:F48"/>
  <sheetViews>
    <sheetView workbookViewId="0">
      <selection activeCell="A6" sqref="A6"/>
    </sheetView>
  </sheetViews>
  <sheetFormatPr defaultRowHeight="15"/>
  <cols>
    <col min="1" max="1" width="17.5703125" bestFit="1" customWidth="1"/>
    <col min="2" max="2" width="12.140625" bestFit="1" customWidth="1"/>
    <col min="3" max="3" width="7.42578125" style="11" bestFit="1" customWidth="1"/>
    <col min="4" max="4" width="7.85546875" style="11" bestFit="1" customWidth="1"/>
    <col min="5" max="6" width="8.28515625" style="11" bestFit="1" customWidth="1"/>
  </cols>
  <sheetData>
    <row r="3" spans="1:6">
      <c r="A3" s="8" t="s">
        <v>6</v>
      </c>
      <c r="B3" s="11" t="s">
        <v>7</v>
      </c>
      <c r="C3"/>
      <c r="D3"/>
      <c r="E3"/>
      <c r="F3"/>
    </row>
    <row r="4" spans="1:6">
      <c r="A4" t="s">
        <v>8</v>
      </c>
      <c r="B4" s="11">
        <v>13179.315000000013</v>
      </c>
      <c r="C4"/>
      <c r="D4"/>
      <c r="E4"/>
      <c r="F4"/>
    </row>
    <row r="5" spans="1:6">
      <c r="A5" t="s">
        <v>9</v>
      </c>
      <c r="B5" s="11">
        <v>17354.464999999993</v>
      </c>
      <c r="C5"/>
      <c r="D5"/>
      <c r="E5"/>
      <c r="F5"/>
    </row>
    <row r="6" spans="1:6">
      <c r="A6" t="s">
        <v>10</v>
      </c>
      <c r="B6" s="11">
        <v>14600.474999999995</v>
      </c>
      <c r="C6"/>
      <c r="D6"/>
      <c r="E6"/>
      <c r="F6"/>
    </row>
    <row r="7" spans="1:6">
      <c r="C7"/>
      <c r="D7"/>
      <c r="E7"/>
      <c r="F7"/>
    </row>
    <row r="8" spans="1:6">
      <c r="C8"/>
      <c r="D8"/>
      <c r="E8"/>
      <c r="F8"/>
    </row>
    <row r="9" spans="1:6">
      <c r="C9"/>
      <c r="D9"/>
      <c r="E9"/>
      <c r="F9"/>
    </row>
    <row r="10" spans="1:6">
      <c r="C10"/>
      <c r="D10"/>
      <c r="E10"/>
      <c r="F10"/>
    </row>
    <row r="11" spans="1:6">
      <c r="C11"/>
      <c r="D11"/>
      <c r="E11"/>
      <c r="F11"/>
    </row>
    <row r="12" spans="1:6">
      <c r="C12"/>
      <c r="D12"/>
      <c r="E12"/>
      <c r="F12"/>
    </row>
    <row r="13" spans="1:6">
      <c r="C13"/>
      <c r="D13"/>
      <c r="E13"/>
      <c r="F13"/>
    </row>
    <row r="14" spans="1:6">
      <c r="C14"/>
      <c r="D14"/>
      <c r="E14"/>
      <c r="F14"/>
    </row>
    <row r="15" spans="1:6">
      <c r="C15"/>
      <c r="D15"/>
      <c r="E15"/>
      <c r="F15"/>
    </row>
    <row r="16" spans="1:6"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F098-15D1-4C0E-87D5-49E2698E8774}">
  <dimension ref="A3:F48"/>
  <sheetViews>
    <sheetView workbookViewId="0">
      <selection activeCell="F18" sqref="F18"/>
    </sheetView>
  </sheetViews>
  <sheetFormatPr defaultRowHeight="15"/>
  <cols>
    <col min="1" max="1" width="15.7109375" bestFit="1" customWidth="1"/>
    <col min="2" max="2" width="12.140625" bestFit="1" customWidth="1"/>
    <col min="3" max="3" width="7.42578125" style="11" bestFit="1" customWidth="1"/>
    <col min="4" max="4" width="7.85546875" style="11" bestFit="1" customWidth="1"/>
    <col min="5" max="6" width="8.28515625" style="11" bestFit="1" customWidth="1"/>
  </cols>
  <sheetData>
    <row r="3" spans="1:6">
      <c r="A3" s="10" t="s">
        <v>11</v>
      </c>
      <c r="B3" s="11" t="s">
        <v>7</v>
      </c>
      <c r="C3"/>
      <c r="D3"/>
      <c r="E3"/>
      <c r="F3"/>
    </row>
    <row r="4" spans="1:6">
      <c r="A4" t="s">
        <v>12</v>
      </c>
      <c r="B4" s="11">
        <v>11768.494999999997</v>
      </c>
      <c r="C4"/>
      <c r="D4"/>
      <c r="E4"/>
      <c r="F4"/>
    </row>
    <row r="5" spans="1:6">
      <c r="A5" t="s">
        <v>13</v>
      </c>
      <c r="B5" s="11">
        <v>12306.439999999995</v>
      </c>
      <c r="C5"/>
      <c r="D5"/>
      <c r="E5"/>
      <c r="F5"/>
    </row>
    <row r="6" spans="1:6">
      <c r="A6" t="s">
        <v>14</v>
      </c>
      <c r="B6" s="11">
        <v>12054.074999999995</v>
      </c>
      <c r="C6"/>
      <c r="D6"/>
      <c r="E6"/>
      <c r="F6"/>
    </row>
    <row r="7" spans="1:6">
      <c r="A7" t="s">
        <v>15</v>
      </c>
      <c r="B7" s="11">
        <v>9005.2450000000099</v>
      </c>
      <c r="C7"/>
      <c r="D7"/>
      <c r="E7"/>
      <c r="F7"/>
    </row>
    <row r="8" spans="1:6">
      <c r="C8"/>
      <c r="D8"/>
      <c r="E8"/>
      <c r="F8"/>
    </row>
    <row r="9" spans="1:6">
      <c r="C9"/>
      <c r="D9"/>
      <c r="E9"/>
      <c r="F9"/>
    </row>
    <row r="10" spans="1:6">
      <c r="C10"/>
      <c r="D10"/>
      <c r="E10"/>
      <c r="F10"/>
    </row>
    <row r="11" spans="1:6">
      <c r="C11"/>
      <c r="D11"/>
      <c r="E11"/>
      <c r="F11"/>
    </row>
    <row r="12" spans="1:6">
      <c r="C12"/>
      <c r="D12"/>
      <c r="E12"/>
      <c r="F12"/>
    </row>
    <row r="13" spans="1:6">
      <c r="C13"/>
      <c r="D13"/>
      <c r="E13"/>
      <c r="F13"/>
    </row>
    <row r="14" spans="1:6">
      <c r="C14"/>
      <c r="D14"/>
      <c r="E14"/>
      <c r="F14"/>
    </row>
    <row r="15" spans="1:6">
      <c r="C15"/>
      <c r="D15"/>
      <c r="E15"/>
      <c r="F15"/>
    </row>
    <row r="16" spans="1:6"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E0F8-83CB-4994-B3F9-B78214E75F7C}">
  <dimension ref="A3:F48"/>
  <sheetViews>
    <sheetView workbookViewId="0">
      <selection activeCell="B13" sqref="B13"/>
    </sheetView>
  </sheetViews>
  <sheetFormatPr defaultRowHeight="15"/>
  <cols>
    <col min="1" max="1" width="15.42578125" bestFit="1" customWidth="1"/>
    <col min="2" max="2" width="12.140625" bestFit="1" customWidth="1"/>
    <col min="3" max="3" width="7.42578125" style="11" bestFit="1" customWidth="1"/>
    <col min="4" max="4" width="7.85546875" style="11" bestFit="1" customWidth="1"/>
    <col min="5" max="6" width="8.28515625" style="11" bestFit="1" customWidth="1"/>
  </cols>
  <sheetData>
    <row r="3" spans="1:6">
      <c r="A3" s="8" t="s">
        <v>16</v>
      </c>
      <c r="B3" s="11" t="s">
        <v>7</v>
      </c>
      <c r="C3"/>
      <c r="D3"/>
      <c r="E3"/>
      <c r="F3"/>
    </row>
    <row r="4" spans="1:6">
      <c r="A4" t="s">
        <v>17</v>
      </c>
      <c r="B4" s="11">
        <v>6439.5749999999989</v>
      </c>
      <c r="C4"/>
      <c r="D4"/>
      <c r="E4"/>
      <c r="F4"/>
    </row>
    <row r="5" spans="1:6">
      <c r="A5" t="s">
        <v>18</v>
      </c>
      <c r="B5" s="11">
        <v>2593.2250000000004</v>
      </c>
      <c r="C5"/>
      <c r="D5"/>
      <c r="E5"/>
      <c r="F5"/>
    </row>
    <row r="6" spans="1:6">
      <c r="A6" t="s">
        <v>19</v>
      </c>
      <c r="B6" s="11">
        <v>34281.249999999978</v>
      </c>
      <c r="C6"/>
      <c r="D6"/>
      <c r="E6"/>
      <c r="F6"/>
    </row>
    <row r="7" spans="1:6">
      <c r="C7"/>
      <c r="D7"/>
      <c r="E7"/>
      <c r="F7"/>
    </row>
    <row r="8" spans="1:6">
      <c r="C8"/>
      <c r="D8"/>
      <c r="E8"/>
      <c r="F8"/>
    </row>
    <row r="9" spans="1:6">
      <c r="C9"/>
      <c r="D9"/>
      <c r="E9"/>
      <c r="F9"/>
    </row>
    <row r="10" spans="1:6">
      <c r="C10"/>
      <c r="D10"/>
      <c r="E10"/>
      <c r="F10"/>
    </row>
    <row r="11" spans="1:6">
      <c r="C11"/>
      <c r="D11"/>
      <c r="E11"/>
      <c r="F11"/>
    </row>
    <row r="12" spans="1:6">
      <c r="C12"/>
      <c r="D12"/>
      <c r="E12"/>
      <c r="F12"/>
    </row>
    <row r="13" spans="1:6">
      <c r="C13"/>
      <c r="D13"/>
      <c r="E13"/>
      <c r="F13"/>
    </row>
    <row r="14" spans="1:6">
      <c r="C14"/>
      <c r="D14"/>
      <c r="E14"/>
      <c r="F14"/>
    </row>
    <row r="15" spans="1:6">
      <c r="C15"/>
      <c r="D15"/>
      <c r="E15"/>
      <c r="F15"/>
    </row>
    <row r="16" spans="1:6">
      <c r="C16"/>
      <c r="D16"/>
      <c r="E16"/>
      <c r="F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5B05-590B-411E-9AFE-82DC7CFB8D69}">
  <dimension ref="A3:F48"/>
  <sheetViews>
    <sheetView workbookViewId="0">
      <selection activeCell="G4" sqref="G4"/>
    </sheetView>
  </sheetViews>
  <sheetFormatPr defaultRowHeight="15"/>
  <cols>
    <col min="1" max="1" width="11.7109375" bestFit="1" customWidth="1"/>
    <col min="2" max="2" width="10.28515625" bestFit="1" customWidth="1"/>
    <col min="3" max="3" width="15.7109375" style="11" bestFit="1" customWidth="1"/>
    <col min="4" max="4" width="7.42578125" style="11" bestFit="1" customWidth="1"/>
    <col min="5" max="5" width="7.85546875" style="11" bestFit="1" customWidth="1"/>
    <col min="6" max="6" width="8.28515625" style="11" bestFit="1" customWidth="1"/>
  </cols>
  <sheetData>
    <row r="3" spans="1:6">
      <c r="A3" s="8" t="s">
        <v>7</v>
      </c>
      <c r="C3" s="10" t="s">
        <v>11</v>
      </c>
    </row>
    <row r="4" spans="1:6">
      <c r="A4" s="8" t="s">
        <v>20</v>
      </c>
      <c r="B4" s="8" t="s">
        <v>21</v>
      </c>
      <c r="C4" s="11" t="s">
        <v>12</v>
      </c>
      <c r="D4" s="11" t="s">
        <v>13</v>
      </c>
      <c r="E4" s="11" t="s">
        <v>14</v>
      </c>
      <c r="F4" s="11" t="s">
        <v>15</v>
      </c>
    </row>
    <row r="5" spans="1:6">
      <c r="A5">
        <v>2019</v>
      </c>
      <c r="B5" t="s">
        <v>22</v>
      </c>
      <c r="C5" s="11">
        <v>186.85499999999999</v>
      </c>
      <c r="D5" s="11">
        <v>305.97000000000003</v>
      </c>
      <c r="E5" s="11">
        <v>213.15999999999997</v>
      </c>
      <c r="F5" s="11">
        <v>123</v>
      </c>
    </row>
    <row r="6" spans="1:6">
      <c r="B6" t="s">
        <v>23</v>
      </c>
      <c r="C6" s="11">
        <v>251.96499999999997</v>
      </c>
      <c r="D6" s="11">
        <v>129.46</v>
      </c>
      <c r="E6" s="11">
        <v>434.03999999999996</v>
      </c>
      <c r="F6" s="11">
        <v>171.93999999999997</v>
      </c>
    </row>
    <row r="7" spans="1:6">
      <c r="B7" t="s">
        <v>24</v>
      </c>
      <c r="C7" s="11">
        <v>224.94499999999999</v>
      </c>
      <c r="D7" s="11">
        <v>349.12</v>
      </c>
      <c r="E7" s="11">
        <v>321.04000000000002</v>
      </c>
      <c r="F7" s="11">
        <v>126.035</v>
      </c>
    </row>
    <row r="8" spans="1:6">
      <c r="B8" t="s">
        <v>25</v>
      </c>
      <c r="C8" s="11">
        <v>307.12</v>
      </c>
      <c r="D8" s="11">
        <v>681.07499999999993</v>
      </c>
      <c r="E8" s="11">
        <v>533.70499999999993</v>
      </c>
      <c r="F8" s="11">
        <v>158.85</v>
      </c>
    </row>
    <row r="9" spans="1:6">
      <c r="B9" t="s">
        <v>26</v>
      </c>
      <c r="C9" s="11">
        <v>53.664999999999992</v>
      </c>
      <c r="D9" s="11">
        <v>83.025000000000006</v>
      </c>
      <c r="E9" s="11">
        <v>193.83499999999998</v>
      </c>
      <c r="F9" s="11">
        <v>68.039999999999992</v>
      </c>
    </row>
    <row r="10" spans="1:6">
      <c r="B10" t="s">
        <v>27</v>
      </c>
      <c r="C10" s="11">
        <v>163.01999999999998</v>
      </c>
      <c r="D10" s="11">
        <v>678.3599999999999</v>
      </c>
      <c r="E10" s="11">
        <v>171.04500000000002</v>
      </c>
      <c r="F10" s="11">
        <v>372.255</v>
      </c>
    </row>
    <row r="11" spans="1:6">
      <c r="B11" t="s">
        <v>28</v>
      </c>
      <c r="C11" s="11">
        <v>345.02</v>
      </c>
      <c r="D11" s="11">
        <v>273.86999999999995</v>
      </c>
      <c r="E11" s="11">
        <v>184.12999999999997</v>
      </c>
      <c r="F11" s="11">
        <v>201.11499999999998</v>
      </c>
    </row>
    <row r="12" spans="1:6">
      <c r="B12" t="s">
        <v>29</v>
      </c>
      <c r="C12" s="11">
        <v>334.89</v>
      </c>
      <c r="D12" s="11">
        <v>70.95</v>
      </c>
      <c r="E12" s="11">
        <v>134.23000000000002</v>
      </c>
      <c r="F12" s="11">
        <v>166.27499999999998</v>
      </c>
    </row>
    <row r="13" spans="1:6">
      <c r="B13" t="s">
        <v>30</v>
      </c>
      <c r="C13" s="11">
        <v>178.70999999999998</v>
      </c>
      <c r="D13" s="11">
        <v>166.1</v>
      </c>
      <c r="E13" s="11">
        <v>439.30999999999995</v>
      </c>
      <c r="F13" s="11">
        <v>492.9</v>
      </c>
    </row>
    <row r="14" spans="1:6">
      <c r="B14" t="s">
        <v>31</v>
      </c>
      <c r="C14" s="11">
        <v>301.98500000000001</v>
      </c>
      <c r="D14" s="11">
        <v>153.76499999999999</v>
      </c>
      <c r="E14" s="11">
        <v>215.55499999999998</v>
      </c>
      <c r="F14" s="11">
        <v>213.66499999999999</v>
      </c>
    </row>
    <row r="15" spans="1:6">
      <c r="B15" t="s">
        <v>32</v>
      </c>
      <c r="C15" s="11">
        <v>312.83499999999998</v>
      </c>
      <c r="D15" s="11">
        <v>63.249999999999993</v>
      </c>
      <c r="E15" s="11">
        <v>350.89500000000004</v>
      </c>
      <c r="F15" s="11">
        <v>96.405000000000001</v>
      </c>
    </row>
    <row r="16" spans="1:6">
      <c r="B16" t="s">
        <v>33</v>
      </c>
      <c r="C16" s="11">
        <v>265.62</v>
      </c>
      <c r="D16" s="11">
        <v>526.51499999999987</v>
      </c>
      <c r="E16" s="11">
        <v>187.06</v>
      </c>
      <c r="F16" s="11">
        <v>210.58999999999997</v>
      </c>
    </row>
    <row r="17" spans="1:6">
      <c r="A17">
        <v>2020</v>
      </c>
      <c r="B17" t="s">
        <v>22</v>
      </c>
      <c r="C17" s="11">
        <v>47.25</v>
      </c>
      <c r="D17" s="11">
        <v>65.805000000000007</v>
      </c>
      <c r="E17" s="11">
        <v>274.67500000000001</v>
      </c>
      <c r="F17" s="11">
        <v>179.22</v>
      </c>
    </row>
    <row r="18" spans="1:6">
      <c r="B18" t="s">
        <v>23</v>
      </c>
      <c r="C18" s="11">
        <v>745.44999999999993</v>
      </c>
      <c r="D18" s="11">
        <v>428.88499999999999</v>
      </c>
      <c r="E18" s="11">
        <v>194.17499999999998</v>
      </c>
      <c r="F18" s="11">
        <v>429.82999999999993</v>
      </c>
    </row>
    <row r="19" spans="1:6">
      <c r="B19" t="s">
        <v>24</v>
      </c>
      <c r="C19" s="11">
        <v>130.47</v>
      </c>
      <c r="D19" s="11">
        <v>271.48500000000001</v>
      </c>
      <c r="E19" s="11">
        <v>281.20499999999998</v>
      </c>
      <c r="F19" s="11">
        <v>231.63000000000002</v>
      </c>
    </row>
    <row r="20" spans="1:6">
      <c r="B20" t="s">
        <v>25</v>
      </c>
      <c r="C20" s="11">
        <v>27</v>
      </c>
      <c r="D20" s="11">
        <v>347.26</v>
      </c>
      <c r="E20" s="11">
        <v>147.51</v>
      </c>
      <c r="F20" s="11">
        <v>240.04</v>
      </c>
    </row>
    <row r="21" spans="1:6">
      <c r="B21" t="s">
        <v>26</v>
      </c>
      <c r="C21" s="11">
        <v>255.11499999999995</v>
      </c>
      <c r="D21" s="11">
        <v>541.73</v>
      </c>
      <c r="E21" s="11">
        <v>83.43</v>
      </c>
      <c r="F21" s="11">
        <v>59.079999999999991</v>
      </c>
    </row>
    <row r="22" spans="1:6">
      <c r="B22" t="s">
        <v>27</v>
      </c>
      <c r="C22" s="11">
        <v>584.78999999999985</v>
      </c>
      <c r="D22" s="11">
        <v>357.42999999999995</v>
      </c>
      <c r="E22" s="11">
        <v>355.34</v>
      </c>
      <c r="F22" s="11">
        <v>140.88</v>
      </c>
    </row>
    <row r="23" spans="1:6">
      <c r="B23" t="s">
        <v>28</v>
      </c>
      <c r="C23" s="11">
        <v>430.62</v>
      </c>
      <c r="D23" s="11">
        <v>227.42500000000001</v>
      </c>
      <c r="E23" s="11">
        <v>236.315</v>
      </c>
      <c r="F23" s="11">
        <v>414.58499999999992</v>
      </c>
    </row>
    <row r="24" spans="1:6">
      <c r="B24" t="s">
        <v>29</v>
      </c>
      <c r="C24" s="11">
        <v>22.5</v>
      </c>
      <c r="D24" s="11">
        <v>77.72</v>
      </c>
      <c r="E24" s="11">
        <v>60.5</v>
      </c>
      <c r="F24" s="11">
        <v>139.67999999999998</v>
      </c>
    </row>
    <row r="25" spans="1:6">
      <c r="B25" t="s">
        <v>30</v>
      </c>
      <c r="C25" s="11">
        <v>126.14999999999999</v>
      </c>
      <c r="D25" s="11">
        <v>195.11</v>
      </c>
      <c r="E25" s="11">
        <v>89.13</v>
      </c>
      <c r="F25" s="11">
        <v>302.65999999999997</v>
      </c>
    </row>
    <row r="26" spans="1:6">
      <c r="B26" t="s">
        <v>31</v>
      </c>
      <c r="C26" s="11">
        <v>376.03</v>
      </c>
      <c r="D26" s="11">
        <v>523.24</v>
      </c>
      <c r="E26" s="11">
        <v>440.96499999999997</v>
      </c>
      <c r="F26" s="11">
        <v>174.46999999999997</v>
      </c>
    </row>
    <row r="27" spans="1:6">
      <c r="B27" t="s">
        <v>32</v>
      </c>
      <c r="C27" s="11">
        <v>515.17999999999995</v>
      </c>
      <c r="D27" s="11">
        <v>142.56</v>
      </c>
      <c r="E27" s="11">
        <v>347.03999999999996</v>
      </c>
      <c r="F27" s="11">
        <v>104.08499999999999</v>
      </c>
    </row>
    <row r="28" spans="1:6">
      <c r="B28" t="s">
        <v>33</v>
      </c>
      <c r="C28" s="11">
        <v>95.859999999999985</v>
      </c>
      <c r="D28" s="11">
        <v>484.76</v>
      </c>
      <c r="E28" s="11">
        <v>94.17</v>
      </c>
      <c r="F28" s="11">
        <v>77.10499999999999</v>
      </c>
    </row>
    <row r="29" spans="1:6">
      <c r="A29">
        <v>2021</v>
      </c>
      <c r="B29" t="s">
        <v>22</v>
      </c>
      <c r="C29" s="11">
        <v>258.34500000000003</v>
      </c>
      <c r="D29" s="11">
        <v>139.625</v>
      </c>
      <c r="E29" s="11">
        <v>279.52000000000004</v>
      </c>
      <c r="F29" s="11">
        <v>160.19499999999999</v>
      </c>
    </row>
    <row r="30" spans="1:6">
      <c r="B30" t="s">
        <v>23</v>
      </c>
      <c r="C30" s="11">
        <v>342.2</v>
      </c>
      <c r="D30" s="11">
        <v>284.24999999999994</v>
      </c>
      <c r="E30" s="11">
        <v>251.83</v>
      </c>
      <c r="F30" s="11">
        <v>80.550000000000011</v>
      </c>
    </row>
    <row r="31" spans="1:6">
      <c r="B31" t="s">
        <v>24</v>
      </c>
      <c r="C31" s="11">
        <v>418.30499999999989</v>
      </c>
      <c r="D31" s="11">
        <v>468.125</v>
      </c>
      <c r="E31" s="11">
        <v>405.05500000000006</v>
      </c>
      <c r="F31" s="11">
        <v>253.15499999999997</v>
      </c>
    </row>
    <row r="32" spans="1:6">
      <c r="B32" t="s">
        <v>25</v>
      </c>
      <c r="C32" s="11">
        <v>102.32999999999998</v>
      </c>
      <c r="D32" s="11">
        <v>242.14000000000001</v>
      </c>
      <c r="E32" s="11">
        <v>554.875</v>
      </c>
      <c r="F32" s="11">
        <v>106.23999999999998</v>
      </c>
    </row>
    <row r="33" spans="1:6">
      <c r="B33" t="s">
        <v>26</v>
      </c>
      <c r="C33" s="11">
        <v>234.71999999999997</v>
      </c>
      <c r="D33" s="11">
        <v>133.08000000000001</v>
      </c>
      <c r="E33" s="11">
        <v>267.2</v>
      </c>
      <c r="F33" s="11">
        <v>272.68999999999994</v>
      </c>
    </row>
    <row r="34" spans="1:6">
      <c r="B34" t="s">
        <v>27</v>
      </c>
      <c r="C34" s="11">
        <v>430.39</v>
      </c>
      <c r="D34" s="11">
        <v>136.20500000000001</v>
      </c>
      <c r="E34" s="11">
        <v>209.6</v>
      </c>
      <c r="F34" s="11">
        <v>88.334999999999994</v>
      </c>
    </row>
    <row r="35" spans="1:6">
      <c r="B35" t="s">
        <v>28</v>
      </c>
      <c r="C35" s="11">
        <v>109.005</v>
      </c>
      <c r="D35" s="11">
        <v>393.57499999999999</v>
      </c>
      <c r="E35" s="11">
        <v>61.034999999999997</v>
      </c>
      <c r="F35" s="11">
        <v>199.48999999999998</v>
      </c>
    </row>
    <row r="36" spans="1:6">
      <c r="B36" t="s">
        <v>29</v>
      </c>
      <c r="C36" s="11">
        <v>287.52499999999998</v>
      </c>
      <c r="D36" s="11">
        <v>288.67</v>
      </c>
      <c r="E36" s="11">
        <v>125.58</v>
      </c>
      <c r="F36" s="11">
        <v>374.13499999999999</v>
      </c>
    </row>
    <row r="37" spans="1:6">
      <c r="B37" t="s">
        <v>30</v>
      </c>
      <c r="C37" s="11">
        <v>840.92999999999984</v>
      </c>
      <c r="D37" s="11">
        <v>409.875</v>
      </c>
      <c r="E37" s="11">
        <v>171.32999999999998</v>
      </c>
      <c r="F37" s="11">
        <v>221.43999999999997</v>
      </c>
    </row>
    <row r="38" spans="1:6">
      <c r="B38" t="s">
        <v>31</v>
      </c>
      <c r="C38" s="11">
        <v>299.07</v>
      </c>
      <c r="D38" s="11">
        <v>260.32499999999999</v>
      </c>
      <c r="E38" s="11">
        <v>584.64</v>
      </c>
      <c r="F38" s="11">
        <v>256.36500000000001</v>
      </c>
    </row>
    <row r="39" spans="1:6">
      <c r="B39" t="s">
        <v>32</v>
      </c>
      <c r="C39" s="11">
        <v>323.32499999999999</v>
      </c>
      <c r="D39" s="11">
        <v>565.57000000000005</v>
      </c>
      <c r="E39" s="11">
        <v>537.80999999999995</v>
      </c>
      <c r="F39" s="11">
        <v>189.47499999999999</v>
      </c>
    </row>
    <row r="40" spans="1:6">
      <c r="B40" t="s">
        <v>33</v>
      </c>
      <c r="C40" s="11">
        <v>399.48499999999996</v>
      </c>
      <c r="D40" s="11">
        <v>148.19999999999999</v>
      </c>
      <c r="E40" s="11">
        <v>388.21999999999997</v>
      </c>
      <c r="F40" s="11">
        <v>212.07499999999999</v>
      </c>
    </row>
    <row r="41" spans="1:6">
      <c r="A41">
        <v>2022</v>
      </c>
      <c r="B41" t="s">
        <v>22</v>
      </c>
      <c r="C41" s="11">
        <v>112.69499999999999</v>
      </c>
      <c r="D41" s="11">
        <v>166.32</v>
      </c>
      <c r="E41" s="11">
        <v>843.71499999999992</v>
      </c>
      <c r="F41" s="11">
        <v>146.685</v>
      </c>
    </row>
    <row r="42" spans="1:6">
      <c r="B42" t="s">
        <v>23</v>
      </c>
      <c r="C42" s="11">
        <v>114.87999999999998</v>
      </c>
      <c r="D42" s="11">
        <v>133.815</v>
      </c>
      <c r="E42" s="11">
        <v>91.175000000000011</v>
      </c>
      <c r="F42" s="11">
        <v>53.759999999999991</v>
      </c>
    </row>
    <row r="43" spans="1:6">
      <c r="B43" t="s">
        <v>24</v>
      </c>
      <c r="C43" s="11">
        <v>277.76</v>
      </c>
      <c r="D43" s="11">
        <v>175.41</v>
      </c>
      <c r="E43" s="11">
        <v>462.50999999999993</v>
      </c>
      <c r="F43" s="11">
        <v>399.52499999999998</v>
      </c>
    </row>
    <row r="44" spans="1:6">
      <c r="B44" t="s">
        <v>25</v>
      </c>
      <c r="C44" s="11">
        <v>197.89499999999998</v>
      </c>
      <c r="D44" s="11">
        <v>289.755</v>
      </c>
      <c r="E44" s="11">
        <v>88.545000000000002</v>
      </c>
      <c r="F44" s="11">
        <v>200.25499999999997</v>
      </c>
    </row>
    <row r="45" spans="1:6">
      <c r="B45" t="s">
        <v>26</v>
      </c>
      <c r="C45" s="11">
        <v>193.11499999999998</v>
      </c>
      <c r="D45" s="11">
        <v>212.49499999999998</v>
      </c>
      <c r="E45" s="11">
        <v>292.29000000000002</v>
      </c>
      <c r="F45" s="11">
        <v>304.46999999999997</v>
      </c>
    </row>
    <row r="46" spans="1:6">
      <c r="B46" t="s">
        <v>27</v>
      </c>
      <c r="C46" s="11">
        <v>179.79</v>
      </c>
      <c r="D46" s="11">
        <v>426.2</v>
      </c>
      <c r="E46" s="11">
        <v>170.08999999999997</v>
      </c>
      <c r="F46" s="11">
        <v>379.31</v>
      </c>
    </row>
    <row r="47" spans="1:6">
      <c r="B47" t="s">
        <v>28</v>
      </c>
      <c r="C47" s="11">
        <v>247.28999999999996</v>
      </c>
      <c r="D47" s="11">
        <v>246.685</v>
      </c>
      <c r="E47" s="11">
        <v>271.05499999999995</v>
      </c>
      <c r="F47" s="11">
        <v>141.69999999999999</v>
      </c>
    </row>
    <row r="48" spans="1:6">
      <c r="B48" t="s">
        <v>29</v>
      </c>
      <c r="C48" s="11">
        <v>116.39499999999998</v>
      </c>
      <c r="D48" s="11">
        <v>41.25</v>
      </c>
      <c r="E48" s="11">
        <v>15.54</v>
      </c>
      <c r="F48" s="11">
        <v>71.06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R1001"/>
  <sheetViews>
    <sheetView topLeftCell="G1" zoomScale="115" zoomScaleNormal="115" workbookViewId="0">
      <selection activeCell="S4" sqref="S4"/>
    </sheetView>
  </sheetViews>
  <sheetFormatPr defaultRowHeight="15"/>
  <cols>
    <col min="1" max="1" width="16.5703125" bestFit="1" customWidth="1"/>
    <col min="2" max="2" width="18.5703125" bestFit="1" customWidth="1"/>
    <col min="3" max="5" width="18.5703125" customWidth="1"/>
    <col min="6" max="6" width="17.42578125" bestFit="1" customWidth="1"/>
    <col min="7" max="7" width="12.85546875" bestFit="1" customWidth="1"/>
    <col min="8" max="8" width="11.28515625" bestFit="1" customWidth="1"/>
    <col min="9" max="9" width="23.5703125" bestFit="1" customWidth="1"/>
    <col min="10" max="10" width="38.85546875" bestFit="1" customWidth="1"/>
    <col min="11" max="11" width="15.42578125" bestFit="1" customWidth="1"/>
    <col min="12" max="12" width="14" bestFit="1" customWidth="1"/>
    <col min="13" max="13" width="13.28515625" bestFit="1" customWidth="1"/>
    <col min="14" max="14" width="6.85546875" bestFit="1" customWidth="1"/>
    <col min="15" max="15" width="12.140625" bestFit="1" customWidth="1"/>
    <col min="16" max="16" width="9.140625" bestFit="1" customWidth="1"/>
    <col min="17" max="17" width="17.85546875" bestFit="1" customWidth="1"/>
    <col min="18" max="18" width="17" bestFit="1" customWidth="1"/>
  </cols>
  <sheetData>
    <row r="1" spans="1:18">
      <c r="A1" s="2" t="s">
        <v>34</v>
      </c>
      <c r="B1" s="3" t="s">
        <v>35</v>
      </c>
      <c r="C1" s="9" t="s">
        <v>20</v>
      </c>
      <c r="D1" s="9" t="s">
        <v>36</v>
      </c>
      <c r="E1" s="9" t="s">
        <v>21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16</v>
      </c>
      <c r="L1" s="2" t="s">
        <v>42</v>
      </c>
      <c r="M1" s="2" t="s">
        <v>43</v>
      </c>
      <c r="N1" s="2" t="s">
        <v>4</v>
      </c>
      <c r="O1" s="2" t="s">
        <v>44</v>
      </c>
      <c r="P1" s="2" t="s">
        <v>45</v>
      </c>
      <c r="Q1" s="2" t="s">
        <v>46</v>
      </c>
      <c r="R1" s="2" t="s">
        <v>6</v>
      </c>
    </row>
    <row r="2" spans="1:18">
      <c r="A2" s="2" t="s">
        <v>47</v>
      </c>
      <c r="B2" s="3">
        <v>43713</v>
      </c>
      <c r="C2" s="9">
        <f>YEAR(Orders_Table[[#This Row],[Order Date]])</f>
        <v>2019</v>
      </c>
      <c r="D2" s="9">
        <f>MONTH(Orders_Table[[#This Row],[Order Date]])</f>
        <v>9</v>
      </c>
      <c r="E2" s="9" t="str" cm="1">
        <f t="array" ref="E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2" s="2" t="s">
        <v>48</v>
      </c>
      <c r="G2" t="s">
        <v>49</v>
      </c>
      <c r="H2" s="2">
        <v>2</v>
      </c>
      <c r="I2" s="2" t="str" cm="1">
        <f t="array" ref="I2">_xlfn.XLOOKUP(F2,Customers!A1:$A$1001,Customers!B1:$B$1001,"Not Found",0)</f>
        <v>Aloisia Allner</v>
      </c>
      <c r="J2" s="2" t="str" cm="1">
        <f t="array" ref="J2">IF(_xlfn.XLOOKUP(F2,Customers!A1:$A$1001,Customers!C1:$C$1001,"Not Found",0)=0,"",_xlfn.XLOOKUP(F2,Customers!A1:$A$1001,Customers!C1:$C$1001,"Not Found",0))</f>
        <v>aallner0@lulu.com</v>
      </c>
      <c r="K2" s="2" t="str" cm="1">
        <f t="array" ref="K2">_xlfn.XLOOKUP(F2,Customers!A1:$A$1001,Customers!G1:$G$1001,"Not Found",0)</f>
        <v>United States</v>
      </c>
      <c r="L2" t="str">
        <f>INDEX(Products!$A$1:$G$49,MATCH(Orders!$G2,Products!$A$1:$A$49,0),MATCH(Orders!L$1,Products!$A$1:$G$1,0))</f>
        <v>Rob</v>
      </c>
      <c r="M2" t="str">
        <f>INDEX(Products!$A$1:$G$49,MATCH(Orders!$G2,Products!$A$1:$A$49,0),MATCH(Orders!M$1,Products!$A$1:$G$1,0))</f>
        <v>M</v>
      </c>
      <c r="N2" s="4">
        <f>INDEX(Products!$A$1:$G$49,MATCH(Orders!$G2,Products!$A$1:$A$49,0),MATCH(Orders!N$1,Products!$A$1:$G$1,0))</f>
        <v>1</v>
      </c>
      <c r="O2" s="7">
        <f>INDEX(Products!$A$1:$G$49,MATCH(Orders!$G2,Products!$A$1:$A$49,0),MATCH(Orders!O$1,Products!$A$1:$G$1,0))</f>
        <v>9.9499999999999993</v>
      </c>
      <c r="P2" s="7">
        <f>O2*H2</f>
        <v>19.899999999999999</v>
      </c>
      <c r="Q2" t="str" cm="1">
        <f t="array" ref="Q2">_xlfn.IFS(L2="Rob","Robusta",L2="Exc", "Excelsa",L2="Ara", "Arabica",L2="Lib", "Liberica")</f>
        <v>Robusta</v>
      </c>
      <c r="R2" t="str" cm="1">
        <f t="array" ref="R2">_xlfn.IFS(M2="M","Medium",M2="L","Light",M2="D","Dark")</f>
        <v>Medium</v>
      </c>
    </row>
    <row r="3" spans="1:18">
      <c r="A3" s="2" t="s">
        <v>47</v>
      </c>
      <c r="B3" s="3">
        <v>43713</v>
      </c>
      <c r="C3" s="9">
        <f>YEAR(Orders_Table[[#This Row],[Order Date]])</f>
        <v>2019</v>
      </c>
      <c r="D3" s="9">
        <f>MONTH(Orders_Table[[#This Row],[Order Date]])</f>
        <v>9</v>
      </c>
      <c r="E3" s="9" t="str" cm="1">
        <f t="array" ref="E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" s="2" t="s">
        <v>48</v>
      </c>
      <c r="G3" t="s">
        <v>50</v>
      </c>
      <c r="H3" s="2">
        <v>5</v>
      </c>
      <c r="I3" s="2" t="str" cm="1">
        <f t="array" ref="I3">_xlfn.XLOOKUP(F3,Customers!A2:$A$1001,Customers!B2:$B$1001,"Not Found",0)</f>
        <v>Aloisia Allner</v>
      </c>
      <c r="J3" s="2" t="str" cm="1">
        <f t="array" ref="J3">IF(_xlfn.XLOOKUP(F3,Customers!A2:$A$1001,Customers!C2:$C$1001,"Not Found",0)=0,"",_xlfn.XLOOKUP(F3,Customers!A2:$A$1001,Customers!C2:$C$1001,"Not Found",0))</f>
        <v>aallner0@lulu.com</v>
      </c>
      <c r="K3" s="2" t="str" cm="1">
        <f t="array" ref="K3">_xlfn.XLOOKUP(F3,Customers!A2:$A$1001,Customers!G2:$G$1001,"Not Found",0)</f>
        <v>United States</v>
      </c>
      <c r="L3" t="str">
        <f>INDEX(Products!$A$1:$G$49,MATCH(Orders!$G3,Products!$A$1:$A$49,0),MATCH(Orders!L$1,Products!$A$1:$G$1,0))</f>
        <v>Exc</v>
      </c>
      <c r="M3" t="str">
        <f>INDEX(Products!$A$1:$G$49,MATCH(Orders!$G3,Products!$A$1:$A$49,0),MATCH(Orders!M$1,Products!$A$1:$G$1,0))</f>
        <v>M</v>
      </c>
      <c r="N3" s="4">
        <f>INDEX(Products!$A$1:$G$49,MATCH(Orders!$G3,Products!$A$1:$A$49,0),MATCH(Orders!N$1,Products!$A$1:$G$1,0))</f>
        <v>0.5</v>
      </c>
      <c r="O3" s="7">
        <f>INDEX(Products!$A$1:$G$49,MATCH(Orders!$G3,Products!$A$1:$A$49,0),MATCH(Orders!O$1,Products!$A$1:$G$1,0))</f>
        <v>8.25</v>
      </c>
      <c r="P3" s="7">
        <f t="shared" ref="P3:P66" si="0">O3*H3</f>
        <v>41.25</v>
      </c>
      <c r="Q3" t="str" cm="1">
        <f t="array" ref="Q3">_xlfn.IFS(L3="Rob","Robusta",L3="Exc", "Excelsa",L3="Ara", "Arabica",L3="Lib", "Liberica")</f>
        <v>Excelsa</v>
      </c>
      <c r="R3" t="str" cm="1">
        <f t="array" ref="R3">_xlfn.IFS(M3="M","Medium",M3="L","Light",M3="D","Dark")</f>
        <v>Medium</v>
      </c>
    </row>
    <row r="4" spans="1:18">
      <c r="A4" s="2" t="s">
        <v>51</v>
      </c>
      <c r="B4" s="3">
        <v>44364</v>
      </c>
      <c r="C4" s="9">
        <f>YEAR(Orders_Table[[#This Row],[Order Date]])</f>
        <v>2021</v>
      </c>
      <c r="D4" s="9">
        <f>MONTH(Orders_Table[[#This Row],[Order Date]])</f>
        <v>6</v>
      </c>
      <c r="E4" s="9" t="str" cm="1">
        <f t="array" ref="E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" s="2" t="s">
        <v>52</v>
      </c>
      <c r="G4" t="s">
        <v>53</v>
      </c>
      <c r="H4" s="2">
        <v>1</v>
      </c>
      <c r="I4" s="2" t="str" cm="1">
        <f t="array" ref="I4">_xlfn.XLOOKUP(F4,Customers!A3:$A$1001,Customers!B3:$B$1001,"Not Found",0)</f>
        <v>Jami Redholes</v>
      </c>
      <c r="J4" s="2" t="str" cm="1">
        <f t="array" ref="J4">IF(_xlfn.XLOOKUP(F4,Customers!A3:$A$1001,Customers!C3:$C$1001,"Not Found",0)=0,"",_xlfn.XLOOKUP(F4,Customers!A3:$A$1001,Customers!C3:$C$1001,"Not Found",0))</f>
        <v>jredholes2@tmall.com</v>
      </c>
      <c r="K4" s="2" t="str" cm="1">
        <f t="array" ref="K4">_xlfn.XLOOKUP(F4,Customers!A3:$A$1001,Customers!G3:$G$1001,"Not Found",0)</f>
        <v>United States</v>
      </c>
      <c r="L4" t="str">
        <f>INDEX(Products!$A$1:$G$49,MATCH(Orders!$G4,Products!$A$1:$A$49,0),MATCH(Orders!L$1,Products!$A$1:$G$1,0))</f>
        <v>Ara</v>
      </c>
      <c r="M4" t="str">
        <f>INDEX(Products!$A$1:$G$49,MATCH(Orders!$G4,Products!$A$1:$A$49,0),MATCH(Orders!M$1,Products!$A$1:$G$1,0))</f>
        <v>L</v>
      </c>
      <c r="N4" s="4">
        <f>INDEX(Products!$A$1:$G$49,MATCH(Orders!$G4,Products!$A$1:$A$49,0),MATCH(Orders!N$1,Products!$A$1:$G$1,0))</f>
        <v>1</v>
      </c>
      <c r="O4" s="7">
        <f>INDEX(Products!$A$1:$G$49,MATCH(Orders!$G4,Products!$A$1:$A$49,0),MATCH(Orders!O$1,Products!$A$1:$G$1,0))</f>
        <v>12.95</v>
      </c>
      <c r="P4" s="7">
        <f t="shared" si="0"/>
        <v>12.95</v>
      </c>
      <c r="Q4" t="str" cm="1">
        <f t="array" ref="Q4">_xlfn.IFS(L4="Rob","Robusta",L4="Exc", "Excelsa",L4="Ara", "Arabica",L4="Lib", "Liberica")</f>
        <v>Arabica</v>
      </c>
      <c r="R4" t="str" cm="1">
        <f t="array" ref="R4">_xlfn.IFS(M4="M","Medium",M4="L","Light",M4="D","Dark")</f>
        <v>Light</v>
      </c>
    </row>
    <row r="5" spans="1:18">
      <c r="A5" s="2" t="s">
        <v>54</v>
      </c>
      <c r="B5" s="3">
        <v>44392</v>
      </c>
      <c r="C5" s="9">
        <f>YEAR(Orders_Table[[#This Row],[Order Date]])</f>
        <v>2021</v>
      </c>
      <c r="D5" s="9">
        <f>MONTH(Orders_Table[[#This Row],[Order Date]])</f>
        <v>7</v>
      </c>
      <c r="E5" s="9" t="str" cm="1">
        <f t="array" ref="E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" s="2" t="s">
        <v>55</v>
      </c>
      <c r="G5" t="s">
        <v>56</v>
      </c>
      <c r="H5" s="2">
        <v>2</v>
      </c>
      <c r="I5" s="2" t="str" cm="1">
        <f t="array" ref="I5">_xlfn.XLOOKUP(F5,Customers!A4:$A$1001,Customers!B4:$B$1001,"Not Found",0)</f>
        <v>Christoffer O' Shea</v>
      </c>
      <c r="J5" s="2" t="str" cm="1">
        <f t="array" ref="J5">IF(_xlfn.XLOOKUP(F5,Customers!A4:$A$1001,Customers!C4:$C$1001,"Not Found",0)=0,"",_xlfn.XLOOKUP(F5,Customers!A4:$A$1001,Customers!C4:$C$1001,"Not Found",0))</f>
        <v/>
      </c>
      <c r="K5" s="2" t="str" cm="1">
        <f t="array" ref="K5">_xlfn.XLOOKUP(F5,Customers!A4:$A$1001,Customers!G4:$G$1001,"Not Found",0)</f>
        <v>Ireland</v>
      </c>
      <c r="L5" t="str">
        <f>INDEX(Products!$A$1:$G$49,MATCH(Orders!$G5,Products!$A$1:$A$49,0),MATCH(Orders!L$1,Products!$A$1:$G$1,0))</f>
        <v>Exc</v>
      </c>
      <c r="M5" t="str">
        <f>INDEX(Products!$A$1:$G$49,MATCH(Orders!$G5,Products!$A$1:$A$49,0),MATCH(Orders!M$1,Products!$A$1:$G$1,0))</f>
        <v>M</v>
      </c>
      <c r="N5" s="4">
        <f>INDEX(Products!$A$1:$G$49,MATCH(Orders!$G5,Products!$A$1:$A$49,0),MATCH(Orders!N$1,Products!$A$1:$G$1,0))</f>
        <v>1</v>
      </c>
      <c r="O5" s="7">
        <f>INDEX(Products!$A$1:$G$49,MATCH(Orders!$G5,Products!$A$1:$A$49,0),MATCH(Orders!O$1,Products!$A$1:$G$1,0))</f>
        <v>13.75</v>
      </c>
      <c r="P5" s="7">
        <f t="shared" si="0"/>
        <v>27.5</v>
      </c>
      <c r="Q5" t="str" cm="1">
        <f t="array" ref="Q5">_xlfn.IFS(L5="Rob","Robusta",L5="Exc", "Excelsa",L5="Ara", "Arabica",L5="Lib", "Liberica")</f>
        <v>Excelsa</v>
      </c>
      <c r="R5" t="str" cm="1">
        <f t="array" ref="R5">_xlfn.IFS(M5="M","Medium",M5="L","Light",M5="D","Dark")</f>
        <v>Medium</v>
      </c>
    </row>
    <row r="6" spans="1:18">
      <c r="A6" s="2" t="s">
        <v>54</v>
      </c>
      <c r="B6" s="3">
        <v>44392</v>
      </c>
      <c r="C6" s="9">
        <f>YEAR(Orders_Table[[#This Row],[Order Date]])</f>
        <v>2021</v>
      </c>
      <c r="D6" s="9">
        <f>MONTH(Orders_Table[[#This Row],[Order Date]])</f>
        <v>7</v>
      </c>
      <c r="E6" s="9" t="str" cm="1">
        <f t="array" ref="E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" s="2" t="s">
        <v>55</v>
      </c>
      <c r="G6" t="s">
        <v>57</v>
      </c>
      <c r="H6" s="2">
        <v>2</v>
      </c>
      <c r="I6" s="2" t="str" cm="1">
        <f t="array" ref="I6">_xlfn.XLOOKUP(F6,Customers!A5:$A$1001,Customers!B5:$B$1001,"Not Found",0)</f>
        <v>Christoffer O' Shea</v>
      </c>
      <c r="J6" s="2" t="str" cm="1">
        <f t="array" ref="J6">IF(_xlfn.XLOOKUP(F6,Customers!A5:$A$1001,Customers!C5:$C$1001,"Not Found",0)=0,"",_xlfn.XLOOKUP(F6,Customers!A5:$A$1001,Customers!C5:$C$1001,"Not Found",0))</f>
        <v/>
      </c>
      <c r="K6" s="2" t="str" cm="1">
        <f t="array" ref="K6">_xlfn.XLOOKUP(F6,Customers!A5:$A$1001,Customers!G5:$G$1001,"Not Found",0)</f>
        <v>Ireland</v>
      </c>
      <c r="L6" t="str">
        <f>INDEX(Products!$A$1:$G$49,MATCH(Orders!$G6,Products!$A$1:$A$49,0),MATCH(Orders!L$1,Products!$A$1:$G$1,0))</f>
        <v>Rob</v>
      </c>
      <c r="M6" t="str">
        <f>INDEX(Products!$A$1:$G$49,MATCH(Orders!$G6,Products!$A$1:$A$49,0),MATCH(Orders!M$1,Products!$A$1:$G$1,0))</f>
        <v>L</v>
      </c>
      <c r="N6" s="4">
        <f>INDEX(Products!$A$1:$G$49,MATCH(Orders!$G6,Products!$A$1:$A$49,0),MATCH(Orders!N$1,Products!$A$1:$G$1,0))</f>
        <v>2.5</v>
      </c>
      <c r="O6" s="7">
        <f>INDEX(Products!$A$1:$G$49,MATCH(Orders!$G6,Products!$A$1:$A$49,0),MATCH(Orders!O$1,Products!$A$1:$G$1,0))</f>
        <v>27.484999999999996</v>
      </c>
      <c r="P6" s="7">
        <f t="shared" si="0"/>
        <v>54.969999999999992</v>
      </c>
      <c r="Q6" t="str" cm="1">
        <f t="array" ref="Q6">_xlfn.IFS(L6="Rob","Robusta",L6="Exc", "Excelsa",L6="Ara", "Arabica",L6="Lib", "Liberica")</f>
        <v>Robusta</v>
      </c>
      <c r="R6" t="str" cm="1">
        <f t="array" ref="R6">_xlfn.IFS(M6="M","Medium",M6="L","Light",M6="D","Dark")</f>
        <v>Light</v>
      </c>
    </row>
    <row r="7" spans="1:18">
      <c r="A7" s="2" t="s">
        <v>58</v>
      </c>
      <c r="B7" s="3">
        <v>44412</v>
      </c>
      <c r="C7" s="9">
        <f>YEAR(Orders_Table[[#This Row],[Order Date]])</f>
        <v>2021</v>
      </c>
      <c r="D7" s="9">
        <f>MONTH(Orders_Table[[#This Row],[Order Date]])</f>
        <v>8</v>
      </c>
      <c r="E7" s="9" t="str" cm="1">
        <f t="array" ref="E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7" s="2" t="s">
        <v>59</v>
      </c>
      <c r="G7" t="s">
        <v>60</v>
      </c>
      <c r="H7" s="2">
        <v>3</v>
      </c>
      <c r="I7" s="2" t="str" cm="1">
        <f t="array" ref="I7">_xlfn.XLOOKUP(F7,Customers!A6:$A$1001,Customers!B6:$B$1001,"Not Found",0)</f>
        <v>Beryle Cottier</v>
      </c>
      <c r="J7" s="2" t="str" cm="1">
        <f t="array" ref="J7">IF(_xlfn.XLOOKUP(F7,Customers!A6:$A$1001,Customers!C6:$C$1001,"Not Found",0)=0,"",_xlfn.XLOOKUP(F7,Customers!A6:$A$1001,Customers!C6:$C$1001,"Not Found",0))</f>
        <v/>
      </c>
      <c r="K7" s="2" t="str" cm="1">
        <f t="array" ref="K7">_xlfn.XLOOKUP(F7,Customers!A6:$A$1001,Customers!G6:$G$1001,"Not Found",0)</f>
        <v>United States</v>
      </c>
      <c r="L7" t="str">
        <f>INDEX(Products!$A$1:$G$49,MATCH(Orders!$G7,Products!$A$1:$A$49,0),MATCH(Orders!L$1,Products!$A$1:$G$1,0))</f>
        <v>Lib</v>
      </c>
      <c r="M7" t="str">
        <f>INDEX(Products!$A$1:$G$49,MATCH(Orders!$G7,Products!$A$1:$A$49,0),MATCH(Orders!M$1,Products!$A$1:$G$1,0))</f>
        <v>D</v>
      </c>
      <c r="N7" s="4">
        <f>INDEX(Products!$A$1:$G$49,MATCH(Orders!$G7,Products!$A$1:$A$49,0),MATCH(Orders!N$1,Products!$A$1:$G$1,0))</f>
        <v>1</v>
      </c>
      <c r="O7" s="7">
        <f>INDEX(Products!$A$1:$G$49,MATCH(Orders!$G7,Products!$A$1:$A$49,0),MATCH(Orders!O$1,Products!$A$1:$G$1,0))</f>
        <v>12.95</v>
      </c>
      <c r="P7" s="7">
        <f t="shared" si="0"/>
        <v>38.849999999999994</v>
      </c>
      <c r="Q7" t="str" cm="1">
        <f t="array" ref="Q7">_xlfn.IFS(L7="Rob","Robusta",L7="Exc", "Excelsa",L7="Ara", "Arabica",L7="Lib", "Liberica")</f>
        <v>Liberica</v>
      </c>
      <c r="R7" t="str" cm="1">
        <f t="array" ref="R7">_xlfn.IFS(M7="M","Medium",M7="L","Light",M7="D","Dark")</f>
        <v>Dark</v>
      </c>
    </row>
    <row r="8" spans="1:18">
      <c r="A8" s="2" t="s">
        <v>61</v>
      </c>
      <c r="B8" s="3">
        <v>44582</v>
      </c>
      <c r="C8" s="9">
        <f>YEAR(Orders_Table[[#This Row],[Order Date]])</f>
        <v>2022</v>
      </c>
      <c r="D8" s="9">
        <f>MONTH(Orders_Table[[#This Row],[Order Date]])</f>
        <v>1</v>
      </c>
      <c r="E8" s="9" t="str" cm="1">
        <f t="array" ref="E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" s="2" t="s">
        <v>62</v>
      </c>
      <c r="G8" t="s">
        <v>63</v>
      </c>
      <c r="H8" s="2">
        <v>3</v>
      </c>
      <c r="I8" s="2" t="str" cm="1">
        <f t="array" ref="I8">_xlfn.XLOOKUP(F8,Customers!A7:$A$1001,Customers!B7:$B$1001,"Not Found",0)</f>
        <v>Shaylynn Lobe</v>
      </c>
      <c r="J8" s="2" t="str" cm="1">
        <f t="array" ref="J8">IF(_xlfn.XLOOKUP(F8,Customers!A7:$A$1001,Customers!C7:$C$1001,"Not Found",0)=0,"",_xlfn.XLOOKUP(F8,Customers!A7:$A$1001,Customers!C7:$C$1001,"Not Found",0))</f>
        <v>slobe6@nifty.com</v>
      </c>
      <c r="K8" s="2" t="str" cm="1">
        <f t="array" ref="K8">_xlfn.XLOOKUP(F8,Customers!A7:$A$1001,Customers!G7:$G$1001,"Not Found",0)</f>
        <v>United States</v>
      </c>
      <c r="L8" t="str">
        <f>INDEX(Products!$A$1:$G$49,MATCH(Orders!$G8,Products!$A$1:$A$49,0),MATCH(Orders!L$1,Products!$A$1:$G$1,0))</f>
        <v>Exc</v>
      </c>
      <c r="M8" t="str">
        <f>INDEX(Products!$A$1:$G$49,MATCH(Orders!$G8,Products!$A$1:$A$49,0),MATCH(Orders!M$1,Products!$A$1:$G$1,0))</f>
        <v>D</v>
      </c>
      <c r="N8" s="4">
        <f>INDEX(Products!$A$1:$G$49,MATCH(Orders!$G8,Products!$A$1:$A$49,0),MATCH(Orders!N$1,Products!$A$1:$G$1,0))</f>
        <v>0.5</v>
      </c>
      <c r="O8" s="7">
        <f>INDEX(Products!$A$1:$G$49,MATCH(Orders!$G8,Products!$A$1:$A$49,0),MATCH(Orders!O$1,Products!$A$1:$G$1,0))</f>
        <v>7.29</v>
      </c>
      <c r="P8" s="7">
        <f t="shared" si="0"/>
        <v>21.87</v>
      </c>
      <c r="Q8" t="str" cm="1">
        <f t="array" ref="Q8">_xlfn.IFS(L8="Rob","Robusta",L8="Exc", "Excelsa",L8="Ara", "Arabica",L8="Lib", "Liberica")</f>
        <v>Excelsa</v>
      </c>
      <c r="R8" t="str" cm="1">
        <f t="array" ref="R8">_xlfn.IFS(M8="M","Medium",M8="L","Light",M8="D","Dark")</f>
        <v>Dark</v>
      </c>
    </row>
    <row r="9" spans="1:18">
      <c r="A9" s="2" t="s">
        <v>64</v>
      </c>
      <c r="B9" s="3">
        <v>44701</v>
      </c>
      <c r="C9" s="9">
        <f>YEAR(Orders_Table[[#This Row],[Order Date]])</f>
        <v>2022</v>
      </c>
      <c r="D9" s="9">
        <f>MONTH(Orders_Table[[#This Row],[Order Date]])</f>
        <v>5</v>
      </c>
      <c r="E9" s="9" t="str" cm="1">
        <f t="array" ref="E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" s="2" t="s">
        <v>65</v>
      </c>
      <c r="G9" t="s">
        <v>66</v>
      </c>
      <c r="H9" s="2">
        <v>1</v>
      </c>
      <c r="I9" s="2" t="str" cm="1">
        <f t="array" ref="I9">_xlfn.XLOOKUP(F9,Customers!A8:$A$1001,Customers!B8:$B$1001,"Not Found",0)</f>
        <v>Melvin Wharfe</v>
      </c>
      <c r="J9" s="2" t="str" cm="1">
        <f t="array" ref="J9">IF(_xlfn.XLOOKUP(F9,Customers!A8:$A$1001,Customers!C8:$C$1001,"Not Found",0)=0,"",_xlfn.XLOOKUP(F9,Customers!A8:$A$1001,Customers!C8:$C$1001,"Not Found",0))</f>
        <v/>
      </c>
      <c r="K9" s="2" t="str" cm="1">
        <f t="array" ref="K9">_xlfn.XLOOKUP(F9,Customers!A8:$A$1001,Customers!G8:$G$1001,"Not Found",0)</f>
        <v>Ireland</v>
      </c>
      <c r="L9" t="str">
        <f>INDEX(Products!$A$1:$G$49,MATCH(Orders!$G9,Products!$A$1:$A$49,0),MATCH(Orders!L$1,Products!$A$1:$G$1,0))</f>
        <v>Lib</v>
      </c>
      <c r="M9" t="str">
        <f>INDEX(Products!$A$1:$G$49,MATCH(Orders!$G9,Products!$A$1:$A$49,0),MATCH(Orders!M$1,Products!$A$1:$G$1,0))</f>
        <v>L</v>
      </c>
      <c r="N9" s="4">
        <f>INDEX(Products!$A$1:$G$49,MATCH(Orders!$G9,Products!$A$1:$A$49,0),MATCH(Orders!N$1,Products!$A$1:$G$1,0))</f>
        <v>0.2</v>
      </c>
      <c r="O9" s="7">
        <f>INDEX(Products!$A$1:$G$49,MATCH(Orders!$G9,Products!$A$1:$A$49,0),MATCH(Orders!O$1,Products!$A$1:$G$1,0))</f>
        <v>4.7549999999999999</v>
      </c>
      <c r="P9" s="7">
        <f t="shared" si="0"/>
        <v>4.7549999999999999</v>
      </c>
      <c r="Q9" t="str" cm="1">
        <f t="array" ref="Q9">_xlfn.IFS(L9="Rob","Robusta",L9="Exc", "Excelsa",L9="Ara", "Arabica",L9="Lib", "Liberica")</f>
        <v>Liberica</v>
      </c>
      <c r="R9" t="str" cm="1">
        <f t="array" ref="R9">_xlfn.IFS(M9="M","Medium",M9="L","Light",M9="D","Dark")</f>
        <v>Light</v>
      </c>
    </row>
    <row r="10" spans="1:18">
      <c r="A10" s="2" t="s">
        <v>67</v>
      </c>
      <c r="B10" s="3">
        <v>43467</v>
      </c>
      <c r="C10" s="9">
        <f>YEAR(Orders_Table[[#This Row],[Order Date]])</f>
        <v>2019</v>
      </c>
      <c r="D10" s="9">
        <f>MONTH(Orders_Table[[#This Row],[Order Date]])</f>
        <v>1</v>
      </c>
      <c r="E10" s="9" t="str" cm="1">
        <f t="array" ref="E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10" s="2" t="s">
        <v>68</v>
      </c>
      <c r="G10" t="s">
        <v>69</v>
      </c>
      <c r="H10" s="2">
        <v>3</v>
      </c>
      <c r="I10" s="2" t="str" cm="1">
        <f t="array" ref="I10">_xlfn.XLOOKUP(F10,Customers!A9:$A$1001,Customers!B9:$B$1001,"Not Found",0)</f>
        <v>Guthrey Petracci</v>
      </c>
      <c r="J10" s="2" t="str" cm="1">
        <f t="array" ref="J10">IF(_xlfn.XLOOKUP(F10,Customers!A9:$A$1001,Customers!C9:$C$1001,"Not Found",0)=0,"",_xlfn.XLOOKUP(F10,Customers!A9:$A$1001,Customers!C9:$C$1001,"Not Found",0))</f>
        <v>gpetracci8@livejournal.com</v>
      </c>
      <c r="K10" s="2" t="str" cm="1">
        <f t="array" ref="K10">_xlfn.XLOOKUP(F10,Customers!A9:$A$1001,Customers!G9:$G$1001,"Not Found",0)</f>
        <v>United States</v>
      </c>
      <c r="L10" t="str">
        <f>INDEX(Products!$A$1:$G$49,MATCH(Orders!$G10,Products!$A$1:$A$49,0),MATCH(Orders!L$1,Products!$A$1:$G$1,0))</f>
        <v>Rob</v>
      </c>
      <c r="M10" t="str">
        <f>INDEX(Products!$A$1:$G$49,MATCH(Orders!$G10,Products!$A$1:$A$49,0),MATCH(Orders!M$1,Products!$A$1:$G$1,0))</f>
        <v>M</v>
      </c>
      <c r="N10" s="4">
        <f>INDEX(Products!$A$1:$G$49,MATCH(Orders!$G10,Products!$A$1:$A$49,0),MATCH(Orders!N$1,Products!$A$1:$G$1,0))</f>
        <v>0.5</v>
      </c>
      <c r="O10" s="7">
        <f>INDEX(Products!$A$1:$G$49,MATCH(Orders!$G10,Products!$A$1:$A$49,0),MATCH(Orders!O$1,Products!$A$1:$G$1,0))</f>
        <v>5.97</v>
      </c>
      <c r="P10" s="7">
        <f t="shared" si="0"/>
        <v>17.91</v>
      </c>
      <c r="Q10" t="str" cm="1">
        <f t="array" ref="Q10">_xlfn.IFS(L10="Rob","Robusta",L10="Exc", "Excelsa",L10="Ara", "Arabica",L10="Lib", "Liberica")</f>
        <v>Robusta</v>
      </c>
      <c r="R10" t="str" cm="1">
        <f t="array" ref="R10">_xlfn.IFS(M10="M","Medium",M10="L","Light",M10="D","Dark")</f>
        <v>Medium</v>
      </c>
    </row>
    <row r="11" spans="1:18">
      <c r="A11" s="2" t="s">
        <v>70</v>
      </c>
      <c r="B11" s="3">
        <v>43713</v>
      </c>
      <c r="C11" s="9">
        <f>YEAR(Orders_Table[[#This Row],[Order Date]])</f>
        <v>2019</v>
      </c>
      <c r="D11" s="9">
        <f>MONTH(Orders_Table[[#This Row],[Order Date]])</f>
        <v>9</v>
      </c>
      <c r="E11" s="9" t="str" cm="1">
        <f t="array" ref="E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11" s="2" t="s">
        <v>71</v>
      </c>
      <c r="G11" t="s">
        <v>69</v>
      </c>
      <c r="H11" s="2">
        <v>1</v>
      </c>
      <c r="I11" s="2" t="str" cm="1">
        <f t="array" ref="I11">_xlfn.XLOOKUP(F11,Customers!A10:$A$1001,Customers!B10:$B$1001,"Not Found",0)</f>
        <v>Rodger Raven</v>
      </c>
      <c r="J11" s="2" t="str" cm="1">
        <f t="array" ref="J11">IF(_xlfn.XLOOKUP(F11,Customers!A10:$A$1001,Customers!C10:$C$1001,"Not Found",0)=0,"",_xlfn.XLOOKUP(F11,Customers!A10:$A$1001,Customers!C10:$C$1001,"Not Found",0))</f>
        <v>rraven9@ed.gov</v>
      </c>
      <c r="K11" s="2" t="str" cm="1">
        <f t="array" ref="K11">_xlfn.XLOOKUP(F11,Customers!A10:$A$1001,Customers!G10:$G$1001,"Not Found",0)</f>
        <v>United States</v>
      </c>
      <c r="L11" t="str">
        <f>INDEX(Products!$A$1:$G$49,MATCH(Orders!$G11,Products!$A$1:$A$49,0),MATCH(Orders!L$1,Products!$A$1:$G$1,0))</f>
        <v>Rob</v>
      </c>
      <c r="M11" t="str">
        <f>INDEX(Products!$A$1:$G$49,MATCH(Orders!$G11,Products!$A$1:$A$49,0),MATCH(Orders!M$1,Products!$A$1:$G$1,0))</f>
        <v>M</v>
      </c>
      <c r="N11" s="4">
        <f>INDEX(Products!$A$1:$G$49,MATCH(Orders!$G11,Products!$A$1:$A$49,0),MATCH(Orders!N$1,Products!$A$1:$G$1,0))</f>
        <v>0.5</v>
      </c>
      <c r="O11" s="7">
        <f>INDEX(Products!$A$1:$G$49,MATCH(Orders!$G11,Products!$A$1:$A$49,0),MATCH(Orders!O$1,Products!$A$1:$G$1,0))</f>
        <v>5.97</v>
      </c>
      <c r="P11" s="7">
        <f t="shared" si="0"/>
        <v>5.97</v>
      </c>
      <c r="Q11" t="str" cm="1">
        <f t="array" ref="Q11">_xlfn.IFS(L11="Rob","Robusta",L11="Exc", "Excelsa",L11="Ara", "Arabica",L11="Lib", "Liberica")</f>
        <v>Robusta</v>
      </c>
      <c r="R11" t="str" cm="1">
        <f t="array" ref="R11">_xlfn.IFS(M11="M","Medium",M11="L","Light",M11="D","Dark")</f>
        <v>Medium</v>
      </c>
    </row>
    <row r="12" spans="1:18">
      <c r="A12" s="2" t="s">
        <v>72</v>
      </c>
      <c r="B12" s="3">
        <v>44263</v>
      </c>
      <c r="C12" s="9">
        <f>YEAR(Orders_Table[[#This Row],[Order Date]])</f>
        <v>2021</v>
      </c>
      <c r="D12" s="9">
        <f>MONTH(Orders_Table[[#This Row],[Order Date]])</f>
        <v>3</v>
      </c>
      <c r="E12" s="9" t="str" cm="1">
        <f t="array" ref="E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2" s="2" t="s">
        <v>73</v>
      </c>
      <c r="G12" t="s">
        <v>74</v>
      </c>
      <c r="H12" s="2">
        <v>4</v>
      </c>
      <c r="I12" s="2" t="str" cm="1">
        <f t="array" ref="I12">_xlfn.XLOOKUP(F12,Customers!A11:$A$1001,Customers!B11:$B$1001,"Not Found",0)</f>
        <v>Ferrell Ferber</v>
      </c>
      <c r="J12" s="2" t="str" cm="1">
        <f t="array" ref="J12">IF(_xlfn.XLOOKUP(F12,Customers!A11:$A$1001,Customers!C11:$C$1001,"Not Found",0)=0,"",_xlfn.XLOOKUP(F12,Customers!A11:$A$1001,Customers!C11:$C$1001,"Not Found",0))</f>
        <v>fferbera@businesswire.com</v>
      </c>
      <c r="K12" s="2" t="str" cm="1">
        <f t="array" ref="K12">_xlfn.XLOOKUP(F12,Customers!A11:$A$1001,Customers!G11:$G$1001,"Not Found",0)</f>
        <v>United States</v>
      </c>
      <c r="L12" t="str">
        <f>INDEX(Products!$A$1:$G$49,MATCH(Orders!$G12,Products!$A$1:$A$49,0),MATCH(Orders!L$1,Products!$A$1:$G$1,0))</f>
        <v>Ara</v>
      </c>
      <c r="M12" t="str">
        <f>INDEX(Products!$A$1:$G$49,MATCH(Orders!$G12,Products!$A$1:$A$49,0),MATCH(Orders!M$1,Products!$A$1:$G$1,0))</f>
        <v>D</v>
      </c>
      <c r="N12" s="4">
        <f>INDEX(Products!$A$1:$G$49,MATCH(Orders!$G12,Products!$A$1:$A$49,0),MATCH(Orders!N$1,Products!$A$1:$G$1,0))</f>
        <v>1</v>
      </c>
      <c r="O12" s="7">
        <f>INDEX(Products!$A$1:$G$49,MATCH(Orders!$G12,Products!$A$1:$A$49,0),MATCH(Orders!O$1,Products!$A$1:$G$1,0))</f>
        <v>9.9499999999999993</v>
      </c>
      <c r="P12" s="7">
        <f t="shared" si="0"/>
        <v>39.799999999999997</v>
      </c>
      <c r="Q12" t="str" cm="1">
        <f t="array" ref="Q12">_xlfn.IFS(L12="Rob","Robusta",L12="Exc", "Excelsa",L12="Ara", "Arabica",L12="Lib", "Liberica")</f>
        <v>Arabica</v>
      </c>
      <c r="R12" t="str" cm="1">
        <f t="array" ref="R12">_xlfn.IFS(M12="M","Medium",M12="L","Light",M12="D","Dark")</f>
        <v>Dark</v>
      </c>
    </row>
    <row r="13" spans="1:18">
      <c r="A13" s="2" t="s">
        <v>75</v>
      </c>
      <c r="B13" s="3">
        <v>44132</v>
      </c>
      <c r="C13" s="9">
        <f>YEAR(Orders_Table[[#This Row],[Order Date]])</f>
        <v>2020</v>
      </c>
      <c r="D13" s="9">
        <f>MONTH(Orders_Table[[#This Row],[Order Date]])</f>
        <v>10</v>
      </c>
      <c r="E13" s="9" t="str" cm="1">
        <f t="array" ref="E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3" s="2" t="s">
        <v>76</v>
      </c>
      <c r="G13" t="s">
        <v>77</v>
      </c>
      <c r="H13" s="2">
        <v>5</v>
      </c>
      <c r="I13" s="2" t="str" cm="1">
        <f t="array" ref="I13">_xlfn.XLOOKUP(F13,Customers!A12:$A$1001,Customers!B12:$B$1001,"Not Found",0)</f>
        <v>Duky Phizackerly</v>
      </c>
      <c r="J13" s="2" t="str" cm="1">
        <f t="array" ref="J13">IF(_xlfn.XLOOKUP(F13,Customers!A12:$A$1001,Customers!C12:$C$1001,"Not Found",0)=0,"",_xlfn.XLOOKUP(F13,Customers!A12:$A$1001,Customers!C12:$C$1001,"Not Found",0))</f>
        <v>dphizackerlyb@utexas.edu</v>
      </c>
      <c r="K13" s="2" t="str" cm="1">
        <f t="array" ref="K13">_xlfn.XLOOKUP(F13,Customers!A12:$A$1001,Customers!G12:$G$1001,"Not Found",0)</f>
        <v>United States</v>
      </c>
      <c r="L13" t="str">
        <f>INDEX(Products!$A$1:$G$49,MATCH(Orders!$G13,Products!$A$1:$A$49,0),MATCH(Orders!L$1,Products!$A$1:$G$1,0))</f>
        <v>Exc</v>
      </c>
      <c r="M13" t="str">
        <f>INDEX(Products!$A$1:$G$49,MATCH(Orders!$G13,Products!$A$1:$A$49,0),MATCH(Orders!M$1,Products!$A$1:$G$1,0))</f>
        <v>L</v>
      </c>
      <c r="N13" s="4">
        <f>INDEX(Products!$A$1:$G$49,MATCH(Orders!$G13,Products!$A$1:$A$49,0),MATCH(Orders!N$1,Products!$A$1:$G$1,0))</f>
        <v>2.5</v>
      </c>
      <c r="O13" s="7">
        <f>INDEX(Products!$A$1:$G$49,MATCH(Orders!$G13,Products!$A$1:$A$49,0),MATCH(Orders!O$1,Products!$A$1:$G$1,0))</f>
        <v>34.154999999999994</v>
      </c>
      <c r="P13" s="7">
        <f t="shared" si="0"/>
        <v>170.77499999999998</v>
      </c>
      <c r="Q13" t="str" cm="1">
        <f t="array" ref="Q13">_xlfn.IFS(L13="Rob","Robusta",L13="Exc", "Excelsa",L13="Ara", "Arabica",L13="Lib", "Liberica")</f>
        <v>Excelsa</v>
      </c>
      <c r="R13" t="str" cm="1">
        <f t="array" ref="R13">_xlfn.IFS(M13="M","Medium",M13="L","Light",M13="D","Dark")</f>
        <v>Light</v>
      </c>
    </row>
    <row r="14" spans="1:18">
      <c r="A14" s="2" t="s">
        <v>78</v>
      </c>
      <c r="B14" s="3">
        <v>44744</v>
      </c>
      <c r="C14" s="9">
        <f>YEAR(Orders_Table[[#This Row],[Order Date]])</f>
        <v>2022</v>
      </c>
      <c r="D14" s="9">
        <f>MONTH(Orders_Table[[#This Row],[Order Date]])</f>
        <v>7</v>
      </c>
      <c r="E14" s="9" t="str" cm="1">
        <f t="array" ref="E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4" s="2" t="s">
        <v>79</v>
      </c>
      <c r="G14" t="s">
        <v>49</v>
      </c>
      <c r="H14" s="2">
        <v>5</v>
      </c>
      <c r="I14" s="2" t="str" cm="1">
        <f t="array" ref="I14">_xlfn.XLOOKUP(F14,Customers!A13:$A$1001,Customers!B13:$B$1001,"Not Found",0)</f>
        <v>Rosaleen Scholar</v>
      </c>
      <c r="J14" s="2" t="str" cm="1">
        <f t="array" ref="J14">IF(_xlfn.XLOOKUP(F14,Customers!A13:$A$1001,Customers!C13:$C$1001,"Not Found",0)=0,"",_xlfn.XLOOKUP(F14,Customers!A13:$A$1001,Customers!C13:$C$1001,"Not Found",0))</f>
        <v>rscholarc@nyu.edu</v>
      </c>
      <c r="K14" s="2" t="str" cm="1">
        <f t="array" ref="K14">_xlfn.XLOOKUP(F14,Customers!A13:$A$1001,Customers!G13:$G$1001,"Not Found",0)</f>
        <v>United States</v>
      </c>
      <c r="L14" t="str">
        <f>INDEX(Products!$A$1:$G$49,MATCH(Orders!$G14,Products!$A$1:$A$49,0),MATCH(Orders!L$1,Products!$A$1:$G$1,0))</f>
        <v>Rob</v>
      </c>
      <c r="M14" t="str">
        <f>INDEX(Products!$A$1:$G$49,MATCH(Orders!$G14,Products!$A$1:$A$49,0),MATCH(Orders!M$1,Products!$A$1:$G$1,0))</f>
        <v>M</v>
      </c>
      <c r="N14" s="4">
        <f>INDEX(Products!$A$1:$G$49,MATCH(Orders!$G14,Products!$A$1:$A$49,0),MATCH(Orders!N$1,Products!$A$1:$G$1,0))</f>
        <v>1</v>
      </c>
      <c r="O14" s="7">
        <f>INDEX(Products!$A$1:$G$49,MATCH(Orders!$G14,Products!$A$1:$A$49,0),MATCH(Orders!O$1,Products!$A$1:$G$1,0))</f>
        <v>9.9499999999999993</v>
      </c>
      <c r="P14" s="7">
        <f t="shared" si="0"/>
        <v>49.75</v>
      </c>
      <c r="Q14" t="str" cm="1">
        <f t="array" ref="Q14">_xlfn.IFS(L14="Rob","Robusta",L14="Exc", "Excelsa",L14="Ara", "Arabica",L14="Lib", "Liberica")</f>
        <v>Robusta</v>
      </c>
      <c r="R14" t="str" cm="1">
        <f t="array" ref="R14">_xlfn.IFS(M14="M","Medium",M14="L","Light",M14="D","Dark")</f>
        <v>Medium</v>
      </c>
    </row>
    <row r="15" spans="1:18">
      <c r="A15" s="2" t="s">
        <v>80</v>
      </c>
      <c r="B15" s="3">
        <v>43973</v>
      </c>
      <c r="C15" s="9">
        <f>YEAR(Orders_Table[[#This Row],[Order Date]])</f>
        <v>2020</v>
      </c>
      <c r="D15" s="9">
        <f>MONTH(Orders_Table[[#This Row],[Order Date]])</f>
        <v>5</v>
      </c>
      <c r="E15" s="9" t="str" cm="1">
        <f t="array" ref="E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5" s="2" t="s">
        <v>81</v>
      </c>
      <c r="G15" t="s">
        <v>82</v>
      </c>
      <c r="H15" s="2">
        <v>2</v>
      </c>
      <c r="I15" s="2" t="str" cm="1">
        <f t="array" ref="I15">_xlfn.XLOOKUP(F15,Customers!A14:$A$1001,Customers!B14:$B$1001,"Not Found",0)</f>
        <v>Terence Vanyutin</v>
      </c>
      <c r="J15" s="2" t="str" cm="1">
        <f t="array" ref="J15">IF(_xlfn.XLOOKUP(F15,Customers!A14:$A$1001,Customers!C14:$C$1001,"Not Found",0)=0,"",_xlfn.XLOOKUP(F15,Customers!A14:$A$1001,Customers!C14:$C$1001,"Not Found",0))</f>
        <v>tvanyutind@wix.com</v>
      </c>
      <c r="K15" s="2" t="str" cm="1">
        <f t="array" ref="K15">_xlfn.XLOOKUP(F15,Customers!A14:$A$1001,Customers!G14:$G$1001,"Not Found",0)</f>
        <v>United States</v>
      </c>
      <c r="L15" t="str">
        <f>INDEX(Products!$A$1:$G$49,MATCH(Orders!$G15,Products!$A$1:$A$49,0),MATCH(Orders!L$1,Products!$A$1:$G$1,0))</f>
        <v>Rob</v>
      </c>
      <c r="M15" t="str">
        <f>INDEX(Products!$A$1:$G$49,MATCH(Orders!$G15,Products!$A$1:$A$49,0),MATCH(Orders!M$1,Products!$A$1:$G$1,0))</f>
        <v>D</v>
      </c>
      <c r="N15" s="4">
        <f>INDEX(Products!$A$1:$G$49,MATCH(Orders!$G15,Products!$A$1:$A$49,0),MATCH(Orders!N$1,Products!$A$1:$G$1,0))</f>
        <v>2.5</v>
      </c>
      <c r="O15" s="7">
        <f>INDEX(Products!$A$1:$G$49,MATCH(Orders!$G15,Products!$A$1:$A$49,0),MATCH(Orders!O$1,Products!$A$1:$G$1,0))</f>
        <v>20.584999999999997</v>
      </c>
      <c r="P15" s="7">
        <f t="shared" si="0"/>
        <v>41.169999999999995</v>
      </c>
      <c r="Q15" t="str" cm="1">
        <f t="array" ref="Q15">_xlfn.IFS(L15="Rob","Robusta",L15="Exc", "Excelsa",L15="Ara", "Arabica",L15="Lib", "Liberica")</f>
        <v>Robusta</v>
      </c>
      <c r="R15" t="str" cm="1">
        <f t="array" ref="R15">_xlfn.IFS(M15="M","Medium",M15="L","Light",M15="D","Dark")</f>
        <v>Dark</v>
      </c>
    </row>
    <row r="16" spans="1:18">
      <c r="A16" s="2" t="s">
        <v>83</v>
      </c>
      <c r="B16" s="3">
        <v>44656</v>
      </c>
      <c r="C16" s="9">
        <f>YEAR(Orders_Table[[#This Row],[Order Date]])</f>
        <v>2022</v>
      </c>
      <c r="D16" s="9">
        <f>MONTH(Orders_Table[[#This Row],[Order Date]])</f>
        <v>4</v>
      </c>
      <c r="E16" s="9" t="str" cm="1">
        <f t="array" ref="E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6" s="2" t="s">
        <v>84</v>
      </c>
      <c r="G16" t="s">
        <v>85</v>
      </c>
      <c r="H16" s="2">
        <v>3</v>
      </c>
      <c r="I16" s="2" t="str" cm="1">
        <f t="array" ref="I16">_xlfn.XLOOKUP(F16,Customers!A15:$A$1001,Customers!B15:$B$1001,"Not Found",0)</f>
        <v>Patrice Trobe</v>
      </c>
      <c r="J16" s="2" t="str" cm="1">
        <f t="array" ref="J16">IF(_xlfn.XLOOKUP(F16,Customers!A15:$A$1001,Customers!C15:$C$1001,"Not Found",0)=0,"",_xlfn.XLOOKUP(F16,Customers!A15:$A$1001,Customers!C15:$C$1001,"Not Found",0))</f>
        <v>ptrobee@wunderground.com</v>
      </c>
      <c r="K16" s="2" t="str" cm="1">
        <f t="array" ref="K16">_xlfn.XLOOKUP(F16,Customers!A15:$A$1001,Customers!G15:$G$1001,"Not Found",0)</f>
        <v>United States</v>
      </c>
      <c r="L16" t="str">
        <f>INDEX(Products!$A$1:$G$49,MATCH(Orders!$G16,Products!$A$1:$A$49,0),MATCH(Orders!L$1,Products!$A$1:$G$1,0))</f>
        <v>Lib</v>
      </c>
      <c r="M16" t="str">
        <f>INDEX(Products!$A$1:$G$49,MATCH(Orders!$G16,Products!$A$1:$A$49,0),MATCH(Orders!M$1,Products!$A$1:$G$1,0))</f>
        <v>D</v>
      </c>
      <c r="N16" s="4">
        <f>INDEX(Products!$A$1:$G$49,MATCH(Orders!$G16,Products!$A$1:$A$49,0),MATCH(Orders!N$1,Products!$A$1:$G$1,0))</f>
        <v>0.2</v>
      </c>
      <c r="O16" s="7">
        <f>INDEX(Products!$A$1:$G$49,MATCH(Orders!$G16,Products!$A$1:$A$49,0),MATCH(Orders!O$1,Products!$A$1:$G$1,0))</f>
        <v>3.8849999999999998</v>
      </c>
      <c r="P16" s="7">
        <f t="shared" si="0"/>
        <v>11.654999999999999</v>
      </c>
      <c r="Q16" t="str" cm="1">
        <f t="array" ref="Q16">_xlfn.IFS(L16="Rob","Robusta",L16="Exc", "Excelsa",L16="Ara", "Arabica",L16="Lib", "Liberica")</f>
        <v>Liberica</v>
      </c>
      <c r="R16" t="str" cm="1">
        <f t="array" ref="R16">_xlfn.IFS(M16="M","Medium",M16="L","Light",M16="D","Dark")</f>
        <v>Dark</v>
      </c>
    </row>
    <row r="17" spans="1:18">
      <c r="A17" s="2" t="s">
        <v>86</v>
      </c>
      <c r="B17" s="3">
        <v>44719</v>
      </c>
      <c r="C17" s="9">
        <f>YEAR(Orders_Table[[#This Row],[Order Date]])</f>
        <v>2022</v>
      </c>
      <c r="D17" s="9">
        <f>MONTH(Orders_Table[[#This Row],[Order Date]])</f>
        <v>6</v>
      </c>
      <c r="E17" s="9" t="str" cm="1">
        <f t="array" ref="E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7" s="2" t="s">
        <v>87</v>
      </c>
      <c r="G17" t="s">
        <v>88</v>
      </c>
      <c r="H17" s="2">
        <v>5</v>
      </c>
      <c r="I17" s="2" t="str" cm="1">
        <f t="array" ref="I17">_xlfn.XLOOKUP(F17,Customers!A16:$A$1001,Customers!B16:$B$1001,"Not Found",0)</f>
        <v>Llywellyn Oscroft</v>
      </c>
      <c r="J17" s="2" t="str" cm="1">
        <f t="array" ref="J17">IF(_xlfn.XLOOKUP(F17,Customers!A16:$A$1001,Customers!C16:$C$1001,"Not Found",0)=0,"",_xlfn.XLOOKUP(F17,Customers!A16:$A$1001,Customers!C16:$C$1001,"Not Found",0))</f>
        <v>loscroftf@ebay.co.uk</v>
      </c>
      <c r="K17" s="2" t="str" cm="1">
        <f t="array" ref="K17">_xlfn.XLOOKUP(F17,Customers!A16:$A$1001,Customers!G16:$G$1001,"Not Found",0)</f>
        <v>United States</v>
      </c>
      <c r="L17" t="str">
        <f>INDEX(Products!$A$1:$G$49,MATCH(Orders!$G17,Products!$A$1:$A$49,0),MATCH(Orders!L$1,Products!$A$1:$G$1,0))</f>
        <v>Rob</v>
      </c>
      <c r="M17" t="str">
        <f>INDEX(Products!$A$1:$G$49,MATCH(Orders!$G17,Products!$A$1:$A$49,0),MATCH(Orders!M$1,Products!$A$1:$G$1,0))</f>
        <v>M</v>
      </c>
      <c r="N17" s="4">
        <f>INDEX(Products!$A$1:$G$49,MATCH(Orders!$G17,Products!$A$1:$A$49,0),MATCH(Orders!N$1,Products!$A$1:$G$1,0))</f>
        <v>2.5</v>
      </c>
      <c r="O17" s="7">
        <f>INDEX(Products!$A$1:$G$49,MATCH(Orders!$G17,Products!$A$1:$A$49,0),MATCH(Orders!O$1,Products!$A$1:$G$1,0))</f>
        <v>22.884999999999998</v>
      </c>
      <c r="P17" s="7">
        <f t="shared" si="0"/>
        <v>114.42499999999998</v>
      </c>
      <c r="Q17" t="str" cm="1">
        <f t="array" ref="Q17">_xlfn.IFS(L17="Rob","Robusta",L17="Exc", "Excelsa",L17="Ara", "Arabica",L17="Lib", "Liberica")</f>
        <v>Robusta</v>
      </c>
      <c r="R17" t="str" cm="1">
        <f t="array" ref="R17">_xlfn.IFS(M17="M","Medium",M17="L","Light",M17="D","Dark")</f>
        <v>Medium</v>
      </c>
    </row>
    <row r="18" spans="1:18">
      <c r="A18" s="2" t="s">
        <v>89</v>
      </c>
      <c r="B18" s="3">
        <v>43544</v>
      </c>
      <c r="C18" s="9">
        <f>YEAR(Orders_Table[[#This Row],[Order Date]])</f>
        <v>2019</v>
      </c>
      <c r="D18" s="9">
        <f>MONTH(Orders_Table[[#This Row],[Order Date]])</f>
        <v>3</v>
      </c>
      <c r="E18" s="9" t="str" cm="1">
        <f t="array" ref="E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8" s="2" t="s">
        <v>90</v>
      </c>
      <c r="G18" t="s">
        <v>91</v>
      </c>
      <c r="H18" s="2">
        <v>6</v>
      </c>
      <c r="I18" s="2" t="str" cm="1">
        <f t="array" ref="I18">_xlfn.XLOOKUP(F18,Customers!A17:$A$1001,Customers!B17:$B$1001,"Not Found",0)</f>
        <v>Minni Alabaster</v>
      </c>
      <c r="J18" s="2" t="str" cm="1">
        <f t="array" ref="J18">IF(_xlfn.XLOOKUP(F18,Customers!A17:$A$1001,Customers!C17:$C$1001,"Not Found",0)=0,"",_xlfn.XLOOKUP(F18,Customers!A17:$A$1001,Customers!C17:$C$1001,"Not Found",0))</f>
        <v>malabasterg@hexun.com</v>
      </c>
      <c r="K18" s="2" t="str" cm="1">
        <f t="array" ref="K18">_xlfn.XLOOKUP(F18,Customers!A17:$A$1001,Customers!G17:$G$1001,"Not Found",0)</f>
        <v>United States</v>
      </c>
      <c r="L18" t="str">
        <f>INDEX(Products!$A$1:$G$49,MATCH(Orders!$G18,Products!$A$1:$A$49,0),MATCH(Orders!L$1,Products!$A$1:$G$1,0))</f>
        <v>Ara</v>
      </c>
      <c r="M18" t="str">
        <f>INDEX(Products!$A$1:$G$49,MATCH(Orders!$G18,Products!$A$1:$A$49,0),MATCH(Orders!M$1,Products!$A$1:$G$1,0))</f>
        <v>M</v>
      </c>
      <c r="N18" s="4">
        <f>INDEX(Products!$A$1:$G$49,MATCH(Orders!$G18,Products!$A$1:$A$49,0),MATCH(Orders!N$1,Products!$A$1:$G$1,0))</f>
        <v>0.2</v>
      </c>
      <c r="O18" s="7">
        <f>INDEX(Products!$A$1:$G$49,MATCH(Orders!$G18,Products!$A$1:$A$49,0),MATCH(Orders!O$1,Products!$A$1:$G$1,0))</f>
        <v>3.375</v>
      </c>
      <c r="P18" s="7">
        <f t="shared" si="0"/>
        <v>20.25</v>
      </c>
      <c r="Q18" t="str" cm="1">
        <f t="array" ref="Q18">_xlfn.IFS(L18="Rob","Robusta",L18="Exc", "Excelsa",L18="Ara", "Arabica",L18="Lib", "Liberica")</f>
        <v>Arabica</v>
      </c>
      <c r="R18" t="str" cm="1">
        <f t="array" ref="R18">_xlfn.IFS(M18="M","Medium",M18="L","Light",M18="D","Dark")</f>
        <v>Medium</v>
      </c>
    </row>
    <row r="19" spans="1:18">
      <c r="A19" s="2" t="s">
        <v>92</v>
      </c>
      <c r="B19" s="3">
        <v>43757</v>
      </c>
      <c r="C19" s="9">
        <f>YEAR(Orders_Table[[#This Row],[Order Date]])</f>
        <v>2019</v>
      </c>
      <c r="D19" s="9">
        <f>MONTH(Orders_Table[[#This Row],[Order Date]])</f>
        <v>10</v>
      </c>
      <c r="E19" s="9" t="str" cm="1">
        <f t="array" ref="E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9" s="2" t="s">
        <v>93</v>
      </c>
      <c r="G19" t="s">
        <v>53</v>
      </c>
      <c r="H19" s="2">
        <v>6</v>
      </c>
      <c r="I19" s="2" t="str" cm="1">
        <f t="array" ref="I19">_xlfn.XLOOKUP(F19,Customers!A18:$A$1001,Customers!B18:$B$1001,"Not Found",0)</f>
        <v>Rhianon Broxup</v>
      </c>
      <c r="J19" s="2" t="str" cm="1">
        <f t="array" ref="J19">IF(_xlfn.XLOOKUP(F19,Customers!A18:$A$1001,Customers!C18:$C$1001,"Not Found",0)=0,"",_xlfn.XLOOKUP(F19,Customers!A18:$A$1001,Customers!C18:$C$1001,"Not Found",0))</f>
        <v>rbroxuph@jimdo.com</v>
      </c>
      <c r="K19" s="2" t="str" cm="1">
        <f t="array" ref="K19">_xlfn.XLOOKUP(F19,Customers!A18:$A$1001,Customers!G18:$G$1001,"Not Found",0)</f>
        <v>United States</v>
      </c>
      <c r="L19" t="str">
        <f>INDEX(Products!$A$1:$G$49,MATCH(Orders!$G19,Products!$A$1:$A$49,0),MATCH(Orders!L$1,Products!$A$1:$G$1,0))</f>
        <v>Ara</v>
      </c>
      <c r="M19" t="str">
        <f>INDEX(Products!$A$1:$G$49,MATCH(Orders!$G19,Products!$A$1:$A$49,0),MATCH(Orders!M$1,Products!$A$1:$G$1,0))</f>
        <v>L</v>
      </c>
      <c r="N19" s="4">
        <f>INDEX(Products!$A$1:$G$49,MATCH(Orders!$G19,Products!$A$1:$A$49,0),MATCH(Orders!N$1,Products!$A$1:$G$1,0))</f>
        <v>1</v>
      </c>
      <c r="O19" s="7">
        <f>INDEX(Products!$A$1:$G$49,MATCH(Orders!$G19,Products!$A$1:$A$49,0),MATCH(Orders!O$1,Products!$A$1:$G$1,0))</f>
        <v>12.95</v>
      </c>
      <c r="P19" s="7">
        <f t="shared" si="0"/>
        <v>77.699999999999989</v>
      </c>
      <c r="Q19" t="str" cm="1">
        <f t="array" ref="Q19">_xlfn.IFS(L19="Rob","Robusta",L19="Exc", "Excelsa",L19="Ara", "Arabica",L19="Lib", "Liberica")</f>
        <v>Arabica</v>
      </c>
      <c r="R19" t="str" cm="1">
        <f t="array" ref="R19">_xlfn.IFS(M19="M","Medium",M19="L","Light",M19="D","Dark")</f>
        <v>Light</v>
      </c>
    </row>
    <row r="20" spans="1:18">
      <c r="A20" s="2" t="s">
        <v>94</v>
      </c>
      <c r="B20" s="3">
        <v>43629</v>
      </c>
      <c r="C20" s="9">
        <f>YEAR(Orders_Table[[#This Row],[Order Date]])</f>
        <v>2019</v>
      </c>
      <c r="D20" s="9">
        <f>MONTH(Orders_Table[[#This Row],[Order Date]])</f>
        <v>6</v>
      </c>
      <c r="E20" s="9" t="str" cm="1">
        <f t="array" ref="E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0" s="2" t="s">
        <v>95</v>
      </c>
      <c r="G20" t="s">
        <v>82</v>
      </c>
      <c r="H20" s="2">
        <v>4</v>
      </c>
      <c r="I20" s="2" t="str" cm="1">
        <f t="array" ref="I20">_xlfn.XLOOKUP(F20,Customers!A19:$A$1001,Customers!B19:$B$1001,"Not Found",0)</f>
        <v>Pall Redford</v>
      </c>
      <c r="J20" s="2" t="str" cm="1">
        <f t="array" ref="J20">IF(_xlfn.XLOOKUP(F20,Customers!A19:$A$1001,Customers!C19:$C$1001,"Not Found",0)=0,"",_xlfn.XLOOKUP(F20,Customers!A19:$A$1001,Customers!C19:$C$1001,"Not Found",0))</f>
        <v>predfordi@ow.ly</v>
      </c>
      <c r="K20" s="2" t="str" cm="1">
        <f t="array" ref="K20">_xlfn.XLOOKUP(F20,Customers!A19:$A$1001,Customers!G19:$G$1001,"Not Found",0)</f>
        <v>Ireland</v>
      </c>
      <c r="L20" t="str">
        <f>INDEX(Products!$A$1:$G$49,MATCH(Orders!$G20,Products!$A$1:$A$49,0),MATCH(Orders!L$1,Products!$A$1:$G$1,0))</f>
        <v>Rob</v>
      </c>
      <c r="M20" t="str">
        <f>INDEX(Products!$A$1:$G$49,MATCH(Orders!$G20,Products!$A$1:$A$49,0),MATCH(Orders!M$1,Products!$A$1:$G$1,0))</f>
        <v>D</v>
      </c>
      <c r="N20" s="4">
        <f>INDEX(Products!$A$1:$G$49,MATCH(Orders!$G20,Products!$A$1:$A$49,0),MATCH(Orders!N$1,Products!$A$1:$G$1,0))</f>
        <v>2.5</v>
      </c>
      <c r="O20" s="7">
        <f>INDEX(Products!$A$1:$G$49,MATCH(Orders!$G20,Products!$A$1:$A$49,0),MATCH(Orders!O$1,Products!$A$1:$G$1,0))</f>
        <v>20.584999999999997</v>
      </c>
      <c r="P20" s="7">
        <f t="shared" si="0"/>
        <v>82.339999999999989</v>
      </c>
      <c r="Q20" t="str" cm="1">
        <f t="array" ref="Q20">_xlfn.IFS(L20="Rob","Robusta",L20="Exc", "Excelsa",L20="Ara", "Arabica",L20="Lib", "Liberica")</f>
        <v>Robusta</v>
      </c>
      <c r="R20" t="str" cm="1">
        <f t="array" ref="R20">_xlfn.IFS(M20="M","Medium",M20="L","Light",M20="D","Dark")</f>
        <v>Dark</v>
      </c>
    </row>
    <row r="21" spans="1:18">
      <c r="A21" s="2" t="s">
        <v>96</v>
      </c>
      <c r="B21" s="3">
        <v>44169</v>
      </c>
      <c r="C21" s="9">
        <f>YEAR(Orders_Table[[#This Row],[Order Date]])</f>
        <v>2020</v>
      </c>
      <c r="D21" s="9">
        <f>MONTH(Orders_Table[[#This Row],[Order Date]])</f>
        <v>12</v>
      </c>
      <c r="E21" s="9" t="str" cm="1">
        <f t="array" ref="E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1" s="2" t="s">
        <v>97</v>
      </c>
      <c r="G21" t="s">
        <v>91</v>
      </c>
      <c r="H21" s="2">
        <v>5</v>
      </c>
      <c r="I21" s="2" t="str" cm="1">
        <f t="array" ref="I21">_xlfn.XLOOKUP(F21,Customers!A20:$A$1001,Customers!B20:$B$1001,"Not Found",0)</f>
        <v>Aurea Corradino</v>
      </c>
      <c r="J21" s="2" t="str" cm="1">
        <f t="array" ref="J21">IF(_xlfn.XLOOKUP(F21,Customers!A20:$A$1001,Customers!C20:$C$1001,"Not Found",0)=0,"",_xlfn.XLOOKUP(F21,Customers!A20:$A$1001,Customers!C20:$C$1001,"Not Found",0))</f>
        <v>acorradinoj@harvard.edu</v>
      </c>
      <c r="K21" s="2" t="str" cm="1">
        <f t="array" ref="K21">_xlfn.XLOOKUP(F21,Customers!A20:$A$1001,Customers!G20:$G$1001,"Not Found",0)</f>
        <v>United States</v>
      </c>
      <c r="L21" t="str">
        <f>INDEX(Products!$A$1:$G$49,MATCH(Orders!$G21,Products!$A$1:$A$49,0),MATCH(Orders!L$1,Products!$A$1:$G$1,0))</f>
        <v>Ara</v>
      </c>
      <c r="M21" t="str">
        <f>INDEX(Products!$A$1:$G$49,MATCH(Orders!$G21,Products!$A$1:$A$49,0),MATCH(Orders!M$1,Products!$A$1:$G$1,0))</f>
        <v>M</v>
      </c>
      <c r="N21" s="4">
        <f>INDEX(Products!$A$1:$G$49,MATCH(Orders!$G21,Products!$A$1:$A$49,0),MATCH(Orders!N$1,Products!$A$1:$G$1,0))</f>
        <v>0.2</v>
      </c>
      <c r="O21" s="7">
        <f>INDEX(Products!$A$1:$G$49,MATCH(Orders!$G21,Products!$A$1:$A$49,0),MATCH(Orders!O$1,Products!$A$1:$G$1,0))</f>
        <v>3.375</v>
      </c>
      <c r="P21" s="7">
        <f t="shared" si="0"/>
        <v>16.875</v>
      </c>
      <c r="Q21" t="str" cm="1">
        <f t="array" ref="Q21">_xlfn.IFS(L21="Rob","Robusta",L21="Exc", "Excelsa",L21="Ara", "Arabica",L21="Lib", "Liberica")</f>
        <v>Arabica</v>
      </c>
      <c r="R21" t="str" cm="1">
        <f t="array" ref="R21">_xlfn.IFS(M21="M","Medium",M21="L","Light",M21="D","Dark")</f>
        <v>Medium</v>
      </c>
    </row>
    <row r="22" spans="1:18">
      <c r="A22" s="2" t="s">
        <v>96</v>
      </c>
      <c r="B22" s="3">
        <v>44169</v>
      </c>
      <c r="C22" s="9">
        <f>YEAR(Orders_Table[[#This Row],[Order Date]])</f>
        <v>2020</v>
      </c>
      <c r="D22" s="9">
        <f>MONTH(Orders_Table[[#This Row],[Order Date]])</f>
        <v>12</v>
      </c>
      <c r="E22" s="9" t="str" cm="1">
        <f t="array" ref="E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2" s="2" t="s">
        <v>97</v>
      </c>
      <c r="G22" t="s">
        <v>98</v>
      </c>
      <c r="H22" s="2">
        <v>4</v>
      </c>
      <c r="I22" s="2" t="str" cm="1">
        <f t="array" ref="I22">_xlfn.XLOOKUP(F22,Customers!A21:$A$1001,Customers!B21:$B$1001,"Not Found",0)</f>
        <v>Aurea Corradino</v>
      </c>
      <c r="J22" s="2" t="str" cm="1">
        <f t="array" ref="J22">IF(_xlfn.XLOOKUP(F22,Customers!A21:$A$1001,Customers!C21:$C$1001,"Not Found",0)=0,"",_xlfn.XLOOKUP(F22,Customers!A21:$A$1001,Customers!C21:$C$1001,"Not Found",0))</f>
        <v>acorradinoj@harvard.edu</v>
      </c>
      <c r="K22" s="2" t="str" cm="1">
        <f t="array" ref="K22">_xlfn.XLOOKUP(F22,Customers!A21:$A$1001,Customers!G21:$G$1001,"Not Found",0)</f>
        <v>United States</v>
      </c>
      <c r="L22" t="str">
        <f>INDEX(Products!$A$1:$G$49,MATCH(Orders!$G22,Products!$A$1:$A$49,0),MATCH(Orders!L$1,Products!$A$1:$G$1,0))</f>
        <v>Exc</v>
      </c>
      <c r="M22" t="str">
        <f>INDEX(Products!$A$1:$G$49,MATCH(Orders!$G22,Products!$A$1:$A$49,0),MATCH(Orders!M$1,Products!$A$1:$G$1,0))</f>
        <v>D</v>
      </c>
      <c r="N22" s="4">
        <f>INDEX(Products!$A$1:$G$49,MATCH(Orders!$G22,Products!$A$1:$A$49,0),MATCH(Orders!N$1,Products!$A$1:$G$1,0))</f>
        <v>0.2</v>
      </c>
      <c r="O22" s="7">
        <f>INDEX(Products!$A$1:$G$49,MATCH(Orders!$G22,Products!$A$1:$A$49,0),MATCH(Orders!O$1,Products!$A$1:$G$1,0))</f>
        <v>3.645</v>
      </c>
      <c r="P22" s="7">
        <f t="shared" si="0"/>
        <v>14.58</v>
      </c>
      <c r="Q22" t="str" cm="1">
        <f t="array" ref="Q22">_xlfn.IFS(L22="Rob","Robusta",L22="Exc", "Excelsa",L22="Ara", "Arabica",L22="Lib", "Liberica")</f>
        <v>Excelsa</v>
      </c>
      <c r="R22" t="str" cm="1">
        <f t="array" ref="R22">_xlfn.IFS(M22="M","Medium",M22="L","Light",M22="D","Dark")</f>
        <v>Dark</v>
      </c>
    </row>
    <row r="23" spans="1:18">
      <c r="A23" s="2" t="s">
        <v>99</v>
      </c>
      <c r="B23" s="3">
        <v>44169</v>
      </c>
      <c r="C23" s="9">
        <f>YEAR(Orders_Table[[#This Row],[Order Date]])</f>
        <v>2020</v>
      </c>
      <c r="D23" s="9">
        <f>MONTH(Orders_Table[[#This Row],[Order Date]])</f>
        <v>12</v>
      </c>
      <c r="E23" s="9" t="str" cm="1">
        <f t="array" ref="E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3" s="2" t="s">
        <v>100</v>
      </c>
      <c r="G23" t="s">
        <v>101</v>
      </c>
      <c r="H23" s="2">
        <v>6</v>
      </c>
      <c r="I23" s="2" t="str" cm="1">
        <f t="array" ref="I23">_xlfn.XLOOKUP(F23,Customers!A22:$A$1001,Customers!B22:$B$1001,"Not Found",0)</f>
        <v>Avrit Davidowsky</v>
      </c>
      <c r="J23" s="2" t="str" cm="1">
        <f t="array" ref="J23">IF(_xlfn.XLOOKUP(F23,Customers!A22:$A$1001,Customers!C22:$C$1001,"Not Found",0)=0,"",_xlfn.XLOOKUP(F23,Customers!A22:$A$1001,Customers!C22:$C$1001,"Not Found",0))</f>
        <v>adavidowskyl@netvibes.com</v>
      </c>
      <c r="K23" s="2" t="str" cm="1">
        <f t="array" ref="K23">_xlfn.XLOOKUP(F23,Customers!A22:$A$1001,Customers!G22:$G$1001,"Not Found",0)</f>
        <v>United States</v>
      </c>
      <c r="L23" t="str">
        <f>INDEX(Products!$A$1:$G$49,MATCH(Orders!$G23,Products!$A$1:$A$49,0),MATCH(Orders!L$1,Products!$A$1:$G$1,0))</f>
        <v>Ara</v>
      </c>
      <c r="M23" t="str">
        <f>INDEX(Products!$A$1:$G$49,MATCH(Orders!$G23,Products!$A$1:$A$49,0),MATCH(Orders!M$1,Products!$A$1:$G$1,0))</f>
        <v>D</v>
      </c>
      <c r="N23" s="4">
        <f>INDEX(Products!$A$1:$G$49,MATCH(Orders!$G23,Products!$A$1:$A$49,0),MATCH(Orders!N$1,Products!$A$1:$G$1,0))</f>
        <v>0.2</v>
      </c>
      <c r="O23" s="7">
        <f>INDEX(Products!$A$1:$G$49,MATCH(Orders!$G23,Products!$A$1:$A$49,0),MATCH(Orders!O$1,Products!$A$1:$G$1,0))</f>
        <v>2.9849999999999999</v>
      </c>
      <c r="P23" s="7">
        <f t="shared" si="0"/>
        <v>17.91</v>
      </c>
      <c r="Q23" t="str" cm="1">
        <f t="array" ref="Q23">_xlfn.IFS(L23="Rob","Robusta",L23="Exc", "Excelsa",L23="Ara", "Arabica",L23="Lib", "Liberica")</f>
        <v>Arabica</v>
      </c>
      <c r="R23" t="str" cm="1">
        <f t="array" ref="R23">_xlfn.IFS(M23="M","Medium",M23="L","Light",M23="D","Dark")</f>
        <v>Dark</v>
      </c>
    </row>
    <row r="24" spans="1:18">
      <c r="A24" s="2" t="s">
        <v>102</v>
      </c>
      <c r="B24" s="3">
        <v>44218</v>
      </c>
      <c r="C24" s="9">
        <f>YEAR(Orders_Table[[#This Row],[Order Date]])</f>
        <v>2021</v>
      </c>
      <c r="D24" s="9">
        <f>MONTH(Orders_Table[[#This Row],[Order Date]])</f>
        <v>1</v>
      </c>
      <c r="E24" s="9" t="str" cm="1">
        <f t="array" ref="E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4" s="2" t="s">
        <v>103</v>
      </c>
      <c r="G24" t="s">
        <v>88</v>
      </c>
      <c r="H24" s="2">
        <v>4</v>
      </c>
      <c r="I24" s="2" t="str" cm="1">
        <f t="array" ref="I24">_xlfn.XLOOKUP(F24,Customers!A23:$A$1001,Customers!B23:$B$1001,"Not Found",0)</f>
        <v>Annabel Antuk</v>
      </c>
      <c r="J24" s="2" t="str" cm="1">
        <f t="array" ref="J24">IF(_xlfn.XLOOKUP(F24,Customers!A23:$A$1001,Customers!C23:$C$1001,"Not Found",0)=0,"",_xlfn.XLOOKUP(F24,Customers!A23:$A$1001,Customers!C23:$C$1001,"Not Found",0))</f>
        <v>aantukm@kickstarter.com</v>
      </c>
      <c r="K24" s="2" t="str" cm="1">
        <f t="array" ref="K24">_xlfn.XLOOKUP(F24,Customers!A23:$A$1001,Customers!G23:$G$1001,"Not Found",0)</f>
        <v>United States</v>
      </c>
      <c r="L24" t="str">
        <f>INDEX(Products!$A$1:$G$49,MATCH(Orders!$G24,Products!$A$1:$A$49,0),MATCH(Orders!L$1,Products!$A$1:$G$1,0))</f>
        <v>Rob</v>
      </c>
      <c r="M24" t="str">
        <f>INDEX(Products!$A$1:$G$49,MATCH(Orders!$G24,Products!$A$1:$A$49,0),MATCH(Orders!M$1,Products!$A$1:$G$1,0))</f>
        <v>M</v>
      </c>
      <c r="N24" s="4">
        <f>INDEX(Products!$A$1:$G$49,MATCH(Orders!$G24,Products!$A$1:$A$49,0),MATCH(Orders!N$1,Products!$A$1:$G$1,0))</f>
        <v>2.5</v>
      </c>
      <c r="O24" s="7">
        <f>INDEX(Products!$A$1:$G$49,MATCH(Orders!$G24,Products!$A$1:$A$49,0),MATCH(Orders!O$1,Products!$A$1:$G$1,0))</f>
        <v>22.884999999999998</v>
      </c>
      <c r="P24" s="7">
        <f t="shared" si="0"/>
        <v>91.539999999999992</v>
      </c>
      <c r="Q24" t="str" cm="1">
        <f t="array" ref="Q24">_xlfn.IFS(L24="Rob","Robusta",L24="Exc", "Excelsa",L24="Ara", "Arabica",L24="Lib", "Liberica")</f>
        <v>Robusta</v>
      </c>
      <c r="R24" t="str" cm="1">
        <f t="array" ref="R24">_xlfn.IFS(M24="M","Medium",M24="L","Light",M24="D","Dark")</f>
        <v>Medium</v>
      </c>
    </row>
    <row r="25" spans="1:18">
      <c r="A25" s="2" t="s">
        <v>104</v>
      </c>
      <c r="B25" s="3">
        <v>44603</v>
      </c>
      <c r="C25" s="9">
        <f>YEAR(Orders_Table[[#This Row],[Order Date]])</f>
        <v>2022</v>
      </c>
      <c r="D25" s="9">
        <f>MONTH(Orders_Table[[#This Row],[Order Date]])</f>
        <v>2</v>
      </c>
      <c r="E25" s="9" t="str" cm="1">
        <f t="array" ref="E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5" s="2" t="s">
        <v>105</v>
      </c>
      <c r="G25" t="s">
        <v>101</v>
      </c>
      <c r="H25" s="2">
        <v>4</v>
      </c>
      <c r="I25" s="2" t="str" cm="1">
        <f t="array" ref="I25">_xlfn.XLOOKUP(F25,Customers!A24:$A$1001,Customers!B24:$B$1001,"Not Found",0)</f>
        <v>Iorgo Kleinert</v>
      </c>
      <c r="J25" s="2" t="str" cm="1">
        <f t="array" ref="J25">IF(_xlfn.XLOOKUP(F25,Customers!A24:$A$1001,Customers!C24:$C$1001,"Not Found",0)=0,"",_xlfn.XLOOKUP(F25,Customers!A24:$A$1001,Customers!C24:$C$1001,"Not Found",0))</f>
        <v>ikleinertn@timesonline.co.uk</v>
      </c>
      <c r="K25" s="2" t="str" cm="1">
        <f t="array" ref="K25">_xlfn.XLOOKUP(F25,Customers!A24:$A$1001,Customers!G24:$G$1001,"Not Found",0)</f>
        <v>United States</v>
      </c>
      <c r="L25" t="str">
        <f>INDEX(Products!$A$1:$G$49,MATCH(Orders!$G25,Products!$A$1:$A$49,0),MATCH(Orders!L$1,Products!$A$1:$G$1,0))</f>
        <v>Ara</v>
      </c>
      <c r="M25" t="str">
        <f>INDEX(Products!$A$1:$G$49,MATCH(Orders!$G25,Products!$A$1:$A$49,0),MATCH(Orders!M$1,Products!$A$1:$G$1,0))</f>
        <v>D</v>
      </c>
      <c r="N25" s="4">
        <f>INDEX(Products!$A$1:$G$49,MATCH(Orders!$G25,Products!$A$1:$A$49,0),MATCH(Orders!N$1,Products!$A$1:$G$1,0))</f>
        <v>0.2</v>
      </c>
      <c r="O25" s="7">
        <f>INDEX(Products!$A$1:$G$49,MATCH(Orders!$G25,Products!$A$1:$A$49,0),MATCH(Orders!O$1,Products!$A$1:$G$1,0))</f>
        <v>2.9849999999999999</v>
      </c>
      <c r="P25" s="7">
        <f t="shared" si="0"/>
        <v>11.94</v>
      </c>
      <c r="Q25" t="str" cm="1">
        <f t="array" ref="Q25">_xlfn.IFS(L25="Rob","Robusta",L25="Exc", "Excelsa",L25="Ara", "Arabica",L25="Lib", "Liberica")</f>
        <v>Arabica</v>
      </c>
      <c r="R25" t="str" cm="1">
        <f t="array" ref="R25">_xlfn.IFS(M25="M","Medium",M25="L","Light",M25="D","Dark")</f>
        <v>Dark</v>
      </c>
    </row>
    <row r="26" spans="1:18">
      <c r="A26" s="2" t="s">
        <v>106</v>
      </c>
      <c r="B26" s="3">
        <v>44454</v>
      </c>
      <c r="C26" s="9">
        <f>YEAR(Orders_Table[[#This Row],[Order Date]])</f>
        <v>2021</v>
      </c>
      <c r="D26" s="9">
        <f>MONTH(Orders_Table[[#This Row],[Order Date]])</f>
        <v>9</v>
      </c>
      <c r="E26" s="9" t="str" cm="1">
        <f t="array" ref="E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26" s="2" t="s">
        <v>107</v>
      </c>
      <c r="G26" t="s">
        <v>108</v>
      </c>
      <c r="H26" s="2">
        <v>1</v>
      </c>
      <c r="I26" s="2" t="str" cm="1">
        <f t="array" ref="I26">_xlfn.XLOOKUP(F26,Customers!A25:$A$1001,Customers!B25:$B$1001,"Not Found",0)</f>
        <v>Chrisy Blofeld</v>
      </c>
      <c r="J26" s="2" t="str" cm="1">
        <f t="array" ref="J26">IF(_xlfn.XLOOKUP(F26,Customers!A25:$A$1001,Customers!C25:$C$1001,"Not Found",0)=0,"",_xlfn.XLOOKUP(F26,Customers!A25:$A$1001,Customers!C25:$C$1001,"Not Found",0))</f>
        <v>cblofeldo@amazon.co.uk</v>
      </c>
      <c r="K26" s="2" t="str" cm="1">
        <f t="array" ref="K26">_xlfn.XLOOKUP(F26,Customers!A25:$A$1001,Customers!G25:$G$1001,"Not Found",0)</f>
        <v>United States</v>
      </c>
      <c r="L26" t="str">
        <f>INDEX(Products!$A$1:$G$49,MATCH(Orders!$G26,Products!$A$1:$A$49,0),MATCH(Orders!L$1,Products!$A$1:$G$1,0))</f>
        <v>Ara</v>
      </c>
      <c r="M26" t="str">
        <f>INDEX(Products!$A$1:$G$49,MATCH(Orders!$G26,Products!$A$1:$A$49,0),MATCH(Orders!M$1,Products!$A$1:$G$1,0))</f>
        <v>M</v>
      </c>
      <c r="N26" s="4">
        <f>INDEX(Products!$A$1:$G$49,MATCH(Orders!$G26,Products!$A$1:$A$49,0),MATCH(Orders!N$1,Products!$A$1:$G$1,0))</f>
        <v>1</v>
      </c>
      <c r="O26" s="7">
        <f>INDEX(Products!$A$1:$G$49,MATCH(Orders!$G26,Products!$A$1:$A$49,0),MATCH(Orders!O$1,Products!$A$1:$G$1,0))</f>
        <v>11.25</v>
      </c>
      <c r="P26" s="7">
        <f t="shared" si="0"/>
        <v>11.25</v>
      </c>
      <c r="Q26" t="str" cm="1">
        <f t="array" ref="Q26">_xlfn.IFS(L26="Rob","Robusta",L26="Exc", "Excelsa",L26="Ara", "Arabica",L26="Lib", "Liberica")</f>
        <v>Arabica</v>
      </c>
      <c r="R26" t="str" cm="1">
        <f t="array" ref="R26">_xlfn.IFS(M26="M","Medium",M26="L","Light",M26="D","Dark")</f>
        <v>Medium</v>
      </c>
    </row>
    <row r="27" spans="1:18">
      <c r="A27" s="2" t="s">
        <v>109</v>
      </c>
      <c r="B27" s="3">
        <v>44128</v>
      </c>
      <c r="C27" s="9">
        <f>YEAR(Orders_Table[[#This Row],[Order Date]])</f>
        <v>2020</v>
      </c>
      <c r="D27" s="9">
        <f>MONTH(Orders_Table[[#This Row],[Order Date]])</f>
        <v>10</v>
      </c>
      <c r="E27" s="9" t="str" cm="1">
        <f t="array" ref="E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7" s="2" t="s">
        <v>110</v>
      </c>
      <c r="G27" t="s">
        <v>111</v>
      </c>
      <c r="H27" s="2">
        <v>3</v>
      </c>
      <c r="I27" s="2" t="str" cm="1">
        <f t="array" ref="I27">_xlfn.XLOOKUP(F27,Customers!A26:$A$1001,Customers!B26:$B$1001,"Not Found",0)</f>
        <v>Culley Farris</v>
      </c>
      <c r="J27" s="2" t="str" cm="1">
        <f t="array" ref="J27">IF(_xlfn.XLOOKUP(F27,Customers!A26:$A$1001,Customers!C26:$C$1001,"Not Found",0)=0,"",_xlfn.XLOOKUP(F27,Customers!A26:$A$1001,Customers!C26:$C$1001,"Not Found",0))</f>
        <v/>
      </c>
      <c r="K27" s="2" t="str" cm="1">
        <f t="array" ref="K27">_xlfn.XLOOKUP(F27,Customers!A26:$A$1001,Customers!G26:$G$1001,"Not Found",0)</f>
        <v>United States</v>
      </c>
      <c r="L27" t="str">
        <f>INDEX(Products!$A$1:$G$49,MATCH(Orders!$G27,Products!$A$1:$A$49,0),MATCH(Orders!L$1,Products!$A$1:$G$1,0))</f>
        <v>Exc</v>
      </c>
      <c r="M27" t="str">
        <f>INDEX(Products!$A$1:$G$49,MATCH(Orders!$G27,Products!$A$1:$A$49,0),MATCH(Orders!M$1,Products!$A$1:$G$1,0))</f>
        <v>M</v>
      </c>
      <c r="N27" s="4">
        <f>INDEX(Products!$A$1:$G$49,MATCH(Orders!$G27,Products!$A$1:$A$49,0),MATCH(Orders!N$1,Products!$A$1:$G$1,0))</f>
        <v>0.2</v>
      </c>
      <c r="O27" s="7">
        <f>INDEX(Products!$A$1:$G$49,MATCH(Orders!$G27,Products!$A$1:$A$49,0),MATCH(Orders!O$1,Products!$A$1:$G$1,0))</f>
        <v>4.125</v>
      </c>
      <c r="P27" s="7">
        <f t="shared" si="0"/>
        <v>12.375</v>
      </c>
      <c r="Q27" t="str" cm="1">
        <f t="array" ref="Q27">_xlfn.IFS(L27="Rob","Robusta",L27="Exc", "Excelsa",L27="Ara", "Arabica",L27="Lib", "Liberica")</f>
        <v>Excelsa</v>
      </c>
      <c r="R27" t="str" cm="1">
        <f t="array" ref="R27">_xlfn.IFS(M27="M","Medium",M27="L","Light",M27="D","Dark")</f>
        <v>Medium</v>
      </c>
    </row>
    <row r="28" spans="1:18">
      <c r="A28" s="2" t="s">
        <v>112</v>
      </c>
      <c r="B28" s="3">
        <v>43516</v>
      </c>
      <c r="C28" s="9">
        <f>YEAR(Orders_Table[[#This Row],[Order Date]])</f>
        <v>2019</v>
      </c>
      <c r="D28" s="9">
        <f>MONTH(Orders_Table[[#This Row],[Order Date]])</f>
        <v>2</v>
      </c>
      <c r="E28" s="9" t="str" cm="1">
        <f t="array" ref="E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8" s="2" t="s">
        <v>113</v>
      </c>
      <c r="G28" t="s">
        <v>114</v>
      </c>
      <c r="H28" s="2">
        <v>4</v>
      </c>
      <c r="I28" s="2" t="str" cm="1">
        <f t="array" ref="I28">_xlfn.XLOOKUP(F28,Customers!A27:$A$1001,Customers!B27:$B$1001,"Not Found",0)</f>
        <v>Selene Shales</v>
      </c>
      <c r="J28" s="2" t="str" cm="1">
        <f t="array" ref="J28">IF(_xlfn.XLOOKUP(F28,Customers!A27:$A$1001,Customers!C27:$C$1001,"Not Found",0)=0,"",_xlfn.XLOOKUP(F28,Customers!A27:$A$1001,Customers!C27:$C$1001,"Not Found",0))</f>
        <v>sshalesq@umich.edu</v>
      </c>
      <c r="K28" s="2" t="str" cm="1">
        <f t="array" ref="K28">_xlfn.XLOOKUP(F28,Customers!A27:$A$1001,Customers!G27:$G$1001,"Not Found",0)</f>
        <v>United States</v>
      </c>
      <c r="L28" t="str">
        <f>INDEX(Products!$A$1:$G$49,MATCH(Orders!$G28,Products!$A$1:$A$49,0),MATCH(Orders!L$1,Products!$A$1:$G$1,0))</f>
        <v>Ara</v>
      </c>
      <c r="M28" t="str">
        <f>INDEX(Products!$A$1:$G$49,MATCH(Orders!$G28,Products!$A$1:$A$49,0),MATCH(Orders!M$1,Products!$A$1:$G$1,0))</f>
        <v>M</v>
      </c>
      <c r="N28" s="4">
        <f>INDEX(Products!$A$1:$G$49,MATCH(Orders!$G28,Products!$A$1:$A$49,0),MATCH(Orders!N$1,Products!$A$1:$G$1,0))</f>
        <v>0.5</v>
      </c>
      <c r="O28" s="7">
        <f>INDEX(Products!$A$1:$G$49,MATCH(Orders!$G28,Products!$A$1:$A$49,0),MATCH(Orders!O$1,Products!$A$1:$G$1,0))</f>
        <v>6.75</v>
      </c>
      <c r="P28" s="7">
        <f t="shared" si="0"/>
        <v>27</v>
      </c>
      <c r="Q28" t="str" cm="1">
        <f t="array" ref="Q28">_xlfn.IFS(L28="Rob","Robusta",L28="Exc", "Excelsa",L28="Ara", "Arabica",L28="Lib", "Liberica")</f>
        <v>Arabica</v>
      </c>
      <c r="R28" t="str" cm="1">
        <f t="array" ref="R28">_xlfn.IFS(M28="M","Medium",M28="L","Light",M28="D","Dark")</f>
        <v>Medium</v>
      </c>
    </row>
    <row r="29" spans="1:18">
      <c r="A29" s="2" t="s">
        <v>115</v>
      </c>
      <c r="B29" s="3">
        <v>43746</v>
      </c>
      <c r="C29" s="9">
        <f>YEAR(Orders_Table[[#This Row],[Order Date]])</f>
        <v>2019</v>
      </c>
      <c r="D29" s="9">
        <f>MONTH(Orders_Table[[#This Row],[Order Date]])</f>
        <v>10</v>
      </c>
      <c r="E29" s="9" t="str" cm="1">
        <f t="array" ref="E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9" s="2" t="s">
        <v>116</v>
      </c>
      <c r="G29" t="s">
        <v>91</v>
      </c>
      <c r="H29" s="2">
        <v>5</v>
      </c>
      <c r="I29" s="2" t="str" cm="1">
        <f t="array" ref="I29">_xlfn.XLOOKUP(F29,Customers!A28:$A$1001,Customers!B28:$B$1001,"Not Found",0)</f>
        <v>Vivie Danneil</v>
      </c>
      <c r="J29" s="2" t="str" cm="1">
        <f t="array" ref="J29">IF(_xlfn.XLOOKUP(F29,Customers!A28:$A$1001,Customers!C28:$C$1001,"Not Found",0)=0,"",_xlfn.XLOOKUP(F29,Customers!A28:$A$1001,Customers!C28:$C$1001,"Not Found",0))</f>
        <v>vdanneilr@mtv.com</v>
      </c>
      <c r="K29" s="2" t="str" cm="1">
        <f t="array" ref="K29">_xlfn.XLOOKUP(F29,Customers!A28:$A$1001,Customers!G28:$G$1001,"Not Found",0)</f>
        <v>Ireland</v>
      </c>
      <c r="L29" t="str">
        <f>INDEX(Products!$A$1:$G$49,MATCH(Orders!$G29,Products!$A$1:$A$49,0),MATCH(Orders!L$1,Products!$A$1:$G$1,0))</f>
        <v>Ara</v>
      </c>
      <c r="M29" t="str">
        <f>INDEX(Products!$A$1:$G$49,MATCH(Orders!$G29,Products!$A$1:$A$49,0),MATCH(Orders!M$1,Products!$A$1:$G$1,0))</f>
        <v>M</v>
      </c>
      <c r="N29" s="4">
        <f>INDEX(Products!$A$1:$G$49,MATCH(Orders!$G29,Products!$A$1:$A$49,0),MATCH(Orders!N$1,Products!$A$1:$G$1,0))</f>
        <v>0.2</v>
      </c>
      <c r="O29" s="7">
        <f>INDEX(Products!$A$1:$G$49,MATCH(Orders!$G29,Products!$A$1:$A$49,0),MATCH(Orders!O$1,Products!$A$1:$G$1,0))</f>
        <v>3.375</v>
      </c>
      <c r="P29" s="7">
        <f t="shared" si="0"/>
        <v>16.875</v>
      </c>
      <c r="Q29" t="str" cm="1">
        <f t="array" ref="Q29">_xlfn.IFS(L29="Rob","Robusta",L29="Exc", "Excelsa",L29="Ara", "Arabica",L29="Lib", "Liberica")</f>
        <v>Arabica</v>
      </c>
      <c r="R29" t="str" cm="1">
        <f t="array" ref="R29">_xlfn.IFS(M29="M","Medium",M29="L","Light",M29="D","Dark")</f>
        <v>Medium</v>
      </c>
    </row>
    <row r="30" spans="1:18">
      <c r="A30" s="2" t="s">
        <v>117</v>
      </c>
      <c r="B30" s="3">
        <v>44775</v>
      </c>
      <c r="C30" s="9">
        <f>YEAR(Orders_Table[[#This Row],[Order Date]])</f>
        <v>2022</v>
      </c>
      <c r="D30" s="9">
        <f>MONTH(Orders_Table[[#This Row],[Order Date]])</f>
        <v>8</v>
      </c>
      <c r="E30" s="9" t="str" cm="1">
        <f t="array" ref="E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0" s="2" t="s">
        <v>118</v>
      </c>
      <c r="G30" t="s">
        <v>119</v>
      </c>
      <c r="H30" s="2">
        <v>3</v>
      </c>
      <c r="I30" s="2" t="str" cm="1">
        <f t="array" ref="I30">_xlfn.XLOOKUP(F30,Customers!A29:$A$1001,Customers!B29:$B$1001,"Not Found",0)</f>
        <v>Theresita Newbury</v>
      </c>
      <c r="J30" s="2" t="str" cm="1">
        <f t="array" ref="J30">IF(_xlfn.XLOOKUP(F30,Customers!A29:$A$1001,Customers!C29:$C$1001,"Not Found",0)=0,"",_xlfn.XLOOKUP(F30,Customers!A29:$A$1001,Customers!C29:$C$1001,"Not Found",0))</f>
        <v>tnewburys@usda.gov</v>
      </c>
      <c r="K30" s="2" t="str" cm="1">
        <f t="array" ref="K30">_xlfn.XLOOKUP(F30,Customers!A29:$A$1001,Customers!G29:$G$1001,"Not Found",0)</f>
        <v>Ireland</v>
      </c>
      <c r="L30" t="str">
        <f>INDEX(Products!$A$1:$G$49,MATCH(Orders!$G30,Products!$A$1:$A$49,0),MATCH(Orders!L$1,Products!$A$1:$G$1,0))</f>
        <v>Ara</v>
      </c>
      <c r="M30" t="str">
        <f>INDEX(Products!$A$1:$G$49,MATCH(Orders!$G30,Products!$A$1:$A$49,0),MATCH(Orders!M$1,Products!$A$1:$G$1,0))</f>
        <v>D</v>
      </c>
      <c r="N30" s="4">
        <f>INDEX(Products!$A$1:$G$49,MATCH(Orders!$G30,Products!$A$1:$A$49,0),MATCH(Orders!N$1,Products!$A$1:$G$1,0))</f>
        <v>0.5</v>
      </c>
      <c r="O30" s="7">
        <f>INDEX(Products!$A$1:$G$49,MATCH(Orders!$G30,Products!$A$1:$A$49,0),MATCH(Orders!O$1,Products!$A$1:$G$1,0))</f>
        <v>5.97</v>
      </c>
      <c r="P30" s="7">
        <f t="shared" si="0"/>
        <v>17.91</v>
      </c>
      <c r="Q30" t="str" cm="1">
        <f t="array" ref="Q30">_xlfn.IFS(L30="Rob","Robusta",L30="Exc", "Excelsa",L30="Ara", "Arabica",L30="Lib", "Liberica")</f>
        <v>Arabica</v>
      </c>
      <c r="R30" t="str" cm="1">
        <f t="array" ref="R30">_xlfn.IFS(M30="M","Medium",M30="L","Light",M30="D","Dark")</f>
        <v>Dark</v>
      </c>
    </row>
    <row r="31" spans="1:18">
      <c r="A31" s="2" t="s">
        <v>120</v>
      </c>
      <c r="B31" s="3">
        <v>43516</v>
      </c>
      <c r="C31" s="9">
        <f>YEAR(Orders_Table[[#This Row],[Order Date]])</f>
        <v>2019</v>
      </c>
      <c r="D31" s="9">
        <f>MONTH(Orders_Table[[#This Row],[Order Date]])</f>
        <v>2</v>
      </c>
      <c r="E31" s="9" t="str" cm="1">
        <f t="array" ref="E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1" s="2" t="s">
        <v>121</v>
      </c>
      <c r="G31" t="s">
        <v>74</v>
      </c>
      <c r="H31" s="2">
        <v>4</v>
      </c>
      <c r="I31" s="2" t="str" cm="1">
        <f t="array" ref="I31">_xlfn.XLOOKUP(F31,Customers!A30:$A$1001,Customers!B30:$B$1001,"Not Found",0)</f>
        <v>Mozelle Calcutt</v>
      </c>
      <c r="J31" s="2" t="str" cm="1">
        <f t="array" ref="J31">IF(_xlfn.XLOOKUP(F31,Customers!A30:$A$1001,Customers!C30:$C$1001,"Not Found",0)=0,"",_xlfn.XLOOKUP(F31,Customers!A30:$A$1001,Customers!C30:$C$1001,"Not Found",0))</f>
        <v>mcalcuttt@baidu.com</v>
      </c>
      <c r="K31" s="2" t="str" cm="1">
        <f t="array" ref="K31">_xlfn.XLOOKUP(F31,Customers!A30:$A$1001,Customers!G30:$G$1001,"Not Found",0)</f>
        <v>Ireland</v>
      </c>
      <c r="L31" t="str">
        <f>INDEX(Products!$A$1:$G$49,MATCH(Orders!$G31,Products!$A$1:$A$49,0),MATCH(Orders!L$1,Products!$A$1:$G$1,0))</f>
        <v>Ara</v>
      </c>
      <c r="M31" t="str">
        <f>INDEX(Products!$A$1:$G$49,MATCH(Orders!$G31,Products!$A$1:$A$49,0),MATCH(Orders!M$1,Products!$A$1:$G$1,0))</f>
        <v>D</v>
      </c>
      <c r="N31" s="4">
        <f>INDEX(Products!$A$1:$G$49,MATCH(Orders!$G31,Products!$A$1:$A$49,0),MATCH(Orders!N$1,Products!$A$1:$G$1,0))</f>
        <v>1</v>
      </c>
      <c r="O31" s="7">
        <f>INDEX(Products!$A$1:$G$49,MATCH(Orders!$G31,Products!$A$1:$A$49,0),MATCH(Orders!O$1,Products!$A$1:$G$1,0))</f>
        <v>9.9499999999999993</v>
      </c>
      <c r="P31" s="7">
        <f t="shared" si="0"/>
        <v>39.799999999999997</v>
      </c>
      <c r="Q31" t="str" cm="1">
        <f t="array" ref="Q31">_xlfn.IFS(L31="Rob","Robusta",L31="Exc", "Excelsa",L31="Ara", "Arabica",L31="Lib", "Liberica")</f>
        <v>Arabica</v>
      </c>
      <c r="R31" t="str" cm="1">
        <f t="array" ref="R31">_xlfn.IFS(M31="M","Medium",M31="L","Light",M31="D","Dark")</f>
        <v>Dark</v>
      </c>
    </row>
    <row r="32" spans="1:18">
      <c r="A32" s="2" t="s">
        <v>122</v>
      </c>
      <c r="B32" s="3">
        <v>44464</v>
      </c>
      <c r="C32" s="9">
        <f>YEAR(Orders_Table[[#This Row],[Order Date]])</f>
        <v>2021</v>
      </c>
      <c r="D32" s="9">
        <f>MONTH(Orders_Table[[#This Row],[Order Date]])</f>
        <v>9</v>
      </c>
      <c r="E32" s="9" t="str" cm="1">
        <f t="array" ref="E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2" s="2" t="s">
        <v>123</v>
      </c>
      <c r="G32" t="s">
        <v>124</v>
      </c>
      <c r="H32" s="2">
        <v>5</v>
      </c>
      <c r="I32" s="2" t="str" cm="1">
        <f t="array" ref="I32">_xlfn.XLOOKUP(F32,Customers!A31:$A$1001,Customers!B31:$B$1001,"Not Found",0)</f>
        <v>Adrian Swaine</v>
      </c>
      <c r="J32" s="2" t="str" cm="1">
        <f t="array" ref="J32">IF(_xlfn.XLOOKUP(F32,Customers!A31:$A$1001,Customers!C31:$C$1001,"Not Found",0)=0,"",_xlfn.XLOOKUP(F32,Customers!A31:$A$1001,Customers!C31:$C$1001,"Not Found",0))</f>
        <v/>
      </c>
      <c r="K32" s="2" t="str" cm="1">
        <f t="array" ref="K32">_xlfn.XLOOKUP(F32,Customers!A31:$A$1001,Customers!G31:$G$1001,"Not Found",0)</f>
        <v>United States</v>
      </c>
      <c r="L32" t="str">
        <f>INDEX(Products!$A$1:$G$49,MATCH(Orders!$G32,Products!$A$1:$A$49,0),MATCH(Orders!L$1,Products!$A$1:$G$1,0))</f>
        <v>Lib</v>
      </c>
      <c r="M32" t="str">
        <f>INDEX(Products!$A$1:$G$49,MATCH(Orders!$G32,Products!$A$1:$A$49,0),MATCH(Orders!M$1,Products!$A$1:$G$1,0))</f>
        <v>M</v>
      </c>
      <c r="N32" s="4">
        <f>INDEX(Products!$A$1:$G$49,MATCH(Orders!$G32,Products!$A$1:$A$49,0),MATCH(Orders!N$1,Products!$A$1:$G$1,0))</f>
        <v>0.2</v>
      </c>
      <c r="O32" s="7">
        <f>INDEX(Products!$A$1:$G$49,MATCH(Orders!$G32,Products!$A$1:$A$49,0),MATCH(Orders!O$1,Products!$A$1:$G$1,0))</f>
        <v>4.3650000000000002</v>
      </c>
      <c r="P32" s="7">
        <f t="shared" si="0"/>
        <v>21.825000000000003</v>
      </c>
      <c r="Q32" t="str" cm="1">
        <f t="array" ref="Q32">_xlfn.IFS(L32="Rob","Robusta",L32="Exc", "Excelsa",L32="Ara", "Arabica",L32="Lib", "Liberica")</f>
        <v>Liberica</v>
      </c>
      <c r="R32" t="str" cm="1">
        <f t="array" ref="R32">_xlfn.IFS(M32="M","Medium",M32="L","Light",M32="D","Dark")</f>
        <v>Medium</v>
      </c>
    </row>
    <row r="33" spans="1:18">
      <c r="A33" s="2" t="s">
        <v>122</v>
      </c>
      <c r="B33" s="3">
        <v>44464</v>
      </c>
      <c r="C33" s="9">
        <f>YEAR(Orders_Table[[#This Row],[Order Date]])</f>
        <v>2021</v>
      </c>
      <c r="D33" s="9">
        <f>MONTH(Orders_Table[[#This Row],[Order Date]])</f>
        <v>9</v>
      </c>
      <c r="E33" s="9" t="str" cm="1">
        <f t="array" ref="E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3" s="2" t="s">
        <v>123</v>
      </c>
      <c r="G33" t="s">
        <v>119</v>
      </c>
      <c r="H33" s="2">
        <v>6</v>
      </c>
      <c r="I33" s="2" t="str" cm="1">
        <f t="array" ref="I33">_xlfn.XLOOKUP(F33,Customers!A32:$A$1001,Customers!B32:$B$1001,"Not Found",0)</f>
        <v>Adrian Swaine</v>
      </c>
      <c r="J33" s="2" t="str" cm="1">
        <f t="array" ref="J33">IF(_xlfn.XLOOKUP(F33,Customers!A32:$A$1001,Customers!C32:$C$1001,"Not Found",0)=0,"",_xlfn.XLOOKUP(F33,Customers!A32:$A$1001,Customers!C32:$C$1001,"Not Found",0))</f>
        <v/>
      </c>
      <c r="K33" s="2" t="str" cm="1">
        <f t="array" ref="K33">_xlfn.XLOOKUP(F33,Customers!A32:$A$1001,Customers!G32:$G$1001,"Not Found",0)</f>
        <v>United States</v>
      </c>
      <c r="L33" t="str">
        <f>INDEX(Products!$A$1:$G$49,MATCH(Orders!$G33,Products!$A$1:$A$49,0),MATCH(Orders!L$1,Products!$A$1:$G$1,0))</f>
        <v>Ara</v>
      </c>
      <c r="M33" t="str">
        <f>INDEX(Products!$A$1:$G$49,MATCH(Orders!$G33,Products!$A$1:$A$49,0),MATCH(Orders!M$1,Products!$A$1:$G$1,0))</f>
        <v>D</v>
      </c>
      <c r="N33" s="4">
        <f>INDEX(Products!$A$1:$G$49,MATCH(Orders!$G33,Products!$A$1:$A$49,0),MATCH(Orders!N$1,Products!$A$1:$G$1,0))</f>
        <v>0.5</v>
      </c>
      <c r="O33" s="7">
        <f>INDEX(Products!$A$1:$G$49,MATCH(Orders!$G33,Products!$A$1:$A$49,0),MATCH(Orders!O$1,Products!$A$1:$G$1,0))</f>
        <v>5.97</v>
      </c>
      <c r="P33" s="7">
        <f t="shared" si="0"/>
        <v>35.82</v>
      </c>
      <c r="Q33" t="str" cm="1">
        <f t="array" ref="Q33">_xlfn.IFS(L33="Rob","Robusta",L33="Exc", "Excelsa",L33="Ara", "Arabica",L33="Lib", "Liberica")</f>
        <v>Arabica</v>
      </c>
      <c r="R33" t="str" cm="1">
        <f t="array" ref="R33">_xlfn.IFS(M33="M","Medium",M33="L","Light",M33="D","Dark")</f>
        <v>Dark</v>
      </c>
    </row>
    <row r="34" spans="1:18">
      <c r="A34" s="2" t="s">
        <v>122</v>
      </c>
      <c r="B34" s="3">
        <v>44464</v>
      </c>
      <c r="C34" s="9">
        <f>YEAR(Orders_Table[[#This Row],[Order Date]])</f>
        <v>2021</v>
      </c>
      <c r="D34" s="9">
        <f>MONTH(Orders_Table[[#This Row],[Order Date]])</f>
        <v>9</v>
      </c>
      <c r="E34" s="9" t="str" cm="1">
        <f t="array" ref="E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4" s="2" t="s">
        <v>123</v>
      </c>
      <c r="G34" t="s">
        <v>125</v>
      </c>
      <c r="H34" s="2">
        <v>6</v>
      </c>
      <c r="I34" s="2" t="str" cm="1">
        <f t="array" ref="I34">_xlfn.XLOOKUP(F34,Customers!A33:$A$1001,Customers!B33:$B$1001,"Not Found",0)</f>
        <v>Not Found</v>
      </c>
      <c r="J34" s="2" t="str" cm="1">
        <f t="array" ref="J34">IF(_xlfn.XLOOKUP(F34,Customers!A33:$A$1001,Customers!C33:$C$1001,"Not Found",0)=0,"",_xlfn.XLOOKUP(F34,Customers!A33:$A$1001,Customers!C33:$C$1001,"Not Found",0))</f>
        <v>Not Found</v>
      </c>
      <c r="K34" s="2" t="str" cm="1">
        <f t="array" ref="K34">_xlfn.XLOOKUP(F34,Customers!A33:$A$1001,Customers!G33:$G$1001,"Not Found",0)</f>
        <v>Not Found</v>
      </c>
      <c r="L34" t="str">
        <f>INDEX(Products!$A$1:$G$49,MATCH(Orders!$G34,Products!$A$1:$A$49,0),MATCH(Orders!L$1,Products!$A$1:$G$1,0))</f>
        <v>Lib</v>
      </c>
      <c r="M34" t="str">
        <f>INDEX(Products!$A$1:$G$49,MATCH(Orders!$G34,Products!$A$1:$A$49,0),MATCH(Orders!M$1,Products!$A$1:$G$1,0))</f>
        <v>M</v>
      </c>
      <c r="N34" s="4">
        <f>INDEX(Products!$A$1:$G$49,MATCH(Orders!$G34,Products!$A$1:$A$49,0),MATCH(Orders!N$1,Products!$A$1:$G$1,0))</f>
        <v>0.5</v>
      </c>
      <c r="O34" s="7">
        <f>INDEX(Products!$A$1:$G$49,MATCH(Orders!$G34,Products!$A$1:$A$49,0),MATCH(Orders!O$1,Products!$A$1:$G$1,0))</f>
        <v>8.73</v>
      </c>
      <c r="P34" s="7">
        <f t="shared" si="0"/>
        <v>52.38</v>
      </c>
      <c r="Q34" t="str" cm="1">
        <f t="array" ref="Q34">_xlfn.IFS(L34="Rob","Robusta",L34="Exc", "Excelsa",L34="Ara", "Arabica",L34="Lib", "Liberica")</f>
        <v>Liberica</v>
      </c>
      <c r="R34" t="str" cm="1">
        <f t="array" ref="R34">_xlfn.IFS(M34="M","Medium",M34="L","Light",M34="D","Dark")</f>
        <v>Medium</v>
      </c>
    </row>
    <row r="35" spans="1:18">
      <c r="A35" s="2" t="s">
        <v>126</v>
      </c>
      <c r="B35" s="3">
        <v>44394</v>
      </c>
      <c r="C35" s="9">
        <f>YEAR(Orders_Table[[#This Row],[Order Date]])</f>
        <v>2021</v>
      </c>
      <c r="D35" s="9">
        <f>MONTH(Orders_Table[[#This Row],[Order Date]])</f>
        <v>7</v>
      </c>
      <c r="E35" s="9" t="str" cm="1">
        <f t="array" ref="E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5" s="2" t="s">
        <v>127</v>
      </c>
      <c r="G35" t="s">
        <v>66</v>
      </c>
      <c r="H35" s="2">
        <v>5</v>
      </c>
      <c r="I35" s="2" t="str" cm="1">
        <f t="array" ref="I35">_xlfn.XLOOKUP(F35,Customers!A34:$A$1001,Customers!B34:$B$1001,"Not Found",0)</f>
        <v>Gallard Gatheral</v>
      </c>
      <c r="J35" s="2" t="str" cm="1">
        <f t="array" ref="J35">IF(_xlfn.XLOOKUP(F35,Customers!A34:$A$1001,Customers!C34:$C$1001,"Not Found",0)=0,"",_xlfn.XLOOKUP(F35,Customers!A34:$A$1001,Customers!C34:$C$1001,"Not Found",0))</f>
        <v>ggatheralx@123-reg.co.uk</v>
      </c>
      <c r="K35" s="2" t="str" cm="1">
        <f t="array" ref="K35">_xlfn.XLOOKUP(F35,Customers!A34:$A$1001,Customers!G34:$G$1001,"Not Found",0)</f>
        <v>United States</v>
      </c>
      <c r="L35" t="str">
        <f>INDEX(Products!$A$1:$G$49,MATCH(Orders!$G35,Products!$A$1:$A$49,0),MATCH(Orders!L$1,Products!$A$1:$G$1,0))</f>
        <v>Lib</v>
      </c>
      <c r="M35" t="str">
        <f>INDEX(Products!$A$1:$G$49,MATCH(Orders!$G35,Products!$A$1:$A$49,0),MATCH(Orders!M$1,Products!$A$1:$G$1,0))</f>
        <v>L</v>
      </c>
      <c r="N35" s="4">
        <f>INDEX(Products!$A$1:$G$49,MATCH(Orders!$G35,Products!$A$1:$A$49,0),MATCH(Orders!N$1,Products!$A$1:$G$1,0))</f>
        <v>0.2</v>
      </c>
      <c r="O35" s="7">
        <f>INDEX(Products!$A$1:$G$49,MATCH(Orders!$G35,Products!$A$1:$A$49,0),MATCH(Orders!O$1,Products!$A$1:$G$1,0))</f>
        <v>4.7549999999999999</v>
      </c>
      <c r="P35" s="7">
        <f t="shared" si="0"/>
        <v>23.774999999999999</v>
      </c>
      <c r="Q35" t="str" cm="1">
        <f t="array" ref="Q35">_xlfn.IFS(L35="Rob","Robusta",L35="Exc", "Excelsa",L35="Ara", "Arabica",L35="Lib", "Liberica")</f>
        <v>Liberica</v>
      </c>
      <c r="R35" t="str" cm="1">
        <f t="array" ref="R35">_xlfn.IFS(M35="M","Medium",M35="L","Light",M35="D","Dark")</f>
        <v>Light</v>
      </c>
    </row>
    <row r="36" spans="1:18">
      <c r="A36" s="2" t="s">
        <v>128</v>
      </c>
      <c r="B36" s="3">
        <v>44011</v>
      </c>
      <c r="C36" s="9">
        <f>YEAR(Orders_Table[[#This Row],[Order Date]])</f>
        <v>2020</v>
      </c>
      <c r="D36" s="9">
        <f>MONTH(Orders_Table[[#This Row],[Order Date]])</f>
        <v>6</v>
      </c>
      <c r="E36" s="9" t="str" cm="1">
        <f t="array" ref="E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6" s="2" t="s">
        <v>129</v>
      </c>
      <c r="G36" t="s">
        <v>130</v>
      </c>
      <c r="H36" s="2">
        <v>6</v>
      </c>
      <c r="I36" s="2" t="str" cm="1">
        <f t="array" ref="I36">_xlfn.XLOOKUP(F36,Customers!A35:$A$1001,Customers!B35:$B$1001,"Not Found",0)</f>
        <v>Una Welberry</v>
      </c>
      <c r="J36" s="2" t="str" cm="1">
        <f t="array" ref="J36">IF(_xlfn.XLOOKUP(F36,Customers!A35:$A$1001,Customers!C35:$C$1001,"Not Found",0)=0,"",_xlfn.XLOOKUP(F36,Customers!A35:$A$1001,Customers!C35:$C$1001,"Not Found",0))</f>
        <v>uwelberryy@ebay.co.uk</v>
      </c>
      <c r="K36" s="2" t="str" cm="1">
        <f t="array" ref="K36">_xlfn.XLOOKUP(F36,Customers!A35:$A$1001,Customers!G35:$G$1001,"Not Found",0)</f>
        <v>United Kingdom</v>
      </c>
      <c r="L36" t="str">
        <f>INDEX(Products!$A$1:$G$49,MATCH(Orders!$G36,Products!$A$1:$A$49,0),MATCH(Orders!L$1,Products!$A$1:$G$1,0))</f>
        <v>Lib</v>
      </c>
      <c r="M36" t="str">
        <f>INDEX(Products!$A$1:$G$49,MATCH(Orders!$G36,Products!$A$1:$A$49,0),MATCH(Orders!M$1,Products!$A$1:$G$1,0))</f>
        <v>L</v>
      </c>
      <c r="N36" s="4">
        <f>INDEX(Products!$A$1:$G$49,MATCH(Orders!$G36,Products!$A$1:$A$49,0),MATCH(Orders!N$1,Products!$A$1:$G$1,0))</f>
        <v>0.5</v>
      </c>
      <c r="O36" s="7">
        <f>INDEX(Products!$A$1:$G$49,MATCH(Orders!$G36,Products!$A$1:$A$49,0),MATCH(Orders!O$1,Products!$A$1:$G$1,0))</f>
        <v>9.51</v>
      </c>
      <c r="P36" s="7">
        <f t="shared" si="0"/>
        <v>57.06</v>
      </c>
      <c r="Q36" t="str" cm="1">
        <f t="array" ref="Q36">_xlfn.IFS(L36="Rob","Robusta",L36="Exc", "Excelsa",L36="Ara", "Arabica",L36="Lib", "Liberica")</f>
        <v>Liberica</v>
      </c>
      <c r="R36" t="str" cm="1">
        <f t="array" ref="R36">_xlfn.IFS(M36="M","Medium",M36="L","Light",M36="D","Dark")</f>
        <v>Light</v>
      </c>
    </row>
    <row r="37" spans="1:18">
      <c r="A37" s="2" t="s">
        <v>131</v>
      </c>
      <c r="B37" s="3">
        <v>44348</v>
      </c>
      <c r="C37" s="9">
        <f>YEAR(Orders_Table[[#This Row],[Order Date]])</f>
        <v>2021</v>
      </c>
      <c r="D37" s="9">
        <f>MONTH(Orders_Table[[#This Row],[Order Date]])</f>
        <v>6</v>
      </c>
      <c r="E37" s="9" t="str" cm="1">
        <f t="array" ref="E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7" s="2" t="s">
        <v>132</v>
      </c>
      <c r="G37" t="s">
        <v>119</v>
      </c>
      <c r="H37" s="2">
        <v>6</v>
      </c>
      <c r="I37" s="2" t="str" cm="1">
        <f t="array" ref="I37">_xlfn.XLOOKUP(F37,Customers!A36:$A$1001,Customers!B36:$B$1001,"Not Found",0)</f>
        <v>Faber Eilhart</v>
      </c>
      <c r="J37" s="2" t="str" cm="1">
        <f t="array" ref="J37">IF(_xlfn.XLOOKUP(F37,Customers!A36:$A$1001,Customers!C36:$C$1001,"Not Found",0)=0,"",_xlfn.XLOOKUP(F37,Customers!A36:$A$1001,Customers!C36:$C$1001,"Not Found",0))</f>
        <v>feilhartz@who.int</v>
      </c>
      <c r="K37" s="2" t="str" cm="1">
        <f t="array" ref="K37">_xlfn.XLOOKUP(F37,Customers!A36:$A$1001,Customers!G36:$G$1001,"Not Found",0)</f>
        <v>United States</v>
      </c>
      <c r="L37" t="str">
        <f>INDEX(Products!$A$1:$G$49,MATCH(Orders!$G37,Products!$A$1:$A$49,0),MATCH(Orders!L$1,Products!$A$1:$G$1,0))</f>
        <v>Ara</v>
      </c>
      <c r="M37" t="str">
        <f>INDEX(Products!$A$1:$G$49,MATCH(Orders!$G37,Products!$A$1:$A$49,0),MATCH(Orders!M$1,Products!$A$1:$G$1,0))</f>
        <v>D</v>
      </c>
      <c r="N37" s="4">
        <f>INDEX(Products!$A$1:$G$49,MATCH(Orders!$G37,Products!$A$1:$A$49,0),MATCH(Orders!N$1,Products!$A$1:$G$1,0))</f>
        <v>0.5</v>
      </c>
      <c r="O37" s="7">
        <f>INDEX(Products!$A$1:$G$49,MATCH(Orders!$G37,Products!$A$1:$A$49,0),MATCH(Orders!O$1,Products!$A$1:$G$1,0))</f>
        <v>5.97</v>
      </c>
      <c r="P37" s="7">
        <f t="shared" si="0"/>
        <v>35.82</v>
      </c>
      <c r="Q37" t="str" cm="1">
        <f t="array" ref="Q37">_xlfn.IFS(L37="Rob","Robusta",L37="Exc", "Excelsa",L37="Ara", "Arabica",L37="Lib", "Liberica")</f>
        <v>Arabica</v>
      </c>
      <c r="R37" t="str" cm="1">
        <f t="array" ref="R37">_xlfn.IFS(M37="M","Medium",M37="L","Light",M37="D","Dark")</f>
        <v>Dark</v>
      </c>
    </row>
    <row r="38" spans="1:18">
      <c r="A38" s="2" t="s">
        <v>133</v>
      </c>
      <c r="B38" s="3">
        <v>44233</v>
      </c>
      <c r="C38" s="9">
        <f>YEAR(Orders_Table[[#This Row],[Order Date]])</f>
        <v>2021</v>
      </c>
      <c r="D38" s="9">
        <f>MONTH(Orders_Table[[#This Row],[Order Date]])</f>
        <v>2</v>
      </c>
      <c r="E38" s="9" t="str" cm="1">
        <f t="array" ref="E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8" s="2" t="s">
        <v>134</v>
      </c>
      <c r="G38" t="s">
        <v>124</v>
      </c>
      <c r="H38" s="2">
        <v>2</v>
      </c>
      <c r="I38" s="2" t="str" cm="1">
        <f t="array" ref="I38">_xlfn.XLOOKUP(F38,Customers!A37:$A$1001,Customers!B37:$B$1001,"Not Found",0)</f>
        <v>Zorina Ponting</v>
      </c>
      <c r="J38" s="2" t="str" cm="1">
        <f t="array" ref="J38">IF(_xlfn.XLOOKUP(F38,Customers!A37:$A$1001,Customers!C37:$C$1001,"Not Found",0)=0,"",_xlfn.XLOOKUP(F38,Customers!A37:$A$1001,Customers!C37:$C$1001,"Not Found",0))</f>
        <v>zponting10@altervista.org</v>
      </c>
      <c r="K38" s="2" t="str" cm="1">
        <f t="array" ref="K38">_xlfn.XLOOKUP(F38,Customers!A37:$A$1001,Customers!G37:$G$1001,"Not Found",0)</f>
        <v>United States</v>
      </c>
      <c r="L38" t="str">
        <f>INDEX(Products!$A$1:$G$49,MATCH(Orders!$G38,Products!$A$1:$A$49,0),MATCH(Orders!L$1,Products!$A$1:$G$1,0))</f>
        <v>Lib</v>
      </c>
      <c r="M38" t="str">
        <f>INDEX(Products!$A$1:$G$49,MATCH(Orders!$G38,Products!$A$1:$A$49,0),MATCH(Orders!M$1,Products!$A$1:$G$1,0))</f>
        <v>M</v>
      </c>
      <c r="N38" s="4">
        <f>INDEX(Products!$A$1:$G$49,MATCH(Orders!$G38,Products!$A$1:$A$49,0),MATCH(Orders!N$1,Products!$A$1:$G$1,0))</f>
        <v>0.2</v>
      </c>
      <c r="O38" s="7">
        <f>INDEX(Products!$A$1:$G$49,MATCH(Orders!$G38,Products!$A$1:$A$49,0),MATCH(Orders!O$1,Products!$A$1:$G$1,0))</f>
        <v>4.3650000000000002</v>
      </c>
      <c r="P38" s="7">
        <f t="shared" si="0"/>
        <v>8.73</v>
      </c>
      <c r="Q38" t="str" cm="1">
        <f t="array" ref="Q38">_xlfn.IFS(L38="Rob","Robusta",L38="Exc", "Excelsa",L38="Ara", "Arabica",L38="Lib", "Liberica")</f>
        <v>Liberica</v>
      </c>
      <c r="R38" t="str" cm="1">
        <f t="array" ref="R38">_xlfn.IFS(M38="M","Medium",M38="L","Light",M38="D","Dark")</f>
        <v>Medium</v>
      </c>
    </row>
    <row r="39" spans="1:18">
      <c r="A39" s="2" t="s">
        <v>135</v>
      </c>
      <c r="B39" s="3">
        <v>43580</v>
      </c>
      <c r="C39" s="9">
        <f>YEAR(Orders_Table[[#This Row],[Order Date]])</f>
        <v>2019</v>
      </c>
      <c r="D39" s="9">
        <f>MONTH(Orders_Table[[#This Row],[Order Date]])</f>
        <v>4</v>
      </c>
      <c r="E39" s="9" t="str" cm="1">
        <f t="array" ref="E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39" s="2" t="s">
        <v>136</v>
      </c>
      <c r="G39" t="s">
        <v>130</v>
      </c>
      <c r="H39" s="2">
        <v>3</v>
      </c>
      <c r="I39" s="2" t="str" cm="1">
        <f t="array" ref="I39">_xlfn.XLOOKUP(F39,Customers!A38:$A$1001,Customers!B38:$B$1001,"Not Found",0)</f>
        <v>Silvio Strase</v>
      </c>
      <c r="J39" s="2" t="str" cm="1">
        <f t="array" ref="J39">IF(_xlfn.XLOOKUP(F39,Customers!A38:$A$1001,Customers!C38:$C$1001,"Not Found",0)=0,"",_xlfn.XLOOKUP(F39,Customers!A38:$A$1001,Customers!C38:$C$1001,"Not Found",0))</f>
        <v>sstrase11@booking.com</v>
      </c>
      <c r="K39" s="2" t="str" cm="1">
        <f t="array" ref="K39">_xlfn.XLOOKUP(F39,Customers!A38:$A$1001,Customers!G38:$G$1001,"Not Found",0)</f>
        <v>United States</v>
      </c>
      <c r="L39" t="str">
        <f>INDEX(Products!$A$1:$G$49,MATCH(Orders!$G39,Products!$A$1:$A$49,0),MATCH(Orders!L$1,Products!$A$1:$G$1,0))</f>
        <v>Lib</v>
      </c>
      <c r="M39" t="str">
        <f>INDEX(Products!$A$1:$G$49,MATCH(Orders!$G39,Products!$A$1:$A$49,0),MATCH(Orders!M$1,Products!$A$1:$G$1,0))</f>
        <v>L</v>
      </c>
      <c r="N39" s="4">
        <f>INDEX(Products!$A$1:$G$49,MATCH(Orders!$G39,Products!$A$1:$A$49,0),MATCH(Orders!N$1,Products!$A$1:$G$1,0))</f>
        <v>0.5</v>
      </c>
      <c r="O39" s="7">
        <f>INDEX(Products!$A$1:$G$49,MATCH(Orders!$G39,Products!$A$1:$A$49,0),MATCH(Orders!O$1,Products!$A$1:$G$1,0))</f>
        <v>9.51</v>
      </c>
      <c r="P39" s="7">
        <f t="shared" si="0"/>
        <v>28.53</v>
      </c>
      <c r="Q39" t="str" cm="1">
        <f t="array" ref="Q39">_xlfn.IFS(L39="Rob","Robusta",L39="Exc", "Excelsa",L39="Ara", "Arabica",L39="Lib", "Liberica")</f>
        <v>Liberica</v>
      </c>
      <c r="R39" t="str" cm="1">
        <f t="array" ref="R39">_xlfn.IFS(M39="M","Medium",M39="L","Light",M39="D","Dark")</f>
        <v>Light</v>
      </c>
    </row>
    <row r="40" spans="1:18">
      <c r="A40" s="2" t="s">
        <v>137</v>
      </c>
      <c r="B40" s="3">
        <v>43946</v>
      </c>
      <c r="C40" s="9">
        <f>YEAR(Orders_Table[[#This Row],[Order Date]])</f>
        <v>2020</v>
      </c>
      <c r="D40" s="9">
        <f>MONTH(Orders_Table[[#This Row],[Order Date]])</f>
        <v>4</v>
      </c>
      <c r="E40" s="9" t="str" cm="1">
        <f t="array" ref="E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0" s="2" t="s">
        <v>138</v>
      </c>
      <c r="G40" t="s">
        <v>88</v>
      </c>
      <c r="H40" s="2">
        <v>5</v>
      </c>
      <c r="I40" s="2" t="str" cm="1">
        <f t="array" ref="I40">_xlfn.XLOOKUP(F40,Customers!A39:$A$1001,Customers!B39:$B$1001,"Not Found",0)</f>
        <v>Dorie de la Tremoille</v>
      </c>
      <c r="J40" s="2" t="str" cm="1">
        <f t="array" ref="J40">IF(_xlfn.XLOOKUP(F40,Customers!A39:$A$1001,Customers!C39:$C$1001,"Not Found",0)=0,"",_xlfn.XLOOKUP(F40,Customers!A39:$A$1001,Customers!C39:$C$1001,"Not Found",0))</f>
        <v>dde12@unesco.org</v>
      </c>
      <c r="K40" s="2" t="str" cm="1">
        <f t="array" ref="K40">_xlfn.XLOOKUP(F40,Customers!A39:$A$1001,Customers!G39:$G$1001,"Not Found",0)</f>
        <v>United States</v>
      </c>
      <c r="L40" t="str">
        <f>INDEX(Products!$A$1:$G$49,MATCH(Orders!$G40,Products!$A$1:$A$49,0),MATCH(Orders!L$1,Products!$A$1:$G$1,0))</f>
        <v>Rob</v>
      </c>
      <c r="M40" t="str">
        <f>INDEX(Products!$A$1:$G$49,MATCH(Orders!$G40,Products!$A$1:$A$49,0),MATCH(Orders!M$1,Products!$A$1:$G$1,0))</f>
        <v>M</v>
      </c>
      <c r="N40" s="4">
        <f>INDEX(Products!$A$1:$G$49,MATCH(Orders!$G40,Products!$A$1:$A$49,0),MATCH(Orders!N$1,Products!$A$1:$G$1,0))</f>
        <v>2.5</v>
      </c>
      <c r="O40" s="7">
        <f>INDEX(Products!$A$1:$G$49,MATCH(Orders!$G40,Products!$A$1:$A$49,0),MATCH(Orders!O$1,Products!$A$1:$G$1,0))</f>
        <v>22.884999999999998</v>
      </c>
      <c r="P40" s="7">
        <f t="shared" si="0"/>
        <v>114.42499999999998</v>
      </c>
      <c r="Q40" t="str" cm="1">
        <f t="array" ref="Q40">_xlfn.IFS(L40="Rob","Robusta",L40="Exc", "Excelsa",L40="Ara", "Arabica",L40="Lib", "Liberica")</f>
        <v>Robusta</v>
      </c>
      <c r="R40" t="str" cm="1">
        <f t="array" ref="R40">_xlfn.IFS(M40="M","Medium",M40="L","Light",M40="D","Dark")</f>
        <v>Medium</v>
      </c>
    </row>
    <row r="41" spans="1:18">
      <c r="A41" s="2" t="s">
        <v>139</v>
      </c>
      <c r="B41" s="3">
        <v>44524</v>
      </c>
      <c r="C41" s="9">
        <f>YEAR(Orders_Table[[#This Row],[Order Date]])</f>
        <v>2021</v>
      </c>
      <c r="D41" s="9">
        <f>MONTH(Orders_Table[[#This Row],[Order Date]])</f>
        <v>11</v>
      </c>
      <c r="E41" s="9" t="str" cm="1">
        <f t="array" ref="E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1" s="2" t="s">
        <v>140</v>
      </c>
      <c r="G41" t="s">
        <v>49</v>
      </c>
      <c r="H41" s="2">
        <v>6</v>
      </c>
      <c r="I41" s="2" t="str" cm="1">
        <f t="array" ref="I41">_xlfn.XLOOKUP(F41,Customers!A40:$A$1001,Customers!B40:$B$1001,"Not Found",0)</f>
        <v>Hy Zanetto</v>
      </c>
      <c r="J41" s="2" t="str" cm="1">
        <f t="array" ref="J41">IF(_xlfn.XLOOKUP(F41,Customers!A40:$A$1001,Customers!C40:$C$1001,"Not Found",0)=0,"",_xlfn.XLOOKUP(F41,Customers!A40:$A$1001,Customers!C40:$C$1001,"Not Found",0))</f>
        <v/>
      </c>
      <c r="K41" s="2" t="str" cm="1">
        <f t="array" ref="K41">_xlfn.XLOOKUP(F41,Customers!A40:$A$1001,Customers!G40:$G$1001,"Not Found",0)</f>
        <v>United States</v>
      </c>
      <c r="L41" t="str">
        <f>INDEX(Products!$A$1:$G$49,MATCH(Orders!$G41,Products!$A$1:$A$49,0),MATCH(Orders!L$1,Products!$A$1:$G$1,0))</f>
        <v>Rob</v>
      </c>
      <c r="M41" t="str">
        <f>INDEX(Products!$A$1:$G$49,MATCH(Orders!$G41,Products!$A$1:$A$49,0),MATCH(Orders!M$1,Products!$A$1:$G$1,0))</f>
        <v>M</v>
      </c>
      <c r="N41" s="4">
        <f>INDEX(Products!$A$1:$G$49,MATCH(Orders!$G41,Products!$A$1:$A$49,0),MATCH(Orders!N$1,Products!$A$1:$G$1,0))</f>
        <v>1</v>
      </c>
      <c r="O41" s="7">
        <f>INDEX(Products!$A$1:$G$49,MATCH(Orders!$G41,Products!$A$1:$A$49,0),MATCH(Orders!O$1,Products!$A$1:$G$1,0))</f>
        <v>9.9499999999999993</v>
      </c>
      <c r="P41" s="7">
        <f t="shared" si="0"/>
        <v>59.699999999999996</v>
      </c>
      <c r="Q41" t="str" cm="1">
        <f t="array" ref="Q41">_xlfn.IFS(L41="Rob","Robusta",L41="Exc", "Excelsa",L41="Ara", "Arabica",L41="Lib", "Liberica")</f>
        <v>Robusta</v>
      </c>
      <c r="R41" t="str" cm="1">
        <f t="array" ref="R41">_xlfn.IFS(M41="M","Medium",M41="L","Light",M41="D","Dark")</f>
        <v>Medium</v>
      </c>
    </row>
    <row r="42" spans="1:18">
      <c r="A42" s="2" t="s">
        <v>141</v>
      </c>
      <c r="B42" s="3">
        <v>44305</v>
      </c>
      <c r="C42" s="9">
        <f>YEAR(Orders_Table[[#This Row],[Order Date]])</f>
        <v>2021</v>
      </c>
      <c r="D42" s="9">
        <f>MONTH(Orders_Table[[#This Row],[Order Date]])</f>
        <v>4</v>
      </c>
      <c r="E42" s="9" t="str" cm="1">
        <f t="array" ref="E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2" s="2" t="s">
        <v>142</v>
      </c>
      <c r="G42" t="s">
        <v>143</v>
      </c>
      <c r="H42" s="2">
        <v>3</v>
      </c>
      <c r="I42" s="2" t="str" cm="1">
        <f t="array" ref="I42">_xlfn.XLOOKUP(F42,Customers!A41:$A$1001,Customers!B41:$B$1001,"Not Found",0)</f>
        <v>Jessica McNess</v>
      </c>
      <c r="J42" s="2" t="str" cm="1">
        <f t="array" ref="J42">IF(_xlfn.XLOOKUP(F42,Customers!A41:$A$1001,Customers!C41:$C$1001,"Not Found",0)=0,"",_xlfn.XLOOKUP(F42,Customers!A41:$A$1001,Customers!C41:$C$1001,"Not Found",0))</f>
        <v/>
      </c>
      <c r="K42" s="2" t="str" cm="1">
        <f t="array" ref="K42">_xlfn.XLOOKUP(F42,Customers!A41:$A$1001,Customers!G41:$G$1001,"Not Found",0)</f>
        <v>United States</v>
      </c>
      <c r="L42" t="str">
        <f>INDEX(Products!$A$1:$G$49,MATCH(Orders!$G42,Products!$A$1:$A$49,0),MATCH(Orders!L$1,Products!$A$1:$G$1,0))</f>
        <v>Lib</v>
      </c>
      <c r="M42" t="str">
        <f>INDEX(Products!$A$1:$G$49,MATCH(Orders!$G42,Products!$A$1:$A$49,0),MATCH(Orders!M$1,Products!$A$1:$G$1,0))</f>
        <v>M</v>
      </c>
      <c r="N42" s="4">
        <f>INDEX(Products!$A$1:$G$49,MATCH(Orders!$G42,Products!$A$1:$A$49,0),MATCH(Orders!N$1,Products!$A$1:$G$1,0))</f>
        <v>1</v>
      </c>
      <c r="O42" s="7">
        <f>INDEX(Products!$A$1:$G$49,MATCH(Orders!$G42,Products!$A$1:$A$49,0),MATCH(Orders!O$1,Products!$A$1:$G$1,0))</f>
        <v>14.55</v>
      </c>
      <c r="P42" s="7">
        <f t="shared" si="0"/>
        <v>43.650000000000006</v>
      </c>
      <c r="Q42" t="str" cm="1">
        <f t="array" ref="Q42">_xlfn.IFS(L42="Rob","Robusta",L42="Exc", "Excelsa",L42="Ara", "Arabica",L42="Lib", "Liberica")</f>
        <v>Liberica</v>
      </c>
      <c r="R42" t="str" cm="1">
        <f t="array" ref="R42">_xlfn.IFS(M42="M","Medium",M42="L","Light",M42="D","Dark")</f>
        <v>Medium</v>
      </c>
    </row>
    <row r="43" spans="1:18">
      <c r="A43" s="2" t="s">
        <v>144</v>
      </c>
      <c r="B43" s="3">
        <v>44749</v>
      </c>
      <c r="C43" s="9">
        <f>YEAR(Orders_Table[[#This Row],[Order Date]])</f>
        <v>2022</v>
      </c>
      <c r="D43" s="9">
        <f>MONTH(Orders_Table[[#This Row],[Order Date]])</f>
        <v>7</v>
      </c>
      <c r="E43" s="9" t="str" cm="1">
        <f t="array" ref="E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3" s="2" t="s">
        <v>145</v>
      </c>
      <c r="G43" t="s">
        <v>98</v>
      </c>
      <c r="H43" s="2">
        <v>2</v>
      </c>
      <c r="I43" s="2" t="str" cm="1">
        <f t="array" ref="I43">_xlfn.XLOOKUP(F43,Customers!A42:$A$1001,Customers!B42:$B$1001,"Not Found",0)</f>
        <v>Lorenzo Yeoland</v>
      </c>
      <c r="J43" s="2" t="str" cm="1">
        <f t="array" ref="J43">IF(_xlfn.XLOOKUP(F43,Customers!A42:$A$1001,Customers!C42:$C$1001,"Not Found",0)=0,"",_xlfn.XLOOKUP(F43,Customers!A42:$A$1001,Customers!C42:$C$1001,"Not Found",0))</f>
        <v>lyeoland15@pbs.org</v>
      </c>
      <c r="K43" s="2" t="str" cm="1">
        <f t="array" ref="K43">_xlfn.XLOOKUP(F43,Customers!A42:$A$1001,Customers!G42:$G$1001,"Not Found",0)</f>
        <v>United States</v>
      </c>
      <c r="L43" t="str">
        <f>INDEX(Products!$A$1:$G$49,MATCH(Orders!$G43,Products!$A$1:$A$49,0),MATCH(Orders!L$1,Products!$A$1:$G$1,0))</f>
        <v>Exc</v>
      </c>
      <c r="M43" t="str">
        <f>INDEX(Products!$A$1:$G$49,MATCH(Orders!$G43,Products!$A$1:$A$49,0),MATCH(Orders!M$1,Products!$A$1:$G$1,0))</f>
        <v>D</v>
      </c>
      <c r="N43" s="4">
        <f>INDEX(Products!$A$1:$G$49,MATCH(Orders!$G43,Products!$A$1:$A$49,0),MATCH(Orders!N$1,Products!$A$1:$G$1,0))</f>
        <v>0.2</v>
      </c>
      <c r="O43" s="7">
        <f>INDEX(Products!$A$1:$G$49,MATCH(Orders!$G43,Products!$A$1:$A$49,0),MATCH(Orders!O$1,Products!$A$1:$G$1,0))</f>
        <v>3.645</v>
      </c>
      <c r="P43" s="7">
        <f t="shared" si="0"/>
        <v>7.29</v>
      </c>
      <c r="Q43" t="str" cm="1">
        <f t="array" ref="Q43">_xlfn.IFS(L43="Rob","Robusta",L43="Exc", "Excelsa",L43="Ara", "Arabica",L43="Lib", "Liberica")</f>
        <v>Excelsa</v>
      </c>
      <c r="R43" t="str" cm="1">
        <f t="array" ref="R43">_xlfn.IFS(M43="M","Medium",M43="L","Light",M43="D","Dark")</f>
        <v>Dark</v>
      </c>
    </row>
    <row r="44" spans="1:18">
      <c r="A44" s="2" t="s">
        <v>146</v>
      </c>
      <c r="B44" s="3">
        <v>43607</v>
      </c>
      <c r="C44" s="9">
        <f>YEAR(Orders_Table[[#This Row],[Order Date]])</f>
        <v>2019</v>
      </c>
      <c r="D44" s="9">
        <f>MONTH(Orders_Table[[#This Row],[Order Date]])</f>
        <v>5</v>
      </c>
      <c r="E44" s="9" t="str" cm="1">
        <f t="array" ref="E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4" s="2" t="s">
        <v>147</v>
      </c>
      <c r="G44" t="s">
        <v>148</v>
      </c>
      <c r="H44" s="2">
        <v>3</v>
      </c>
      <c r="I44" s="2" t="str" cm="1">
        <f t="array" ref="I44">_xlfn.XLOOKUP(F44,Customers!A43:$A$1001,Customers!B43:$B$1001,"Not Found",0)</f>
        <v>Abigail Tolworthy</v>
      </c>
      <c r="J44" s="2" t="str" cm="1">
        <f t="array" ref="J44">IF(_xlfn.XLOOKUP(F44,Customers!A43:$A$1001,Customers!C43:$C$1001,"Not Found",0)=0,"",_xlfn.XLOOKUP(F44,Customers!A43:$A$1001,Customers!C43:$C$1001,"Not Found",0))</f>
        <v>atolworthy16@toplist.cz</v>
      </c>
      <c r="K44" s="2" t="str" cm="1">
        <f t="array" ref="K44">_xlfn.XLOOKUP(F44,Customers!A43:$A$1001,Customers!G43:$G$1001,"Not Found",0)</f>
        <v>United States</v>
      </c>
      <c r="L44" t="str">
        <f>INDEX(Products!$A$1:$G$49,MATCH(Orders!$G44,Products!$A$1:$A$49,0),MATCH(Orders!L$1,Products!$A$1:$G$1,0))</f>
        <v>Rob</v>
      </c>
      <c r="M44" t="str">
        <f>INDEX(Products!$A$1:$G$49,MATCH(Orders!$G44,Products!$A$1:$A$49,0),MATCH(Orders!M$1,Products!$A$1:$G$1,0))</f>
        <v>D</v>
      </c>
      <c r="N44" s="4">
        <f>INDEX(Products!$A$1:$G$49,MATCH(Orders!$G44,Products!$A$1:$A$49,0),MATCH(Orders!N$1,Products!$A$1:$G$1,0))</f>
        <v>0.2</v>
      </c>
      <c r="O44" s="7">
        <f>INDEX(Products!$A$1:$G$49,MATCH(Orders!$G44,Products!$A$1:$A$49,0),MATCH(Orders!O$1,Products!$A$1:$G$1,0))</f>
        <v>2.6849999999999996</v>
      </c>
      <c r="P44" s="7">
        <f t="shared" si="0"/>
        <v>8.0549999999999997</v>
      </c>
      <c r="Q44" t="str" cm="1">
        <f t="array" ref="Q44">_xlfn.IFS(L44="Rob","Robusta",L44="Exc", "Excelsa",L44="Ara", "Arabica",L44="Lib", "Liberica")</f>
        <v>Robusta</v>
      </c>
      <c r="R44" t="str" cm="1">
        <f t="array" ref="R44">_xlfn.IFS(M44="M","Medium",M44="L","Light",M44="D","Dark")</f>
        <v>Dark</v>
      </c>
    </row>
    <row r="45" spans="1:18">
      <c r="A45" s="2" t="s">
        <v>149</v>
      </c>
      <c r="B45" s="3">
        <v>44473</v>
      </c>
      <c r="C45" s="9">
        <f>YEAR(Orders_Table[[#This Row],[Order Date]])</f>
        <v>2021</v>
      </c>
      <c r="D45" s="9">
        <f>MONTH(Orders_Table[[#This Row],[Order Date]])</f>
        <v>10</v>
      </c>
      <c r="E45" s="9" t="str" cm="1">
        <f t="array" ref="E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5" s="2" t="s">
        <v>150</v>
      </c>
      <c r="G45" t="s">
        <v>151</v>
      </c>
      <c r="H45" s="2">
        <v>2</v>
      </c>
      <c r="I45" s="2" t="str" cm="1">
        <f t="array" ref="I45">_xlfn.XLOOKUP(F45,Customers!A44:$A$1001,Customers!B44:$B$1001,"Not Found",0)</f>
        <v>Maurie Bartol</v>
      </c>
      <c r="J45" s="2" t="str" cm="1">
        <f t="array" ref="J45">IF(_xlfn.XLOOKUP(F45,Customers!A44:$A$1001,Customers!C44:$C$1001,"Not Found",0)=0,"",_xlfn.XLOOKUP(F45,Customers!A44:$A$1001,Customers!C44:$C$1001,"Not Found",0))</f>
        <v/>
      </c>
      <c r="K45" s="2" t="str" cm="1">
        <f t="array" ref="K45">_xlfn.XLOOKUP(F45,Customers!A44:$A$1001,Customers!G44:$G$1001,"Not Found",0)</f>
        <v>United States</v>
      </c>
      <c r="L45" t="str">
        <f>INDEX(Products!$A$1:$G$49,MATCH(Orders!$G45,Products!$A$1:$A$49,0),MATCH(Orders!L$1,Products!$A$1:$G$1,0))</f>
        <v>Lib</v>
      </c>
      <c r="M45" t="str">
        <f>INDEX(Products!$A$1:$G$49,MATCH(Orders!$G45,Products!$A$1:$A$49,0),MATCH(Orders!M$1,Products!$A$1:$G$1,0))</f>
        <v>L</v>
      </c>
      <c r="N45" s="4">
        <f>INDEX(Products!$A$1:$G$49,MATCH(Orders!$G45,Products!$A$1:$A$49,0),MATCH(Orders!N$1,Products!$A$1:$G$1,0))</f>
        <v>2.5</v>
      </c>
      <c r="O45" s="7">
        <f>INDEX(Products!$A$1:$G$49,MATCH(Orders!$G45,Products!$A$1:$A$49,0),MATCH(Orders!O$1,Products!$A$1:$G$1,0))</f>
        <v>36.454999999999998</v>
      </c>
      <c r="P45" s="7">
        <f t="shared" si="0"/>
        <v>72.91</v>
      </c>
      <c r="Q45" t="str" cm="1">
        <f t="array" ref="Q45">_xlfn.IFS(L45="Rob","Robusta",L45="Exc", "Excelsa",L45="Ara", "Arabica",L45="Lib", "Liberica")</f>
        <v>Liberica</v>
      </c>
      <c r="R45" t="str" cm="1">
        <f t="array" ref="R45">_xlfn.IFS(M45="M","Medium",M45="L","Light",M45="D","Dark")</f>
        <v>Light</v>
      </c>
    </row>
    <row r="46" spans="1:18">
      <c r="A46" s="2" t="s">
        <v>152</v>
      </c>
      <c r="B46" s="3">
        <v>43932</v>
      </c>
      <c r="C46" s="9">
        <f>YEAR(Orders_Table[[#This Row],[Order Date]])</f>
        <v>2020</v>
      </c>
      <c r="D46" s="9">
        <f>MONTH(Orders_Table[[#This Row],[Order Date]])</f>
        <v>4</v>
      </c>
      <c r="E46" s="9" t="str" cm="1">
        <f t="array" ref="E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6" s="2" t="s">
        <v>153</v>
      </c>
      <c r="G46" t="s">
        <v>50</v>
      </c>
      <c r="H46" s="2">
        <v>2</v>
      </c>
      <c r="I46" s="2" t="str" cm="1">
        <f t="array" ref="I46">_xlfn.XLOOKUP(F46,Customers!A45:$A$1001,Customers!B45:$B$1001,"Not Found",0)</f>
        <v>Olag Baudassi</v>
      </c>
      <c r="J46" s="2" t="str" cm="1">
        <f t="array" ref="J46">IF(_xlfn.XLOOKUP(F46,Customers!A45:$A$1001,Customers!C45:$C$1001,"Not Found",0)=0,"",_xlfn.XLOOKUP(F46,Customers!A45:$A$1001,Customers!C45:$C$1001,"Not Found",0))</f>
        <v>obaudassi18@seesaa.net</v>
      </c>
      <c r="K46" s="2" t="str" cm="1">
        <f t="array" ref="K46">_xlfn.XLOOKUP(F46,Customers!A45:$A$1001,Customers!G45:$G$1001,"Not Found",0)</f>
        <v>United States</v>
      </c>
      <c r="L46" t="str">
        <f>INDEX(Products!$A$1:$G$49,MATCH(Orders!$G46,Products!$A$1:$A$49,0),MATCH(Orders!L$1,Products!$A$1:$G$1,0))</f>
        <v>Exc</v>
      </c>
      <c r="M46" t="str">
        <f>INDEX(Products!$A$1:$G$49,MATCH(Orders!$G46,Products!$A$1:$A$49,0),MATCH(Orders!M$1,Products!$A$1:$G$1,0))</f>
        <v>M</v>
      </c>
      <c r="N46" s="4">
        <f>INDEX(Products!$A$1:$G$49,MATCH(Orders!$G46,Products!$A$1:$A$49,0),MATCH(Orders!N$1,Products!$A$1:$G$1,0))</f>
        <v>0.5</v>
      </c>
      <c r="O46" s="7">
        <f>INDEX(Products!$A$1:$G$49,MATCH(Orders!$G46,Products!$A$1:$A$49,0),MATCH(Orders!O$1,Products!$A$1:$G$1,0))</f>
        <v>8.25</v>
      </c>
      <c r="P46" s="7">
        <f t="shared" si="0"/>
        <v>16.5</v>
      </c>
      <c r="Q46" t="str" cm="1">
        <f t="array" ref="Q46">_xlfn.IFS(L46="Rob","Robusta",L46="Exc", "Excelsa",L46="Ara", "Arabica",L46="Lib", "Liberica")</f>
        <v>Excelsa</v>
      </c>
      <c r="R46" t="str" cm="1">
        <f t="array" ref="R46">_xlfn.IFS(M46="M","Medium",M46="L","Light",M46="D","Dark")</f>
        <v>Medium</v>
      </c>
    </row>
    <row r="47" spans="1:18">
      <c r="A47" s="2" t="s">
        <v>154</v>
      </c>
      <c r="B47" s="3">
        <v>44592</v>
      </c>
      <c r="C47" s="9">
        <f>YEAR(Orders_Table[[#This Row],[Order Date]])</f>
        <v>2022</v>
      </c>
      <c r="D47" s="9">
        <f>MONTH(Orders_Table[[#This Row],[Order Date]])</f>
        <v>1</v>
      </c>
      <c r="E47" s="9" t="str" cm="1">
        <f t="array" ref="E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7" s="2" t="s">
        <v>155</v>
      </c>
      <c r="G47" t="s">
        <v>156</v>
      </c>
      <c r="H47" s="2">
        <v>6</v>
      </c>
      <c r="I47" s="2" t="str" cm="1">
        <f t="array" ref="I47">_xlfn.XLOOKUP(F47,Customers!A46:$A$1001,Customers!B46:$B$1001,"Not Found",0)</f>
        <v>Petey Kingsbury</v>
      </c>
      <c r="J47" s="2" t="str" cm="1">
        <f t="array" ref="J47">IF(_xlfn.XLOOKUP(F47,Customers!A46:$A$1001,Customers!C46:$C$1001,"Not Found",0)=0,"",_xlfn.XLOOKUP(F47,Customers!A46:$A$1001,Customers!C46:$C$1001,"Not Found",0))</f>
        <v>pkingsbury19@comcast.net</v>
      </c>
      <c r="K47" s="2" t="str" cm="1">
        <f t="array" ref="K47">_xlfn.XLOOKUP(F47,Customers!A46:$A$1001,Customers!G46:$G$1001,"Not Found",0)</f>
        <v>United States</v>
      </c>
      <c r="L47" t="str">
        <f>INDEX(Products!$A$1:$G$49,MATCH(Orders!$G47,Products!$A$1:$A$49,0),MATCH(Orders!L$1,Products!$A$1:$G$1,0))</f>
        <v>Lib</v>
      </c>
      <c r="M47" t="str">
        <f>INDEX(Products!$A$1:$G$49,MATCH(Orders!$G47,Products!$A$1:$A$49,0),MATCH(Orders!M$1,Products!$A$1:$G$1,0))</f>
        <v>D</v>
      </c>
      <c r="N47" s="4">
        <f>INDEX(Products!$A$1:$G$49,MATCH(Orders!$G47,Products!$A$1:$A$49,0),MATCH(Orders!N$1,Products!$A$1:$G$1,0))</f>
        <v>2.5</v>
      </c>
      <c r="O47" s="7">
        <f>INDEX(Products!$A$1:$G$49,MATCH(Orders!$G47,Products!$A$1:$A$49,0),MATCH(Orders!O$1,Products!$A$1:$G$1,0))</f>
        <v>29.784999999999997</v>
      </c>
      <c r="P47" s="7">
        <f t="shared" si="0"/>
        <v>178.70999999999998</v>
      </c>
      <c r="Q47" t="str" cm="1">
        <f t="array" ref="Q47">_xlfn.IFS(L47="Rob","Robusta",L47="Exc", "Excelsa",L47="Ara", "Arabica",L47="Lib", "Liberica")</f>
        <v>Liberica</v>
      </c>
      <c r="R47" t="str" cm="1">
        <f t="array" ref="R47">_xlfn.IFS(M47="M","Medium",M47="L","Light",M47="D","Dark")</f>
        <v>Dark</v>
      </c>
    </row>
    <row r="48" spans="1:18">
      <c r="A48" s="2" t="s">
        <v>157</v>
      </c>
      <c r="B48" s="3">
        <v>43776</v>
      </c>
      <c r="C48" s="9">
        <f>YEAR(Orders_Table[[#This Row],[Order Date]])</f>
        <v>2019</v>
      </c>
      <c r="D48" s="9">
        <f>MONTH(Orders_Table[[#This Row],[Order Date]])</f>
        <v>11</v>
      </c>
      <c r="E48" s="9" t="str" cm="1">
        <f t="array" ref="E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8" s="2" t="s">
        <v>158</v>
      </c>
      <c r="G48" t="s">
        <v>159</v>
      </c>
      <c r="H48" s="2">
        <v>2</v>
      </c>
      <c r="I48" s="2" t="str" cm="1">
        <f t="array" ref="I48">_xlfn.XLOOKUP(F48,Customers!A47:$A$1001,Customers!B47:$B$1001,"Not Found",0)</f>
        <v>Donna Baskeyfied</v>
      </c>
      <c r="J48" s="2" t="str" cm="1">
        <f t="array" ref="J48">IF(_xlfn.XLOOKUP(F48,Customers!A47:$A$1001,Customers!C47:$C$1001,"Not Found",0)=0,"",_xlfn.XLOOKUP(F48,Customers!A47:$A$1001,Customers!C47:$C$1001,"Not Found",0))</f>
        <v/>
      </c>
      <c r="K48" s="2" t="str" cm="1">
        <f t="array" ref="K48">_xlfn.XLOOKUP(F48,Customers!A47:$A$1001,Customers!G47:$G$1001,"Not Found",0)</f>
        <v>United States</v>
      </c>
      <c r="L48" t="str">
        <f>INDEX(Products!$A$1:$G$49,MATCH(Orders!$G48,Products!$A$1:$A$49,0),MATCH(Orders!L$1,Products!$A$1:$G$1,0))</f>
        <v>Exc</v>
      </c>
      <c r="M48" t="str">
        <f>INDEX(Products!$A$1:$G$49,MATCH(Orders!$G48,Products!$A$1:$A$49,0),MATCH(Orders!M$1,Products!$A$1:$G$1,0))</f>
        <v>M</v>
      </c>
      <c r="N48" s="4">
        <f>INDEX(Products!$A$1:$G$49,MATCH(Orders!$G48,Products!$A$1:$A$49,0),MATCH(Orders!N$1,Products!$A$1:$G$1,0))</f>
        <v>2.5</v>
      </c>
      <c r="O48" s="7">
        <f>INDEX(Products!$A$1:$G$49,MATCH(Orders!$G48,Products!$A$1:$A$49,0),MATCH(Orders!O$1,Products!$A$1:$G$1,0))</f>
        <v>31.624999999999996</v>
      </c>
      <c r="P48" s="7">
        <f t="shared" si="0"/>
        <v>63.249999999999993</v>
      </c>
      <c r="Q48" t="str" cm="1">
        <f t="array" ref="Q48">_xlfn.IFS(L48="Rob","Robusta",L48="Exc", "Excelsa",L48="Ara", "Arabica",L48="Lib", "Liberica")</f>
        <v>Excelsa</v>
      </c>
      <c r="R48" t="str" cm="1">
        <f t="array" ref="R48">_xlfn.IFS(M48="M","Medium",M48="L","Light",M48="D","Dark")</f>
        <v>Medium</v>
      </c>
    </row>
    <row r="49" spans="1:18">
      <c r="A49" s="2" t="s">
        <v>160</v>
      </c>
      <c r="B49" s="3">
        <v>43644</v>
      </c>
      <c r="C49" s="9">
        <f>YEAR(Orders_Table[[#This Row],[Order Date]])</f>
        <v>2019</v>
      </c>
      <c r="D49" s="9">
        <f>MONTH(Orders_Table[[#This Row],[Order Date]])</f>
        <v>6</v>
      </c>
      <c r="E49" s="9" t="str" cm="1">
        <f t="array" ref="E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9" s="2" t="s">
        <v>161</v>
      </c>
      <c r="G49" t="s">
        <v>162</v>
      </c>
      <c r="H49" s="2">
        <v>2</v>
      </c>
      <c r="I49" s="2" t="str" cm="1">
        <f t="array" ref="I49">_xlfn.XLOOKUP(F49,Customers!A48:$A$1001,Customers!B48:$B$1001,"Not Found",0)</f>
        <v>Arda Curley</v>
      </c>
      <c r="J49" s="2" t="str" cm="1">
        <f t="array" ref="J49">IF(_xlfn.XLOOKUP(F49,Customers!A48:$A$1001,Customers!C48:$C$1001,"Not Found",0)=0,"",_xlfn.XLOOKUP(F49,Customers!A48:$A$1001,Customers!C48:$C$1001,"Not Found",0))</f>
        <v>acurley1b@hao123.com</v>
      </c>
      <c r="K49" s="2" t="str" cm="1">
        <f t="array" ref="K49">_xlfn.XLOOKUP(F49,Customers!A48:$A$1001,Customers!G48:$G$1001,"Not Found",0)</f>
        <v>United States</v>
      </c>
      <c r="L49" t="str">
        <f>INDEX(Products!$A$1:$G$49,MATCH(Orders!$G49,Products!$A$1:$A$49,0),MATCH(Orders!L$1,Products!$A$1:$G$1,0))</f>
        <v>Ara</v>
      </c>
      <c r="M49" t="str">
        <f>INDEX(Products!$A$1:$G$49,MATCH(Orders!$G49,Products!$A$1:$A$49,0),MATCH(Orders!M$1,Products!$A$1:$G$1,0))</f>
        <v>L</v>
      </c>
      <c r="N49" s="4">
        <f>INDEX(Products!$A$1:$G$49,MATCH(Orders!$G49,Products!$A$1:$A$49,0),MATCH(Orders!N$1,Products!$A$1:$G$1,0))</f>
        <v>0.2</v>
      </c>
      <c r="O49" s="7">
        <f>INDEX(Products!$A$1:$G$49,MATCH(Orders!$G49,Products!$A$1:$A$49,0),MATCH(Orders!O$1,Products!$A$1:$G$1,0))</f>
        <v>3.8849999999999998</v>
      </c>
      <c r="P49" s="7">
        <f t="shared" si="0"/>
        <v>7.77</v>
      </c>
      <c r="Q49" t="str" cm="1">
        <f t="array" ref="Q49">_xlfn.IFS(L49="Rob","Robusta",L49="Exc", "Excelsa",L49="Ara", "Arabica",L49="Lib", "Liberica")</f>
        <v>Arabica</v>
      </c>
      <c r="R49" t="str" cm="1">
        <f t="array" ref="R49">_xlfn.IFS(M49="M","Medium",M49="L","Light",M49="D","Dark")</f>
        <v>Light</v>
      </c>
    </row>
    <row r="50" spans="1:18">
      <c r="A50" s="2" t="s">
        <v>163</v>
      </c>
      <c r="B50" s="3">
        <v>44085</v>
      </c>
      <c r="C50" s="9">
        <f>YEAR(Orders_Table[[#This Row],[Order Date]])</f>
        <v>2020</v>
      </c>
      <c r="D50" s="9">
        <f>MONTH(Orders_Table[[#This Row],[Order Date]])</f>
        <v>9</v>
      </c>
      <c r="E50" s="9" t="str" cm="1">
        <f t="array" ref="E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0" s="2" t="s">
        <v>164</v>
      </c>
      <c r="G50" t="s">
        <v>165</v>
      </c>
      <c r="H50" s="2">
        <v>4</v>
      </c>
      <c r="I50" s="2" t="str" cm="1">
        <f t="array" ref="I50">_xlfn.XLOOKUP(F50,Customers!A49:$A$1001,Customers!B49:$B$1001,"Not Found",0)</f>
        <v>Raynor McGilvary</v>
      </c>
      <c r="J50" s="2" t="str" cm="1">
        <f t="array" ref="J50">IF(_xlfn.XLOOKUP(F50,Customers!A49:$A$1001,Customers!C49:$C$1001,"Not Found",0)=0,"",_xlfn.XLOOKUP(F50,Customers!A49:$A$1001,Customers!C49:$C$1001,"Not Found",0))</f>
        <v>rmcgilvary1c@tamu.edu</v>
      </c>
      <c r="K50" s="2" t="str" cm="1">
        <f t="array" ref="K50">_xlfn.XLOOKUP(F50,Customers!A49:$A$1001,Customers!G49:$G$1001,"Not Found",0)</f>
        <v>United States</v>
      </c>
      <c r="L50" t="str">
        <f>INDEX(Products!$A$1:$G$49,MATCH(Orders!$G50,Products!$A$1:$A$49,0),MATCH(Orders!L$1,Products!$A$1:$G$1,0))</f>
        <v>Ara</v>
      </c>
      <c r="M50" t="str">
        <f>INDEX(Products!$A$1:$G$49,MATCH(Orders!$G50,Products!$A$1:$A$49,0),MATCH(Orders!M$1,Products!$A$1:$G$1,0))</f>
        <v>D</v>
      </c>
      <c r="N50" s="4">
        <f>INDEX(Products!$A$1:$G$49,MATCH(Orders!$G50,Products!$A$1:$A$49,0),MATCH(Orders!N$1,Products!$A$1:$G$1,0))</f>
        <v>2.5</v>
      </c>
      <c r="O50" s="7">
        <f>INDEX(Products!$A$1:$G$49,MATCH(Orders!$G50,Products!$A$1:$A$49,0),MATCH(Orders!O$1,Products!$A$1:$G$1,0))</f>
        <v>22.884999999999998</v>
      </c>
      <c r="P50" s="7">
        <f t="shared" si="0"/>
        <v>91.539999999999992</v>
      </c>
      <c r="Q50" t="str" cm="1">
        <f t="array" ref="Q50">_xlfn.IFS(L50="Rob","Robusta",L50="Exc", "Excelsa",L50="Ara", "Arabica",L50="Lib", "Liberica")</f>
        <v>Arabica</v>
      </c>
      <c r="R50" t="str" cm="1">
        <f t="array" ref="R50">_xlfn.IFS(M50="M","Medium",M50="L","Light",M50="D","Dark")</f>
        <v>Dark</v>
      </c>
    </row>
    <row r="51" spans="1:18">
      <c r="A51" s="2" t="s">
        <v>166</v>
      </c>
      <c r="B51" s="3">
        <v>44790</v>
      </c>
      <c r="C51" s="9">
        <f>YEAR(Orders_Table[[#This Row],[Order Date]])</f>
        <v>2022</v>
      </c>
      <c r="D51" s="9">
        <f>MONTH(Orders_Table[[#This Row],[Order Date]])</f>
        <v>8</v>
      </c>
      <c r="E51" s="9" t="str" cm="1">
        <f t="array" ref="E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51" s="2" t="s">
        <v>167</v>
      </c>
      <c r="G51" t="s">
        <v>53</v>
      </c>
      <c r="H51" s="2">
        <v>3</v>
      </c>
      <c r="I51" s="2" t="str" cm="1">
        <f t="array" ref="I51">_xlfn.XLOOKUP(F51,Customers!A50:$A$1001,Customers!B50:$B$1001,"Not Found",0)</f>
        <v>Isis Pikett</v>
      </c>
      <c r="J51" s="2" t="str" cm="1">
        <f t="array" ref="J51">IF(_xlfn.XLOOKUP(F51,Customers!A50:$A$1001,Customers!C50:$C$1001,"Not Found",0)=0,"",_xlfn.XLOOKUP(F51,Customers!A50:$A$1001,Customers!C50:$C$1001,"Not Found",0))</f>
        <v>ipikett1d@xinhuanet.com</v>
      </c>
      <c r="K51" s="2" t="str" cm="1">
        <f t="array" ref="K51">_xlfn.XLOOKUP(F51,Customers!A50:$A$1001,Customers!G50:$G$1001,"Not Found",0)</f>
        <v>United States</v>
      </c>
      <c r="L51" t="str">
        <f>INDEX(Products!$A$1:$G$49,MATCH(Orders!$G51,Products!$A$1:$A$49,0),MATCH(Orders!L$1,Products!$A$1:$G$1,0))</f>
        <v>Ara</v>
      </c>
      <c r="M51" t="str">
        <f>INDEX(Products!$A$1:$G$49,MATCH(Orders!$G51,Products!$A$1:$A$49,0),MATCH(Orders!M$1,Products!$A$1:$G$1,0))</f>
        <v>L</v>
      </c>
      <c r="N51" s="4">
        <f>INDEX(Products!$A$1:$G$49,MATCH(Orders!$G51,Products!$A$1:$A$49,0),MATCH(Orders!N$1,Products!$A$1:$G$1,0))</f>
        <v>1</v>
      </c>
      <c r="O51" s="7">
        <f>INDEX(Products!$A$1:$G$49,MATCH(Orders!$G51,Products!$A$1:$A$49,0),MATCH(Orders!O$1,Products!$A$1:$G$1,0))</f>
        <v>12.95</v>
      </c>
      <c r="P51" s="7">
        <f t="shared" si="0"/>
        <v>38.849999999999994</v>
      </c>
      <c r="Q51" t="str" cm="1">
        <f t="array" ref="Q51">_xlfn.IFS(L51="Rob","Robusta",L51="Exc", "Excelsa",L51="Ara", "Arabica",L51="Lib", "Liberica")</f>
        <v>Arabica</v>
      </c>
      <c r="R51" t="str" cm="1">
        <f t="array" ref="R51">_xlfn.IFS(M51="M","Medium",M51="L","Light",M51="D","Dark")</f>
        <v>Light</v>
      </c>
    </row>
    <row r="52" spans="1:18">
      <c r="A52" s="2" t="s">
        <v>168</v>
      </c>
      <c r="B52" s="3">
        <v>44792</v>
      </c>
      <c r="C52" s="9">
        <f>YEAR(Orders_Table[[#This Row],[Order Date]])</f>
        <v>2022</v>
      </c>
      <c r="D52" s="9">
        <f>MONTH(Orders_Table[[#This Row],[Order Date]])</f>
        <v>8</v>
      </c>
      <c r="E52" s="9" t="str" cm="1">
        <f t="array" ref="E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52" s="2" t="s">
        <v>169</v>
      </c>
      <c r="G52" t="s">
        <v>170</v>
      </c>
      <c r="H52" s="2">
        <v>2</v>
      </c>
      <c r="I52" s="2" t="str" cm="1">
        <f t="array" ref="I52">_xlfn.XLOOKUP(F52,Customers!A51:$A$1001,Customers!B51:$B$1001,"Not Found",0)</f>
        <v>Inger Bouldon</v>
      </c>
      <c r="J52" s="2" t="str" cm="1">
        <f t="array" ref="J52">IF(_xlfn.XLOOKUP(F52,Customers!A51:$A$1001,Customers!C51:$C$1001,"Not Found",0)=0,"",_xlfn.XLOOKUP(F52,Customers!A51:$A$1001,Customers!C51:$C$1001,"Not Found",0))</f>
        <v>ibouldon1e@gizmodo.com</v>
      </c>
      <c r="K52" s="2" t="str" cm="1">
        <f t="array" ref="K52">_xlfn.XLOOKUP(F52,Customers!A51:$A$1001,Customers!G51:$G$1001,"Not Found",0)</f>
        <v>United States</v>
      </c>
      <c r="L52" t="str">
        <f>INDEX(Products!$A$1:$G$49,MATCH(Orders!$G52,Products!$A$1:$A$49,0),MATCH(Orders!L$1,Products!$A$1:$G$1,0))</f>
        <v>Lib</v>
      </c>
      <c r="M52" t="str">
        <f>INDEX(Products!$A$1:$G$49,MATCH(Orders!$G52,Products!$A$1:$A$49,0),MATCH(Orders!M$1,Products!$A$1:$G$1,0))</f>
        <v>D</v>
      </c>
      <c r="N52" s="4">
        <f>INDEX(Products!$A$1:$G$49,MATCH(Orders!$G52,Products!$A$1:$A$49,0),MATCH(Orders!N$1,Products!$A$1:$G$1,0))</f>
        <v>0.5</v>
      </c>
      <c r="O52" s="7">
        <f>INDEX(Products!$A$1:$G$49,MATCH(Orders!$G52,Products!$A$1:$A$49,0),MATCH(Orders!O$1,Products!$A$1:$G$1,0))</f>
        <v>7.77</v>
      </c>
      <c r="P52" s="7">
        <f t="shared" si="0"/>
        <v>15.54</v>
      </c>
      <c r="Q52" t="str" cm="1">
        <f t="array" ref="Q52">_xlfn.IFS(L52="Rob","Robusta",L52="Exc", "Excelsa",L52="Ara", "Arabica",L52="Lib", "Liberica")</f>
        <v>Liberica</v>
      </c>
      <c r="R52" t="str" cm="1">
        <f t="array" ref="R52">_xlfn.IFS(M52="M","Medium",M52="L","Light",M52="D","Dark")</f>
        <v>Dark</v>
      </c>
    </row>
    <row r="53" spans="1:18">
      <c r="A53" s="2" t="s">
        <v>171</v>
      </c>
      <c r="B53" s="3">
        <v>43600</v>
      </c>
      <c r="C53" s="9">
        <f>YEAR(Orders_Table[[#This Row],[Order Date]])</f>
        <v>2019</v>
      </c>
      <c r="D53" s="9">
        <f>MONTH(Orders_Table[[#This Row],[Order Date]])</f>
        <v>5</v>
      </c>
      <c r="E53" s="9" t="str" cm="1">
        <f t="array" ref="E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3" s="2" t="s">
        <v>172</v>
      </c>
      <c r="G53" t="s">
        <v>151</v>
      </c>
      <c r="H53" s="2">
        <v>4</v>
      </c>
      <c r="I53" s="2" t="str" cm="1">
        <f t="array" ref="I53">_xlfn.XLOOKUP(F53,Customers!A52:$A$1001,Customers!B52:$B$1001,"Not Found",0)</f>
        <v>Karry Flanders</v>
      </c>
      <c r="J53" s="2" t="str" cm="1">
        <f t="array" ref="J53">IF(_xlfn.XLOOKUP(F53,Customers!A52:$A$1001,Customers!C52:$C$1001,"Not Found",0)=0,"",_xlfn.XLOOKUP(F53,Customers!A52:$A$1001,Customers!C52:$C$1001,"Not Found",0))</f>
        <v>kflanders1f@over-blog.com</v>
      </c>
      <c r="K53" s="2" t="str" cm="1">
        <f t="array" ref="K53">_xlfn.XLOOKUP(F53,Customers!A52:$A$1001,Customers!G52:$G$1001,"Not Found",0)</f>
        <v>Ireland</v>
      </c>
      <c r="L53" t="str">
        <f>INDEX(Products!$A$1:$G$49,MATCH(Orders!$G53,Products!$A$1:$A$49,0),MATCH(Orders!L$1,Products!$A$1:$G$1,0))</f>
        <v>Lib</v>
      </c>
      <c r="M53" t="str">
        <f>INDEX(Products!$A$1:$G$49,MATCH(Orders!$G53,Products!$A$1:$A$49,0),MATCH(Orders!M$1,Products!$A$1:$G$1,0))</f>
        <v>L</v>
      </c>
      <c r="N53" s="4">
        <f>INDEX(Products!$A$1:$G$49,MATCH(Orders!$G53,Products!$A$1:$A$49,0),MATCH(Orders!N$1,Products!$A$1:$G$1,0))</f>
        <v>2.5</v>
      </c>
      <c r="O53" s="7">
        <f>INDEX(Products!$A$1:$G$49,MATCH(Orders!$G53,Products!$A$1:$A$49,0),MATCH(Orders!O$1,Products!$A$1:$G$1,0))</f>
        <v>36.454999999999998</v>
      </c>
      <c r="P53" s="7">
        <f t="shared" si="0"/>
        <v>145.82</v>
      </c>
      <c r="Q53" t="str" cm="1">
        <f t="array" ref="Q53">_xlfn.IFS(L53="Rob","Robusta",L53="Exc", "Excelsa",L53="Ara", "Arabica",L53="Lib", "Liberica")</f>
        <v>Liberica</v>
      </c>
      <c r="R53" t="str" cm="1">
        <f t="array" ref="R53">_xlfn.IFS(M53="M","Medium",M53="L","Light",M53="D","Dark")</f>
        <v>Light</v>
      </c>
    </row>
    <row r="54" spans="1:18">
      <c r="A54" s="2" t="s">
        <v>173</v>
      </c>
      <c r="B54" s="3">
        <v>43719</v>
      </c>
      <c r="C54" s="9">
        <f>YEAR(Orders_Table[[#This Row],[Order Date]])</f>
        <v>2019</v>
      </c>
      <c r="D54" s="9">
        <f>MONTH(Orders_Table[[#This Row],[Order Date]])</f>
        <v>9</v>
      </c>
      <c r="E54" s="9" t="str" cm="1">
        <f t="array" ref="E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4" s="2" t="s">
        <v>174</v>
      </c>
      <c r="G54" t="s">
        <v>69</v>
      </c>
      <c r="H54" s="2">
        <v>5</v>
      </c>
      <c r="I54" s="2" t="str" cm="1">
        <f t="array" ref="I54">_xlfn.XLOOKUP(F54,Customers!A53:$A$1001,Customers!B53:$B$1001,"Not Found",0)</f>
        <v>Hartley Mattioli</v>
      </c>
      <c r="J54" s="2" t="str" cm="1">
        <f t="array" ref="J54">IF(_xlfn.XLOOKUP(F54,Customers!A53:$A$1001,Customers!C53:$C$1001,"Not Found",0)=0,"",_xlfn.XLOOKUP(F54,Customers!A53:$A$1001,Customers!C53:$C$1001,"Not Found",0))</f>
        <v>hmattioli1g@webmd.com</v>
      </c>
      <c r="K54" s="2" t="str" cm="1">
        <f t="array" ref="K54">_xlfn.XLOOKUP(F54,Customers!A53:$A$1001,Customers!G53:$G$1001,"Not Found",0)</f>
        <v>United Kingdom</v>
      </c>
      <c r="L54" t="str">
        <f>INDEX(Products!$A$1:$G$49,MATCH(Orders!$G54,Products!$A$1:$A$49,0),MATCH(Orders!L$1,Products!$A$1:$G$1,0))</f>
        <v>Rob</v>
      </c>
      <c r="M54" t="str">
        <f>INDEX(Products!$A$1:$G$49,MATCH(Orders!$G54,Products!$A$1:$A$49,0),MATCH(Orders!M$1,Products!$A$1:$G$1,0))</f>
        <v>M</v>
      </c>
      <c r="N54" s="4">
        <f>INDEX(Products!$A$1:$G$49,MATCH(Orders!$G54,Products!$A$1:$A$49,0),MATCH(Orders!N$1,Products!$A$1:$G$1,0))</f>
        <v>0.5</v>
      </c>
      <c r="O54" s="7">
        <f>INDEX(Products!$A$1:$G$49,MATCH(Orders!$G54,Products!$A$1:$A$49,0),MATCH(Orders!O$1,Products!$A$1:$G$1,0))</f>
        <v>5.97</v>
      </c>
      <c r="P54" s="7">
        <f t="shared" si="0"/>
        <v>29.849999999999998</v>
      </c>
      <c r="Q54" t="str" cm="1">
        <f t="array" ref="Q54">_xlfn.IFS(L54="Rob","Robusta",L54="Exc", "Excelsa",L54="Ara", "Arabica",L54="Lib", "Liberica")</f>
        <v>Robusta</v>
      </c>
      <c r="R54" t="str" cm="1">
        <f t="array" ref="R54">_xlfn.IFS(M54="M","Medium",M54="L","Light",M54="D","Dark")</f>
        <v>Medium</v>
      </c>
    </row>
    <row r="55" spans="1:18">
      <c r="A55" s="2" t="s">
        <v>173</v>
      </c>
      <c r="B55" s="3">
        <v>43719</v>
      </c>
      <c r="C55" s="9">
        <f>YEAR(Orders_Table[[#This Row],[Order Date]])</f>
        <v>2019</v>
      </c>
      <c r="D55" s="9">
        <f>MONTH(Orders_Table[[#This Row],[Order Date]])</f>
        <v>9</v>
      </c>
      <c r="E55" s="9" t="str" cm="1">
        <f t="array" ref="E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5" s="2" t="s">
        <v>174</v>
      </c>
      <c r="G55" t="s">
        <v>151</v>
      </c>
      <c r="H55" s="2">
        <v>2</v>
      </c>
      <c r="I55" s="2" t="str" cm="1">
        <f t="array" ref="I55">_xlfn.XLOOKUP(F55,Customers!A54:$A$1001,Customers!B54:$B$1001,"Not Found",0)</f>
        <v>Hartley Mattioli</v>
      </c>
      <c r="J55" s="2" t="str" cm="1">
        <f t="array" ref="J55">IF(_xlfn.XLOOKUP(F55,Customers!A54:$A$1001,Customers!C54:$C$1001,"Not Found",0)=0,"",_xlfn.XLOOKUP(F55,Customers!A54:$A$1001,Customers!C54:$C$1001,"Not Found",0))</f>
        <v>hmattioli1g@webmd.com</v>
      </c>
      <c r="K55" s="2" t="str" cm="1">
        <f t="array" ref="K55">_xlfn.XLOOKUP(F55,Customers!A54:$A$1001,Customers!G54:$G$1001,"Not Found",0)</f>
        <v>United Kingdom</v>
      </c>
      <c r="L55" t="str">
        <f>INDEX(Products!$A$1:$G$49,MATCH(Orders!$G55,Products!$A$1:$A$49,0),MATCH(Orders!L$1,Products!$A$1:$G$1,0))</f>
        <v>Lib</v>
      </c>
      <c r="M55" t="str">
        <f>INDEX(Products!$A$1:$G$49,MATCH(Orders!$G55,Products!$A$1:$A$49,0),MATCH(Orders!M$1,Products!$A$1:$G$1,0))</f>
        <v>L</v>
      </c>
      <c r="N55" s="4">
        <f>INDEX(Products!$A$1:$G$49,MATCH(Orders!$G55,Products!$A$1:$A$49,0),MATCH(Orders!N$1,Products!$A$1:$G$1,0))</f>
        <v>2.5</v>
      </c>
      <c r="O55" s="7">
        <f>INDEX(Products!$A$1:$G$49,MATCH(Orders!$G55,Products!$A$1:$A$49,0),MATCH(Orders!O$1,Products!$A$1:$G$1,0))</f>
        <v>36.454999999999998</v>
      </c>
      <c r="P55" s="7">
        <f t="shared" si="0"/>
        <v>72.91</v>
      </c>
      <c r="Q55" t="str" cm="1">
        <f t="array" ref="Q55">_xlfn.IFS(L55="Rob","Robusta",L55="Exc", "Excelsa",L55="Ara", "Arabica",L55="Lib", "Liberica")</f>
        <v>Liberica</v>
      </c>
      <c r="R55" t="str" cm="1">
        <f t="array" ref="R55">_xlfn.IFS(M55="M","Medium",M55="L","Light",M55="D","Dark")</f>
        <v>Light</v>
      </c>
    </row>
    <row r="56" spans="1:18">
      <c r="A56" s="2" t="s">
        <v>175</v>
      </c>
      <c r="B56" s="3">
        <v>44271</v>
      </c>
      <c r="C56" s="9">
        <f>YEAR(Orders_Table[[#This Row],[Order Date]])</f>
        <v>2021</v>
      </c>
      <c r="D56" s="9">
        <f>MONTH(Orders_Table[[#This Row],[Order Date]])</f>
        <v>3</v>
      </c>
      <c r="E56" s="9" t="str" cm="1">
        <f t="array" ref="E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6" s="2" t="s">
        <v>176</v>
      </c>
      <c r="G56" t="s">
        <v>143</v>
      </c>
      <c r="H56" s="2">
        <v>5</v>
      </c>
      <c r="I56" s="2" t="str" cm="1">
        <f t="array" ref="I56">_xlfn.XLOOKUP(F56,Customers!A55:$A$1001,Customers!B55:$B$1001,"Not Found",0)</f>
        <v>Archambault Gillard</v>
      </c>
      <c r="J56" s="2" t="str" cm="1">
        <f t="array" ref="J56">IF(_xlfn.XLOOKUP(F56,Customers!A55:$A$1001,Customers!C55:$C$1001,"Not Found",0)=0,"",_xlfn.XLOOKUP(F56,Customers!A55:$A$1001,Customers!C55:$C$1001,"Not Found",0))</f>
        <v>agillard1i@issuu.com</v>
      </c>
      <c r="K56" s="2" t="str" cm="1">
        <f t="array" ref="K56">_xlfn.XLOOKUP(F56,Customers!A55:$A$1001,Customers!G55:$G$1001,"Not Found",0)</f>
        <v>United States</v>
      </c>
      <c r="L56" t="str">
        <f>INDEX(Products!$A$1:$G$49,MATCH(Orders!$G56,Products!$A$1:$A$49,0),MATCH(Orders!L$1,Products!$A$1:$G$1,0))</f>
        <v>Lib</v>
      </c>
      <c r="M56" t="str">
        <f>INDEX(Products!$A$1:$G$49,MATCH(Orders!$G56,Products!$A$1:$A$49,0),MATCH(Orders!M$1,Products!$A$1:$G$1,0))</f>
        <v>M</v>
      </c>
      <c r="N56" s="4">
        <f>INDEX(Products!$A$1:$G$49,MATCH(Orders!$G56,Products!$A$1:$A$49,0),MATCH(Orders!N$1,Products!$A$1:$G$1,0))</f>
        <v>1</v>
      </c>
      <c r="O56" s="7">
        <f>INDEX(Products!$A$1:$G$49,MATCH(Orders!$G56,Products!$A$1:$A$49,0),MATCH(Orders!O$1,Products!$A$1:$G$1,0))</f>
        <v>14.55</v>
      </c>
      <c r="P56" s="7">
        <f t="shared" si="0"/>
        <v>72.75</v>
      </c>
      <c r="Q56" t="str" cm="1">
        <f t="array" ref="Q56">_xlfn.IFS(L56="Rob","Robusta",L56="Exc", "Excelsa",L56="Ara", "Arabica",L56="Lib", "Liberica")</f>
        <v>Liberica</v>
      </c>
      <c r="R56" t="str" cm="1">
        <f t="array" ref="R56">_xlfn.IFS(M56="M","Medium",M56="L","Light",M56="D","Dark")</f>
        <v>Medium</v>
      </c>
    </row>
    <row r="57" spans="1:18">
      <c r="A57" s="2" t="s">
        <v>177</v>
      </c>
      <c r="B57" s="3">
        <v>44168</v>
      </c>
      <c r="C57" s="9">
        <f>YEAR(Orders_Table[[#This Row],[Order Date]])</f>
        <v>2020</v>
      </c>
      <c r="D57" s="9">
        <f>MONTH(Orders_Table[[#This Row],[Order Date]])</f>
        <v>12</v>
      </c>
      <c r="E57" s="9" t="str" cm="1">
        <f t="array" ref="E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7" s="2" t="s">
        <v>178</v>
      </c>
      <c r="G57" t="s">
        <v>179</v>
      </c>
      <c r="H57" s="2">
        <v>3</v>
      </c>
      <c r="I57" s="2" t="str" cm="1">
        <f t="array" ref="I57">_xlfn.XLOOKUP(F57,Customers!A56:$A$1001,Customers!B56:$B$1001,"Not Found",0)</f>
        <v>Salomo Cushworth</v>
      </c>
      <c r="J57" s="2" t="str" cm="1">
        <f t="array" ref="J57">IF(_xlfn.XLOOKUP(F57,Customers!A56:$A$1001,Customers!C56:$C$1001,"Not Found",0)=0,"",_xlfn.XLOOKUP(F57,Customers!A56:$A$1001,Customers!C56:$C$1001,"Not Found",0))</f>
        <v/>
      </c>
      <c r="K57" s="2" t="str" cm="1">
        <f t="array" ref="K57">_xlfn.XLOOKUP(F57,Customers!A56:$A$1001,Customers!G56:$G$1001,"Not Found",0)</f>
        <v>United States</v>
      </c>
      <c r="L57" t="str">
        <f>INDEX(Products!$A$1:$G$49,MATCH(Orders!$G57,Products!$A$1:$A$49,0),MATCH(Orders!L$1,Products!$A$1:$G$1,0))</f>
        <v>Lib</v>
      </c>
      <c r="M57" t="str">
        <f>INDEX(Products!$A$1:$G$49,MATCH(Orders!$G57,Products!$A$1:$A$49,0),MATCH(Orders!M$1,Products!$A$1:$G$1,0))</f>
        <v>L</v>
      </c>
      <c r="N57" s="4">
        <f>INDEX(Products!$A$1:$G$49,MATCH(Orders!$G57,Products!$A$1:$A$49,0),MATCH(Orders!N$1,Products!$A$1:$G$1,0))</f>
        <v>1</v>
      </c>
      <c r="O57" s="7">
        <f>INDEX(Products!$A$1:$G$49,MATCH(Orders!$G57,Products!$A$1:$A$49,0),MATCH(Orders!O$1,Products!$A$1:$G$1,0))</f>
        <v>15.85</v>
      </c>
      <c r="P57" s="7">
        <f t="shared" si="0"/>
        <v>47.55</v>
      </c>
      <c r="Q57" t="str" cm="1">
        <f t="array" ref="Q57">_xlfn.IFS(L57="Rob","Robusta",L57="Exc", "Excelsa",L57="Ara", "Arabica",L57="Lib", "Liberica")</f>
        <v>Liberica</v>
      </c>
      <c r="R57" t="str" cm="1">
        <f t="array" ref="R57">_xlfn.IFS(M57="M","Medium",M57="L","Light",M57="D","Dark")</f>
        <v>Light</v>
      </c>
    </row>
    <row r="58" spans="1:18">
      <c r="A58" s="2" t="s">
        <v>180</v>
      </c>
      <c r="B58" s="3">
        <v>43857</v>
      </c>
      <c r="C58" s="9">
        <f>YEAR(Orders_Table[[#This Row],[Order Date]])</f>
        <v>2020</v>
      </c>
      <c r="D58" s="9">
        <f>MONTH(Orders_Table[[#This Row],[Order Date]])</f>
        <v>1</v>
      </c>
      <c r="E58" s="9" t="str" cm="1">
        <f t="array" ref="E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8" s="2" t="s">
        <v>181</v>
      </c>
      <c r="G58" t="s">
        <v>98</v>
      </c>
      <c r="H58" s="2">
        <v>3</v>
      </c>
      <c r="I58" s="2" t="str" cm="1">
        <f t="array" ref="I58">_xlfn.XLOOKUP(F58,Customers!A57:$A$1001,Customers!B57:$B$1001,"Not Found",0)</f>
        <v>Theda Grizard</v>
      </c>
      <c r="J58" s="2" t="str" cm="1">
        <f t="array" ref="J58">IF(_xlfn.XLOOKUP(F58,Customers!A57:$A$1001,Customers!C57:$C$1001,"Not Found",0)=0,"",_xlfn.XLOOKUP(F58,Customers!A57:$A$1001,Customers!C57:$C$1001,"Not Found",0))</f>
        <v>tgrizard1k@odnoklassniki.ru</v>
      </c>
      <c r="K58" s="2" t="str" cm="1">
        <f t="array" ref="K58">_xlfn.XLOOKUP(F58,Customers!A57:$A$1001,Customers!G57:$G$1001,"Not Found",0)</f>
        <v>United States</v>
      </c>
      <c r="L58" t="str">
        <f>INDEX(Products!$A$1:$G$49,MATCH(Orders!$G58,Products!$A$1:$A$49,0),MATCH(Orders!L$1,Products!$A$1:$G$1,0))</f>
        <v>Exc</v>
      </c>
      <c r="M58" t="str">
        <f>INDEX(Products!$A$1:$G$49,MATCH(Orders!$G58,Products!$A$1:$A$49,0),MATCH(Orders!M$1,Products!$A$1:$G$1,0))</f>
        <v>D</v>
      </c>
      <c r="N58" s="4">
        <f>INDEX(Products!$A$1:$G$49,MATCH(Orders!$G58,Products!$A$1:$A$49,0),MATCH(Orders!N$1,Products!$A$1:$G$1,0))</f>
        <v>0.2</v>
      </c>
      <c r="O58" s="7">
        <f>INDEX(Products!$A$1:$G$49,MATCH(Orders!$G58,Products!$A$1:$A$49,0),MATCH(Orders!O$1,Products!$A$1:$G$1,0))</f>
        <v>3.645</v>
      </c>
      <c r="P58" s="7">
        <f t="shared" si="0"/>
        <v>10.935</v>
      </c>
      <c r="Q58" t="str" cm="1">
        <f t="array" ref="Q58">_xlfn.IFS(L58="Rob","Robusta",L58="Exc", "Excelsa",L58="Ara", "Arabica",L58="Lib", "Liberica")</f>
        <v>Excelsa</v>
      </c>
      <c r="R58" t="str" cm="1">
        <f t="array" ref="R58">_xlfn.IFS(M58="M","Medium",M58="L","Light",M58="D","Dark")</f>
        <v>Dark</v>
      </c>
    </row>
    <row r="59" spans="1:18">
      <c r="A59" s="2" t="s">
        <v>182</v>
      </c>
      <c r="B59" s="3">
        <v>44759</v>
      </c>
      <c r="C59" s="9">
        <f>YEAR(Orders_Table[[#This Row],[Order Date]])</f>
        <v>2022</v>
      </c>
      <c r="D59" s="9">
        <f>MONTH(Orders_Table[[#This Row],[Order Date]])</f>
        <v>7</v>
      </c>
      <c r="E59" s="9" t="str" cm="1">
        <f t="array" ref="E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9" s="2" t="s">
        <v>183</v>
      </c>
      <c r="G59" t="s">
        <v>184</v>
      </c>
      <c r="H59" s="2">
        <v>4</v>
      </c>
      <c r="I59" s="2" t="str" cm="1">
        <f t="array" ref="I59">_xlfn.XLOOKUP(F59,Customers!A58:$A$1001,Customers!B58:$B$1001,"Not Found",0)</f>
        <v>Rozele Relton</v>
      </c>
      <c r="J59" s="2" t="str" cm="1">
        <f t="array" ref="J59">IF(_xlfn.XLOOKUP(F59,Customers!A58:$A$1001,Customers!C58:$C$1001,"Not Found",0)=0,"",_xlfn.XLOOKUP(F59,Customers!A58:$A$1001,Customers!C58:$C$1001,"Not Found",0))</f>
        <v>rrelton1l@stanford.edu</v>
      </c>
      <c r="K59" s="2" t="str" cm="1">
        <f t="array" ref="K59">_xlfn.XLOOKUP(F59,Customers!A58:$A$1001,Customers!G58:$G$1001,"Not Found",0)</f>
        <v>United States</v>
      </c>
      <c r="L59" t="str">
        <f>INDEX(Products!$A$1:$G$49,MATCH(Orders!$G59,Products!$A$1:$A$49,0),MATCH(Orders!L$1,Products!$A$1:$G$1,0))</f>
        <v>Exc</v>
      </c>
      <c r="M59" t="str">
        <f>INDEX(Products!$A$1:$G$49,MATCH(Orders!$G59,Products!$A$1:$A$49,0),MATCH(Orders!M$1,Products!$A$1:$G$1,0))</f>
        <v>L</v>
      </c>
      <c r="N59" s="4">
        <f>INDEX(Products!$A$1:$G$49,MATCH(Orders!$G59,Products!$A$1:$A$49,0),MATCH(Orders!N$1,Products!$A$1:$G$1,0))</f>
        <v>1</v>
      </c>
      <c r="O59" s="7">
        <f>INDEX(Products!$A$1:$G$49,MATCH(Orders!$G59,Products!$A$1:$A$49,0),MATCH(Orders!O$1,Products!$A$1:$G$1,0))</f>
        <v>14.85</v>
      </c>
      <c r="P59" s="7">
        <f t="shared" si="0"/>
        <v>59.4</v>
      </c>
      <c r="Q59" t="str" cm="1">
        <f t="array" ref="Q59">_xlfn.IFS(L59="Rob","Robusta",L59="Exc", "Excelsa",L59="Ara", "Arabica",L59="Lib", "Liberica")</f>
        <v>Excelsa</v>
      </c>
      <c r="R59" t="str" cm="1">
        <f t="array" ref="R59">_xlfn.IFS(M59="M","Medium",M59="L","Light",M59="D","Dark")</f>
        <v>Light</v>
      </c>
    </row>
    <row r="60" spans="1:18">
      <c r="A60" s="2" t="s">
        <v>185</v>
      </c>
      <c r="B60" s="3">
        <v>44624</v>
      </c>
      <c r="C60" s="9">
        <f>YEAR(Orders_Table[[#This Row],[Order Date]])</f>
        <v>2022</v>
      </c>
      <c r="D60" s="9">
        <f>MONTH(Orders_Table[[#This Row],[Order Date]])</f>
        <v>3</v>
      </c>
      <c r="E60" s="9" t="str" cm="1">
        <f t="array" ref="E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0" s="2" t="s">
        <v>186</v>
      </c>
      <c r="G60" t="s">
        <v>156</v>
      </c>
      <c r="H60" s="2">
        <v>3</v>
      </c>
      <c r="I60" s="2" t="str" cm="1">
        <f t="array" ref="I60">_xlfn.XLOOKUP(F60,Customers!A59:$A$1001,Customers!B59:$B$1001,"Not Found",0)</f>
        <v>Willa Rolling</v>
      </c>
      <c r="J60" s="2" t="str" cm="1">
        <f t="array" ref="J60">IF(_xlfn.XLOOKUP(F60,Customers!A59:$A$1001,Customers!C59:$C$1001,"Not Found",0)=0,"",_xlfn.XLOOKUP(F60,Customers!A59:$A$1001,Customers!C59:$C$1001,"Not Found",0))</f>
        <v/>
      </c>
      <c r="K60" s="2" t="str" cm="1">
        <f t="array" ref="K60">_xlfn.XLOOKUP(F60,Customers!A59:$A$1001,Customers!G59:$G$1001,"Not Found",0)</f>
        <v>United States</v>
      </c>
      <c r="L60" t="str">
        <f>INDEX(Products!$A$1:$G$49,MATCH(Orders!$G60,Products!$A$1:$A$49,0),MATCH(Orders!L$1,Products!$A$1:$G$1,0))</f>
        <v>Lib</v>
      </c>
      <c r="M60" t="str">
        <f>INDEX(Products!$A$1:$G$49,MATCH(Orders!$G60,Products!$A$1:$A$49,0),MATCH(Orders!M$1,Products!$A$1:$G$1,0))</f>
        <v>D</v>
      </c>
      <c r="N60" s="4">
        <f>INDEX(Products!$A$1:$G$49,MATCH(Orders!$G60,Products!$A$1:$A$49,0),MATCH(Orders!N$1,Products!$A$1:$G$1,0))</f>
        <v>2.5</v>
      </c>
      <c r="O60" s="7">
        <f>INDEX(Products!$A$1:$G$49,MATCH(Orders!$G60,Products!$A$1:$A$49,0),MATCH(Orders!O$1,Products!$A$1:$G$1,0))</f>
        <v>29.784999999999997</v>
      </c>
      <c r="P60" s="7">
        <f t="shared" si="0"/>
        <v>89.35499999999999</v>
      </c>
      <c r="Q60" t="str" cm="1">
        <f t="array" ref="Q60">_xlfn.IFS(L60="Rob","Robusta",L60="Exc", "Excelsa",L60="Ara", "Arabica",L60="Lib", "Liberica")</f>
        <v>Liberica</v>
      </c>
      <c r="R60" t="str" cm="1">
        <f t="array" ref="R60">_xlfn.IFS(M60="M","Medium",M60="L","Light",M60="D","Dark")</f>
        <v>Dark</v>
      </c>
    </row>
    <row r="61" spans="1:18">
      <c r="A61" s="2" t="s">
        <v>187</v>
      </c>
      <c r="B61" s="3">
        <v>44537</v>
      </c>
      <c r="C61" s="9">
        <f>YEAR(Orders_Table[[#This Row],[Order Date]])</f>
        <v>2021</v>
      </c>
      <c r="D61" s="9">
        <f>MONTH(Orders_Table[[#This Row],[Order Date]])</f>
        <v>12</v>
      </c>
      <c r="E61" s="9" t="str" cm="1">
        <f t="array" ref="E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1" s="2" t="s">
        <v>188</v>
      </c>
      <c r="G61" t="s">
        <v>125</v>
      </c>
      <c r="H61" s="2">
        <v>3</v>
      </c>
      <c r="I61" s="2" t="str" cm="1">
        <f t="array" ref="I61">_xlfn.XLOOKUP(F61,Customers!A60:$A$1001,Customers!B60:$B$1001,"Not Found",0)</f>
        <v>Stanislaus Gilroy</v>
      </c>
      <c r="J61" s="2" t="str" cm="1">
        <f t="array" ref="J61">IF(_xlfn.XLOOKUP(F61,Customers!A60:$A$1001,Customers!C60:$C$1001,"Not Found",0)=0,"",_xlfn.XLOOKUP(F61,Customers!A60:$A$1001,Customers!C60:$C$1001,"Not Found",0))</f>
        <v>sgilroy1n@eepurl.com</v>
      </c>
      <c r="K61" s="2" t="str" cm="1">
        <f t="array" ref="K61">_xlfn.XLOOKUP(F61,Customers!A60:$A$1001,Customers!G60:$G$1001,"Not Found",0)</f>
        <v>United States</v>
      </c>
      <c r="L61" t="str">
        <f>INDEX(Products!$A$1:$G$49,MATCH(Orders!$G61,Products!$A$1:$A$49,0),MATCH(Orders!L$1,Products!$A$1:$G$1,0))</f>
        <v>Lib</v>
      </c>
      <c r="M61" t="str">
        <f>INDEX(Products!$A$1:$G$49,MATCH(Orders!$G61,Products!$A$1:$A$49,0),MATCH(Orders!M$1,Products!$A$1:$G$1,0))</f>
        <v>M</v>
      </c>
      <c r="N61" s="4">
        <f>INDEX(Products!$A$1:$G$49,MATCH(Orders!$G61,Products!$A$1:$A$49,0),MATCH(Orders!N$1,Products!$A$1:$G$1,0))</f>
        <v>0.5</v>
      </c>
      <c r="O61" s="7">
        <f>INDEX(Products!$A$1:$G$49,MATCH(Orders!$G61,Products!$A$1:$A$49,0),MATCH(Orders!O$1,Products!$A$1:$G$1,0))</f>
        <v>8.73</v>
      </c>
      <c r="P61" s="7">
        <f t="shared" si="0"/>
        <v>26.19</v>
      </c>
      <c r="Q61" t="str" cm="1">
        <f t="array" ref="Q61">_xlfn.IFS(L61="Rob","Robusta",L61="Exc", "Excelsa",L61="Ara", "Arabica",L61="Lib", "Liberica")</f>
        <v>Liberica</v>
      </c>
      <c r="R61" t="str" cm="1">
        <f t="array" ref="R61">_xlfn.IFS(M61="M","Medium",M61="L","Light",M61="D","Dark")</f>
        <v>Medium</v>
      </c>
    </row>
    <row r="62" spans="1:18">
      <c r="A62" s="2" t="s">
        <v>189</v>
      </c>
      <c r="B62" s="3">
        <v>44252</v>
      </c>
      <c r="C62" s="9">
        <f>YEAR(Orders_Table[[#This Row],[Order Date]])</f>
        <v>2021</v>
      </c>
      <c r="D62" s="9">
        <f>MONTH(Orders_Table[[#This Row],[Order Date]])</f>
        <v>2</v>
      </c>
      <c r="E62" s="9" t="str" cm="1">
        <f t="array" ref="E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2" s="2" t="s">
        <v>190</v>
      </c>
      <c r="G62" t="s">
        <v>165</v>
      </c>
      <c r="H62" s="2">
        <v>5</v>
      </c>
      <c r="I62" s="2" t="str" cm="1">
        <f t="array" ref="I62">_xlfn.XLOOKUP(F62,Customers!A61:$A$1001,Customers!B61:$B$1001,"Not Found",0)</f>
        <v>Correy Cottingham</v>
      </c>
      <c r="J62" s="2" t="str" cm="1">
        <f t="array" ref="J62">IF(_xlfn.XLOOKUP(F62,Customers!A61:$A$1001,Customers!C61:$C$1001,"Not Found",0)=0,"",_xlfn.XLOOKUP(F62,Customers!A61:$A$1001,Customers!C61:$C$1001,"Not Found",0))</f>
        <v>ccottingham1o@wikipedia.org</v>
      </c>
      <c r="K62" s="2" t="str" cm="1">
        <f t="array" ref="K62">_xlfn.XLOOKUP(F62,Customers!A61:$A$1001,Customers!G61:$G$1001,"Not Found",0)</f>
        <v>United States</v>
      </c>
      <c r="L62" t="str">
        <f>INDEX(Products!$A$1:$G$49,MATCH(Orders!$G62,Products!$A$1:$A$49,0),MATCH(Orders!L$1,Products!$A$1:$G$1,0))</f>
        <v>Ara</v>
      </c>
      <c r="M62" t="str">
        <f>INDEX(Products!$A$1:$G$49,MATCH(Orders!$G62,Products!$A$1:$A$49,0),MATCH(Orders!M$1,Products!$A$1:$G$1,0))</f>
        <v>D</v>
      </c>
      <c r="N62" s="4">
        <f>INDEX(Products!$A$1:$G$49,MATCH(Orders!$G62,Products!$A$1:$A$49,0),MATCH(Orders!N$1,Products!$A$1:$G$1,0))</f>
        <v>2.5</v>
      </c>
      <c r="O62" s="7">
        <f>INDEX(Products!$A$1:$G$49,MATCH(Orders!$G62,Products!$A$1:$A$49,0),MATCH(Orders!O$1,Products!$A$1:$G$1,0))</f>
        <v>22.884999999999998</v>
      </c>
      <c r="P62" s="7">
        <f t="shared" si="0"/>
        <v>114.42499999999998</v>
      </c>
      <c r="Q62" t="str" cm="1">
        <f t="array" ref="Q62">_xlfn.IFS(L62="Rob","Robusta",L62="Exc", "Excelsa",L62="Ara", "Arabica",L62="Lib", "Liberica")</f>
        <v>Arabica</v>
      </c>
      <c r="R62" t="str" cm="1">
        <f t="array" ref="R62">_xlfn.IFS(M62="M","Medium",M62="L","Light",M62="D","Dark")</f>
        <v>Dark</v>
      </c>
    </row>
    <row r="63" spans="1:18">
      <c r="A63" s="2" t="s">
        <v>191</v>
      </c>
      <c r="B63" s="3">
        <v>43521</v>
      </c>
      <c r="C63" s="9">
        <f>YEAR(Orders_Table[[#This Row],[Order Date]])</f>
        <v>2019</v>
      </c>
      <c r="D63" s="9">
        <f>MONTH(Orders_Table[[#This Row],[Order Date]])</f>
        <v>2</v>
      </c>
      <c r="E63" s="9" t="str" cm="1">
        <f t="array" ref="E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3" s="2" t="s">
        <v>192</v>
      </c>
      <c r="G63" t="s">
        <v>193</v>
      </c>
      <c r="H63" s="2">
        <v>5</v>
      </c>
      <c r="I63" s="2" t="str" cm="1">
        <f t="array" ref="I63">_xlfn.XLOOKUP(F63,Customers!A62:$A$1001,Customers!B62:$B$1001,"Not Found",0)</f>
        <v>Pammi Endacott</v>
      </c>
      <c r="J63" s="2" t="str" cm="1">
        <f t="array" ref="J63">IF(_xlfn.XLOOKUP(F63,Customers!A62:$A$1001,Customers!C62:$C$1001,"Not Found",0)=0,"",_xlfn.XLOOKUP(F63,Customers!A62:$A$1001,Customers!C62:$C$1001,"Not Found",0))</f>
        <v/>
      </c>
      <c r="K63" s="2" t="str" cm="1">
        <f t="array" ref="K63">_xlfn.XLOOKUP(F63,Customers!A62:$A$1001,Customers!G62:$G$1001,"Not Found",0)</f>
        <v>United Kingdom</v>
      </c>
      <c r="L63" t="str">
        <f>INDEX(Products!$A$1:$G$49,MATCH(Orders!$G63,Products!$A$1:$A$49,0),MATCH(Orders!L$1,Products!$A$1:$G$1,0))</f>
        <v>Rob</v>
      </c>
      <c r="M63" t="str">
        <f>INDEX(Products!$A$1:$G$49,MATCH(Orders!$G63,Products!$A$1:$A$49,0),MATCH(Orders!M$1,Products!$A$1:$G$1,0))</f>
        <v>D</v>
      </c>
      <c r="N63" s="4">
        <f>INDEX(Products!$A$1:$G$49,MATCH(Orders!$G63,Products!$A$1:$A$49,0),MATCH(Orders!N$1,Products!$A$1:$G$1,0))</f>
        <v>0.5</v>
      </c>
      <c r="O63" s="7">
        <f>INDEX(Products!$A$1:$G$49,MATCH(Orders!$G63,Products!$A$1:$A$49,0),MATCH(Orders!O$1,Products!$A$1:$G$1,0))</f>
        <v>5.3699999999999992</v>
      </c>
      <c r="P63" s="7">
        <f t="shared" si="0"/>
        <v>26.849999999999994</v>
      </c>
      <c r="Q63" t="str" cm="1">
        <f t="array" ref="Q63">_xlfn.IFS(L63="Rob","Robusta",L63="Exc", "Excelsa",L63="Ara", "Arabica",L63="Lib", "Liberica")</f>
        <v>Robusta</v>
      </c>
      <c r="R63" t="str" cm="1">
        <f t="array" ref="R63">_xlfn.IFS(M63="M","Medium",M63="L","Light",M63="D","Dark")</f>
        <v>Dark</v>
      </c>
    </row>
    <row r="64" spans="1:18">
      <c r="A64" s="2" t="s">
        <v>194</v>
      </c>
      <c r="B64" s="3">
        <v>43505</v>
      </c>
      <c r="C64" s="9">
        <f>YEAR(Orders_Table[[#This Row],[Order Date]])</f>
        <v>2019</v>
      </c>
      <c r="D64" s="9">
        <f>MONTH(Orders_Table[[#This Row],[Order Date]])</f>
        <v>2</v>
      </c>
      <c r="E64" s="9" t="str" cm="1">
        <f t="array" ref="E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4" s="2" t="s">
        <v>195</v>
      </c>
      <c r="G64" t="s">
        <v>66</v>
      </c>
      <c r="H64" s="2">
        <v>5</v>
      </c>
      <c r="I64" s="2" t="str" cm="1">
        <f t="array" ref="I64">_xlfn.XLOOKUP(F64,Customers!A63:$A$1001,Customers!B63:$B$1001,"Not Found",0)</f>
        <v>Nona Linklater</v>
      </c>
      <c r="J64" s="2" t="str" cm="1">
        <f t="array" ref="J64">IF(_xlfn.XLOOKUP(F64,Customers!A63:$A$1001,Customers!C63:$C$1001,"Not Found",0)=0,"",_xlfn.XLOOKUP(F64,Customers!A63:$A$1001,Customers!C63:$C$1001,"Not Found",0))</f>
        <v/>
      </c>
      <c r="K64" s="2" t="str" cm="1">
        <f t="array" ref="K64">_xlfn.XLOOKUP(F64,Customers!A63:$A$1001,Customers!G63:$G$1001,"Not Found",0)</f>
        <v>United States</v>
      </c>
      <c r="L64" t="str">
        <f>INDEX(Products!$A$1:$G$49,MATCH(Orders!$G64,Products!$A$1:$A$49,0),MATCH(Orders!L$1,Products!$A$1:$G$1,0))</f>
        <v>Lib</v>
      </c>
      <c r="M64" t="str">
        <f>INDEX(Products!$A$1:$G$49,MATCH(Orders!$G64,Products!$A$1:$A$49,0),MATCH(Orders!M$1,Products!$A$1:$G$1,0))</f>
        <v>L</v>
      </c>
      <c r="N64" s="4">
        <f>INDEX(Products!$A$1:$G$49,MATCH(Orders!$G64,Products!$A$1:$A$49,0),MATCH(Orders!N$1,Products!$A$1:$G$1,0))</f>
        <v>0.2</v>
      </c>
      <c r="O64" s="7">
        <f>INDEX(Products!$A$1:$G$49,MATCH(Orders!$G64,Products!$A$1:$A$49,0),MATCH(Orders!O$1,Products!$A$1:$G$1,0))</f>
        <v>4.7549999999999999</v>
      </c>
      <c r="P64" s="7">
        <f t="shared" si="0"/>
        <v>23.774999999999999</v>
      </c>
      <c r="Q64" t="str" cm="1">
        <f t="array" ref="Q64">_xlfn.IFS(L64="Rob","Robusta",L64="Exc", "Excelsa",L64="Ara", "Arabica",L64="Lib", "Liberica")</f>
        <v>Liberica</v>
      </c>
      <c r="R64" t="str" cm="1">
        <f t="array" ref="R64">_xlfn.IFS(M64="M","Medium",M64="L","Light",M64="D","Dark")</f>
        <v>Light</v>
      </c>
    </row>
    <row r="65" spans="1:18">
      <c r="A65" s="2" t="s">
        <v>196</v>
      </c>
      <c r="B65" s="3">
        <v>43868</v>
      </c>
      <c r="C65" s="9">
        <f>YEAR(Orders_Table[[#This Row],[Order Date]])</f>
        <v>2020</v>
      </c>
      <c r="D65" s="9">
        <f>MONTH(Orders_Table[[#This Row],[Order Date]])</f>
        <v>2</v>
      </c>
      <c r="E65" s="9" t="str" cm="1">
        <f t="array" ref="E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5" s="2" t="s">
        <v>197</v>
      </c>
      <c r="G65" t="s">
        <v>114</v>
      </c>
      <c r="H65" s="2">
        <v>1</v>
      </c>
      <c r="I65" s="2" t="str" cm="1">
        <f t="array" ref="I65">_xlfn.XLOOKUP(F65,Customers!A64:$A$1001,Customers!B64:$B$1001,"Not Found",0)</f>
        <v>Annadiane Dykes</v>
      </c>
      <c r="J65" s="2" t="str" cm="1">
        <f t="array" ref="J65">IF(_xlfn.XLOOKUP(F65,Customers!A64:$A$1001,Customers!C64:$C$1001,"Not Found",0)=0,"",_xlfn.XLOOKUP(F65,Customers!A64:$A$1001,Customers!C64:$C$1001,"Not Found",0))</f>
        <v>adykes1r@eventbrite.com</v>
      </c>
      <c r="K65" s="2" t="str" cm="1">
        <f t="array" ref="K65">_xlfn.XLOOKUP(F65,Customers!A64:$A$1001,Customers!G64:$G$1001,"Not Found",0)</f>
        <v>United States</v>
      </c>
      <c r="L65" t="str">
        <f>INDEX(Products!$A$1:$G$49,MATCH(Orders!$G65,Products!$A$1:$A$49,0),MATCH(Orders!L$1,Products!$A$1:$G$1,0))</f>
        <v>Ara</v>
      </c>
      <c r="M65" t="str">
        <f>INDEX(Products!$A$1:$G$49,MATCH(Orders!$G65,Products!$A$1:$A$49,0),MATCH(Orders!M$1,Products!$A$1:$G$1,0))</f>
        <v>M</v>
      </c>
      <c r="N65" s="4">
        <f>INDEX(Products!$A$1:$G$49,MATCH(Orders!$G65,Products!$A$1:$A$49,0),MATCH(Orders!N$1,Products!$A$1:$G$1,0))</f>
        <v>0.5</v>
      </c>
      <c r="O65" s="7">
        <f>INDEX(Products!$A$1:$G$49,MATCH(Orders!$G65,Products!$A$1:$A$49,0),MATCH(Orders!O$1,Products!$A$1:$G$1,0))</f>
        <v>6.75</v>
      </c>
      <c r="P65" s="7">
        <f t="shared" si="0"/>
        <v>6.75</v>
      </c>
      <c r="Q65" t="str" cm="1">
        <f t="array" ref="Q65">_xlfn.IFS(L65="Rob","Robusta",L65="Exc", "Excelsa",L65="Ara", "Arabica",L65="Lib", "Liberica")</f>
        <v>Arabica</v>
      </c>
      <c r="R65" t="str" cm="1">
        <f t="array" ref="R65">_xlfn.IFS(M65="M","Medium",M65="L","Light",M65="D","Dark")</f>
        <v>Medium</v>
      </c>
    </row>
    <row r="66" spans="1:18">
      <c r="A66" s="2" t="s">
        <v>198</v>
      </c>
      <c r="B66" s="3">
        <v>43913</v>
      </c>
      <c r="C66" s="9">
        <f>YEAR(Orders_Table[[#This Row],[Order Date]])</f>
        <v>2020</v>
      </c>
      <c r="D66" s="9">
        <f>MONTH(Orders_Table[[#This Row],[Order Date]])</f>
        <v>3</v>
      </c>
      <c r="E66" s="9" t="str" cm="1">
        <f t="array" ref="E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6" s="2" t="s">
        <v>199</v>
      </c>
      <c r="G66" t="s">
        <v>69</v>
      </c>
      <c r="H66" s="2">
        <v>6</v>
      </c>
      <c r="I66" s="2" t="str" cm="1">
        <f t="array" ref="I66">_xlfn.XLOOKUP(F66,Customers!A65:$A$1001,Customers!B65:$B$1001,"Not Found",0)</f>
        <v>Felecia Dodgson</v>
      </c>
      <c r="J66" s="2" t="str" cm="1">
        <f t="array" ref="J66">IF(_xlfn.XLOOKUP(F66,Customers!A65:$A$1001,Customers!C65:$C$1001,"Not Found",0)=0,"",_xlfn.XLOOKUP(F66,Customers!A65:$A$1001,Customers!C65:$C$1001,"Not Found",0))</f>
        <v/>
      </c>
      <c r="K66" s="2" t="str" cm="1">
        <f t="array" ref="K66">_xlfn.XLOOKUP(F66,Customers!A65:$A$1001,Customers!G65:$G$1001,"Not Found",0)</f>
        <v>United States</v>
      </c>
      <c r="L66" t="str">
        <f>INDEX(Products!$A$1:$G$49,MATCH(Orders!$G66,Products!$A$1:$A$49,0),MATCH(Orders!L$1,Products!$A$1:$G$1,0))</f>
        <v>Rob</v>
      </c>
      <c r="M66" t="str">
        <f>INDEX(Products!$A$1:$G$49,MATCH(Orders!$G66,Products!$A$1:$A$49,0),MATCH(Orders!M$1,Products!$A$1:$G$1,0))</f>
        <v>M</v>
      </c>
      <c r="N66" s="4">
        <f>INDEX(Products!$A$1:$G$49,MATCH(Orders!$G66,Products!$A$1:$A$49,0),MATCH(Orders!N$1,Products!$A$1:$G$1,0))</f>
        <v>0.5</v>
      </c>
      <c r="O66" s="7">
        <f>INDEX(Products!$A$1:$G$49,MATCH(Orders!$G66,Products!$A$1:$A$49,0),MATCH(Orders!O$1,Products!$A$1:$G$1,0))</f>
        <v>5.97</v>
      </c>
      <c r="P66" s="7">
        <f t="shared" si="0"/>
        <v>35.82</v>
      </c>
      <c r="Q66" t="str" cm="1">
        <f t="array" ref="Q66">_xlfn.IFS(L66="Rob","Robusta",L66="Exc", "Excelsa",L66="Ara", "Arabica",L66="Lib", "Liberica")</f>
        <v>Robusta</v>
      </c>
      <c r="R66" t="str" cm="1">
        <f t="array" ref="R66">_xlfn.IFS(M66="M","Medium",M66="L","Light",M66="D","Dark")</f>
        <v>Medium</v>
      </c>
    </row>
    <row r="67" spans="1:18">
      <c r="A67" s="2" t="s">
        <v>200</v>
      </c>
      <c r="B67" s="3">
        <v>44626</v>
      </c>
      <c r="C67" s="9">
        <f>YEAR(Orders_Table[[#This Row],[Order Date]])</f>
        <v>2022</v>
      </c>
      <c r="D67" s="9">
        <f>MONTH(Orders_Table[[#This Row],[Order Date]])</f>
        <v>3</v>
      </c>
      <c r="E67" s="9" t="str" cm="1">
        <f t="array" ref="E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7" s="2" t="s">
        <v>201</v>
      </c>
      <c r="G67" t="s">
        <v>82</v>
      </c>
      <c r="H67" s="2">
        <v>4</v>
      </c>
      <c r="I67" s="2" t="str" cm="1">
        <f t="array" ref="I67">_xlfn.XLOOKUP(F67,Customers!A66:$A$1001,Customers!B66:$B$1001,"Not Found",0)</f>
        <v>Angelia Cockrem</v>
      </c>
      <c r="J67" s="2" t="str" cm="1">
        <f t="array" ref="J67">IF(_xlfn.XLOOKUP(F67,Customers!A66:$A$1001,Customers!C66:$C$1001,"Not Found",0)=0,"",_xlfn.XLOOKUP(F67,Customers!A66:$A$1001,Customers!C66:$C$1001,"Not Found",0))</f>
        <v>acockrem1t@engadget.com</v>
      </c>
      <c r="K67" s="2" t="str" cm="1">
        <f t="array" ref="K67">_xlfn.XLOOKUP(F67,Customers!A66:$A$1001,Customers!G66:$G$1001,"Not Found",0)</f>
        <v>United States</v>
      </c>
      <c r="L67" t="str">
        <f>INDEX(Products!$A$1:$G$49,MATCH(Orders!$G67,Products!$A$1:$A$49,0),MATCH(Orders!L$1,Products!$A$1:$G$1,0))</f>
        <v>Rob</v>
      </c>
      <c r="M67" t="str">
        <f>INDEX(Products!$A$1:$G$49,MATCH(Orders!$G67,Products!$A$1:$A$49,0),MATCH(Orders!M$1,Products!$A$1:$G$1,0))</f>
        <v>D</v>
      </c>
      <c r="N67" s="4">
        <f>INDEX(Products!$A$1:$G$49,MATCH(Orders!$G67,Products!$A$1:$A$49,0),MATCH(Orders!N$1,Products!$A$1:$G$1,0))</f>
        <v>2.5</v>
      </c>
      <c r="O67" s="7">
        <f>INDEX(Products!$A$1:$G$49,MATCH(Orders!$G67,Products!$A$1:$A$49,0),MATCH(Orders!O$1,Products!$A$1:$G$1,0))</f>
        <v>20.584999999999997</v>
      </c>
      <c r="P67" s="7">
        <f t="shared" ref="P67:P130" si="1">O67*H67</f>
        <v>82.339999999999989</v>
      </c>
      <c r="Q67" t="str" cm="1">
        <f t="array" ref="Q67">_xlfn.IFS(L67="Rob","Robusta",L67="Exc", "Excelsa",L67="Ara", "Arabica",L67="Lib", "Liberica")</f>
        <v>Robusta</v>
      </c>
      <c r="R67" t="str" cm="1">
        <f t="array" ref="R67">_xlfn.IFS(M67="M","Medium",M67="L","Light",M67="D","Dark")</f>
        <v>Dark</v>
      </c>
    </row>
    <row r="68" spans="1:18">
      <c r="A68" s="2" t="s">
        <v>202</v>
      </c>
      <c r="B68" s="3">
        <v>44666</v>
      </c>
      <c r="C68" s="9">
        <f>YEAR(Orders_Table[[#This Row],[Order Date]])</f>
        <v>2022</v>
      </c>
      <c r="D68" s="9">
        <f>MONTH(Orders_Table[[#This Row],[Order Date]])</f>
        <v>4</v>
      </c>
      <c r="E68" s="9" t="str" cm="1">
        <f t="array" ref="E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8" s="2" t="s">
        <v>203</v>
      </c>
      <c r="G68" t="s">
        <v>204</v>
      </c>
      <c r="H68" s="2">
        <v>1</v>
      </c>
      <c r="I68" s="2" t="str" cm="1">
        <f t="array" ref="I68">_xlfn.XLOOKUP(F68,Customers!A67:$A$1001,Customers!B67:$B$1001,"Not Found",0)</f>
        <v>Belvia Umpleby</v>
      </c>
      <c r="J68" s="2" t="str" cm="1">
        <f t="array" ref="J68">IF(_xlfn.XLOOKUP(F68,Customers!A67:$A$1001,Customers!C67:$C$1001,"Not Found",0)=0,"",_xlfn.XLOOKUP(F68,Customers!A67:$A$1001,Customers!C67:$C$1001,"Not Found",0))</f>
        <v>bumpleby1u@soundcloud.com</v>
      </c>
      <c r="K68" s="2" t="str" cm="1">
        <f t="array" ref="K68">_xlfn.XLOOKUP(F68,Customers!A67:$A$1001,Customers!G67:$G$1001,"Not Found",0)</f>
        <v>United States</v>
      </c>
      <c r="L68" t="str">
        <f>INDEX(Products!$A$1:$G$49,MATCH(Orders!$G68,Products!$A$1:$A$49,0),MATCH(Orders!L$1,Products!$A$1:$G$1,0))</f>
        <v>Rob</v>
      </c>
      <c r="M68" t="str">
        <f>INDEX(Products!$A$1:$G$49,MATCH(Orders!$G68,Products!$A$1:$A$49,0),MATCH(Orders!M$1,Products!$A$1:$G$1,0))</f>
        <v>L</v>
      </c>
      <c r="N68" s="4">
        <f>INDEX(Products!$A$1:$G$49,MATCH(Orders!$G68,Products!$A$1:$A$49,0),MATCH(Orders!N$1,Products!$A$1:$G$1,0))</f>
        <v>0.5</v>
      </c>
      <c r="O68" s="7">
        <f>INDEX(Products!$A$1:$G$49,MATCH(Orders!$G68,Products!$A$1:$A$49,0),MATCH(Orders!O$1,Products!$A$1:$G$1,0))</f>
        <v>7.169999999999999</v>
      </c>
      <c r="P68" s="7">
        <f t="shared" si="1"/>
        <v>7.169999999999999</v>
      </c>
      <c r="Q68" t="str" cm="1">
        <f t="array" ref="Q68">_xlfn.IFS(L68="Rob","Robusta",L68="Exc", "Excelsa",L68="Ara", "Arabica",L68="Lib", "Liberica")</f>
        <v>Robusta</v>
      </c>
      <c r="R68" t="str" cm="1">
        <f t="array" ref="R68">_xlfn.IFS(M68="M","Medium",M68="L","Light",M68="D","Dark")</f>
        <v>Light</v>
      </c>
    </row>
    <row r="69" spans="1:18">
      <c r="A69" s="2" t="s">
        <v>205</v>
      </c>
      <c r="B69" s="3">
        <v>44519</v>
      </c>
      <c r="C69" s="9">
        <f>YEAR(Orders_Table[[#This Row],[Order Date]])</f>
        <v>2021</v>
      </c>
      <c r="D69" s="9">
        <f>MONTH(Orders_Table[[#This Row],[Order Date]])</f>
        <v>11</v>
      </c>
      <c r="E69" s="9" t="str" cm="1">
        <f t="array" ref="E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69" s="2" t="s">
        <v>206</v>
      </c>
      <c r="G69" t="s">
        <v>66</v>
      </c>
      <c r="H69" s="2">
        <v>2</v>
      </c>
      <c r="I69" s="2" t="str" cm="1">
        <f t="array" ref="I69">_xlfn.XLOOKUP(F69,Customers!A68:$A$1001,Customers!B68:$B$1001,"Not Found",0)</f>
        <v>Nat Saleway</v>
      </c>
      <c r="J69" s="2" t="str" cm="1">
        <f t="array" ref="J69">IF(_xlfn.XLOOKUP(F69,Customers!A68:$A$1001,Customers!C68:$C$1001,"Not Found",0)=0,"",_xlfn.XLOOKUP(F69,Customers!A68:$A$1001,Customers!C68:$C$1001,"Not Found",0))</f>
        <v>nsaleway1v@dedecms.com</v>
      </c>
      <c r="K69" s="2" t="str" cm="1">
        <f t="array" ref="K69">_xlfn.XLOOKUP(F69,Customers!A68:$A$1001,Customers!G68:$G$1001,"Not Found",0)</f>
        <v>United States</v>
      </c>
      <c r="L69" t="str">
        <f>INDEX(Products!$A$1:$G$49,MATCH(Orders!$G69,Products!$A$1:$A$49,0),MATCH(Orders!L$1,Products!$A$1:$G$1,0))</f>
        <v>Lib</v>
      </c>
      <c r="M69" t="str">
        <f>INDEX(Products!$A$1:$G$49,MATCH(Orders!$G69,Products!$A$1:$A$49,0),MATCH(Orders!M$1,Products!$A$1:$G$1,0))</f>
        <v>L</v>
      </c>
      <c r="N69" s="4">
        <f>INDEX(Products!$A$1:$G$49,MATCH(Orders!$G69,Products!$A$1:$A$49,0),MATCH(Orders!N$1,Products!$A$1:$G$1,0))</f>
        <v>0.2</v>
      </c>
      <c r="O69" s="7">
        <f>INDEX(Products!$A$1:$G$49,MATCH(Orders!$G69,Products!$A$1:$A$49,0),MATCH(Orders!O$1,Products!$A$1:$G$1,0))</f>
        <v>4.7549999999999999</v>
      </c>
      <c r="P69" s="7">
        <f t="shared" si="1"/>
        <v>9.51</v>
      </c>
      <c r="Q69" t="str" cm="1">
        <f t="array" ref="Q69">_xlfn.IFS(L69="Rob","Robusta",L69="Exc", "Excelsa",L69="Ara", "Arabica",L69="Lib", "Liberica")</f>
        <v>Liberica</v>
      </c>
      <c r="R69" t="str" cm="1">
        <f t="array" ref="R69">_xlfn.IFS(M69="M","Medium",M69="L","Light",M69="D","Dark")</f>
        <v>Light</v>
      </c>
    </row>
    <row r="70" spans="1:18">
      <c r="A70" s="2" t="s">
        <v>207</v>
      </c>
      <c r="B70" s="3">
        <v>43754</v>
      </c>
      <c r="C70" s="9">
        <f>YEAR(Orders_Table[[#This Row],[Order Date]])</f>
        <v>2019</v>
      </c>
      <c r="D70" s="9">
        <f>MONTH(Orders_Table[[#This Row],[Order Date]])</f>
        <v>10</v>
      </c>
      <c r="E70" s="9" t="str" cm="1">
        <f t="array" ref="E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0" s="2" t="s">
        <v>208</v>
      </c>
      <c r="G70" t="s">
        <v>209</v>
      </c>
      <c r="H70" s="2">
        <v>1</v>
      </c>
      <c r="I70" s="2" t="str" cm="1">
        <f t="array" ref="I70">_xlfn.XLOOKUP(F70,Customers!A69:$A$1001,Customers!B69:$B$1001,"Not Found",0)</f>
        <v>Hayward Goulter</v>
      </c>
      <c r="J70" s="2" t="str" cm="1">
        <f t="array" ref="J70">IF(_xlfn.XLOOKUP(F70,Customers!A69:$A$1001,Customers!C69:$C$1001,"Not Found",0)=0,"",_xlfn.XLOOKUP(F70,Customers!A69:$A$1001,Customers!C69:$C$1001,"Not Found",0))</f>
        <v>hgoulter1w@abc.net.au</v>
      </c>
      <c r="K70" s="2" t="str" cm="1">
        <f t="array" ref="K70">_xlfn.XLOOKUP(F70,Customers!A69:$A$1001,Customers!G69:$G$1001,"Not Found",0)</f>
        <v>United States</v>
      </c>
      <c r="L70" t="str">
        <f>INDEX(Products!$A$1:$G$49,MATCH(Orders!$G70,Products!$A$1:$A$49,0),MATCH(Orders!L$1,Products!$A$1:$G$1,0))</f>
        <v>Rob</v>
      </c>
      <c r="M70" t="str">
        <f>INDEX(Products!$A$1:$G$49,MATCH(Orders!$G70,Products!$A$1:$A$49,0),MATCH(Orders!M$1,Products!$A$1:$G$1,0))</f>
        <v>M</v>
      </c>
      <c r="N70" s="4">
        <f>INDEX(Products!$A$1:$G$49,MATCH(Orders!$G70,Products!$A$1:$A$49,0),MATCH(Orders!N$1,Products!$A$1:$G$1,0))</f>
        <v>0.2</v>
      </c>
      <c r="O70" s="7">
        <f>INDEX(Products!$A$1:$G$49,MATCH(Orders!$G70,Products!$A$1:$A$49,0),MATCH(Orders!O$1,Products!$A$1:$G$1,0))</f>
        <v>2.9849999999999999</v>
      </c>
      <c r="P70" s="7">
        <f t="shared" si="1"/>
        <v>2.9849999999999999</v>
      </c>
      <c r="Q70" t="str" cm="1">
        <f t="array" ref="Q70">_xlfn.IFS(L70="Rob","Robusta",L70="Exc", "Excelsa",L70="Ara", "Arabica",L70="Lib", "Liberica")</f>
        <v>Robusta</v>
      </c>
      <c r="R70" t="str" cm="1">
        <f t="array" ref="R70">_xlfn.IFS(M70="M","Medium",M70="L","Light",M70="D","Dark")</f>
        <v>Medium</v>
      </c>
    </row>
    <row r="71" spans="1:18">
      <c r="A71" s="2" t="s">
        <v>210</v>
      </c>
      <c r="B71" s="3">
        <v>43795</v>
      </c>
      <c r="C71" s="9">
        <f>YEAR(Orders_Table[[#This Row],[Order Date]])</f>
        <v>2019</v>
      </c>
      <c r="D71" s="9">
        <f>MONTH(Orders_Table[[#This Row],[Order Date]])</f>
        <v>11</v>
      </c>
      <c r="E71" s="9" t="str" cm="1">
        <f t="array" ref="E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1" s="2" t="s">
        <v>211</v>
      </c>
      <c r="G71" t="s">
        <v>49</v>
      </c>
      <c r="H71" s="2">
        <v>6</v>
      </c>
      <c r="I71" s="2" t="str" cm="1">
        <f t="array" ref="I71">_xlfn.XLOOKUP(F71,Customers!A70:$A$1001,Customers!B70:$B$1001,"Not Found",0)</f>
        <v>Gay Rizzello</v>
      </c>
      <c r="J71" s="2" t="str" cm="1">
        <f t="array" ref="J71">IF(_xlfn.XLOOKUP(F71,Customers!A70:$A$1001,Customers!C70:$C$1001,"Not Found",0)=0,"",_xlfn.XLOOKUP(F71,Customers!A70:$A$1001,Customers!C70:$C$1001,"Not Found",0))</f>
        <v>grizzello1x@symantec.com</v>
      </c>
      <c r="K71" s="2" t="str" cm="1">
        <f t="array" ref="K71">_xlfn.XLOOKUP(F71,Customers!A70:$A$1001,Customers!G70:$G$1001,"Not Found",0)</f>
        <v>United Kingdom</v>
      </c>
      <c r="L71" t="str">
        <f>INDEX(Products!$A$1:$G$49,MATCH(Orders!$G71,Products!$A$1:$A$49,0),MATCH(Orders!L$1,Products!$A$1:$G$1,0))</f>
        <v>Rob</v>
      </c>
      <c r="M71" t="str">
        <f>INDEX(Products!$A$1:$G$49,MATCH(Orders!$G71,Products!$A$1:$A$49,0),MATCH(Orders!M$1,Products!$A$1:$G$1,0))</f>
        <v>M</v>
      </c>
      <c r="N71" s="4">
        <f>INDEX(Products!$A$1:$G$49,MATCH(Orders!$G71,Products!$A$1:$A$49,0),MATCH(Orders!N$1,Products!$A$1:$G$1,0))</f>
        <v>1</v>
      </c>
      <c r="O71" s="7">
        <f>INDEX(Products!$A$1:$G$49,MATCH(Orders!$G71,Products!$A$1:$A$49,0),MATCH(Orders!O$1,Products!$A$1:$G$1,0))</f>
        <v>9.9499999999999993</v>
      </c>
      <c r="P71" s="7">
        <f t="shared" si="1"/>
        <v>59.699999999999996</v>
      </c>
      <c r="Q71" t="str" cm="1">
        <f t="array" ref="Q71">_xlfn.IFS(L71="Rob","Robusta",L71="Exc", "Excelsa",L71="Ara", "Arabica",L71="Lib", "Liberica")</f>
        <v>Robusta</v>
      </c>
      <c r="R71" t="str" cm="1">
        <f t="array" ref="R71">_xlfn.IFS(M71="M","Medium",M71="L","Light",M71="D","Dark")</f>
        <v>Medium</v>
      </c>
    </row>
    <row r="72" spans="1:18">
      <c r="A72" s="2" t="s">
        <v>212</v>
      </c>
      <c r="B72" s="3">
        <v>43646</v>
      </c>
      <c r="C72" s="9">
        <f>YEAR(Orders_Table[[#This Row],[Order Date]])</f>
        <v>2019</v>
      </c>
      <c r="D72" s="9">
        <f>MONTH(Orders_Table[[#This Row],[Order Date]])</f>
        <v>6</v>
      </c>
      <c r="E72" s="9" t="str" cm="1">
        <f t="array" ref="E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2" s="2" t="s">
        <v>213</v>
      </c>
      <c r="G72" t="s">
        <v>77</v>
      </c>
      <c r="H72" s="2">
        <v>4</v>
      </c>
      <c r="I72" s="2" t="str" cm="1">
        <f t="array" ref="I72">_xlfn.XLOOKUP(F72,Customers!A71:$A$1001,Customers!B71:$B$1001,"Not Found",0)</f>
        <v>Shannon List</v>
      </c>
      <c r="J72" s="2" t="str" cm="1">
        <f t="array" ref="J72">IF(_xlfn.XLOOKUP(F72,Customers!A71:$A$1001,Customers!C71:$C$1001,"Not Found",0)=0,"",_xlfn.XLOOKUP(F72,Customers!A71:$A$1001,Customers!C71:$C$1001,"Not Found",0))</f>
        <v>slist1y@mapquest.com</v>
      </c>
      <c r="K72" s="2" t="str" cm="1">
        <f t="array" ref="K72">_xlfn.XLOOKUP(F72,Customers!A71:$A$1001,Customers!G71:$G$1001,"Not Found",0)</f>
        <v>United States</v>
      </c>
      <c r="L72" t="str">
        <f>INDEX(Products!$A$1:$G$49,MATCH(Orders!$G72,Products!$A$1:$A$49,0),MATCH(Orders!L$1,Products!$A$1:$G$1,0))</f>
        <v>Exc</v>
      </c>
      <c r="M72" t="str">
        <f>INDEX(Products!$A$1:$G$49,MATCH(Orders!$G72,Products!$A$1:$A$49,0),MATCH(Orders!M$1,Products!$A$1:$G$1,0))</f>
        <v>L</v>
      </c>
      <c r="N72" s="4">
        <f>INDEX(Products!$A$1:$G$49,MATCH(Orders!$G72,Products!$A$1:$A$49,0),MATCH(Orders!N$1,Products!$A$1:$G$1,0))</f>
        <v>2.5</v>
      </c>
      <c r="O72" s="7">
        <f>INDEX(Products!$A$1:$G$49,MATCH(Orders!$G72,Products!$A$1:$A$49,0),MATCH(Orders!O$1,Products!$A$1:$G$1,0))</f>
        <v>34.154999999999994</v>
      </c>
      <c r="P72" s="7">
        <f t="shared" si="1"/>
        <v>136.61999999999998</v>
      </c>
      <c r="Q72" t="str" cm="1">
        <f t="array" ref="Q72">_xlfn.IFS(L72="Rob","Robusta",L72="Exc", "Excelsa",L72="Ara", "Arabica",L72="Lib", "Liberica")</f>
        <v>Excelsa</v>
      </c>
      <c r="R72" t="str" cm="1">
        <f t="array" ref="R72">_xlfn.IFS(M72="M","Medium",M72="L","Light",M72="D","Dark")</f>
        <v>Light</v>
      </c>
    </row>
    <row r="73" spans="1:18">
      <c r="A73" s="2" t="s">
        <v>214</v>
      </c>
      <c r="B73" s="3">
        <v>44200</v>
      </c>
      <c r="C73" s="9">
        <f>YEAR(Orders_Table[[#This Row],[Order Date]])</f>
        <v>2021</v>
      </c>
      <c r="D73" s="9">
        <f>MONTH(Orders_Table[[#This Row],[Order Date]])</f>
        <v>1</v>
      </c>
      <c r="E73" s="9" t="str" cm="1">
        <f t="array" ref="E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3" s="2" t="s">
        <v>215</v>
      </c>
      <c r="G73" t="s">
        <v>66</v>
      </c>
      <c r="H73" s="2">
        <v>2</v>
      </c>
      <c r="I73" s="2" t="str" cm="1">
        <f t="array" ref="I73">_xlfn.XLOOKUP(F73,Customers!A72:$A$1001,Customers!B72:$B$1001,"Not Found",0)</f>
        <v>Shirlene Edmondson</v>
      </c>
      <c r="J73" s="2" t="str" cm="1">
        <f t="array" ref="J73">IF(_xlfn.XLOOKUP(F73,Customers!A72:$A$1001,Customers!C72:$C$1001,"Not Found",0)=0,"",_xlfn.XLOOKUP(F73,Customers!A72:$A$1001,Customers!C72:$C$1001,"Not Found",0))</f>
        <v>sedmondson1z@theguardian.com</v>
      </c>
      <c r="K73" s="2" t="str" cm="1">
        <f t="array" ref="K73">_xlfn.XLOOKUP(F73,Customers!A72:$A$1001,Customers!G72:$G$1001,"Not Found",0)</f>
        <v>Ireland</v>
      </c>
      <c r="L73" t="str">
        <f>INDEX(Products!$A$1:$G$49,MATCH(Orders!$G73,Products!$A$1:$A$49,0),MATCH(Orders!L$1,Products!$A$1:$G$1,0))</f>
        <v>Lib</v>
      </c>
      <c r="M73" t="str">
        <f>INDEX(Products!$A$1:$G$49,MATCH(Orders!$G73,Products!$A$1:$A$49,0),MATCH(Orders!M$1,Products!$A$1:$G$1,0))</f>
        <v>L</v>
      </c>
      <c r="N73" s="4">
        <f>INDEX(Products!$A$1:$G$49,MATCH(Orders!$G73,Products!$A$1:$A$49,0),MATCH(Orders!N$1,Products!$A$1:$G$1,0))</f>
        <v>0.2</v>
      </c>
      <c r="O73" s="7">
        <f>INDEX(Products!$A$1:$G$49,MATCH(Orders!$G73,Products!$A$1:$A$49,0),MATCH(Orders!O$1,Products!$A$1:$G$1,0))</f>
        <v>4.7549999999999999</v>
      </c>
      <c r="P73" s="7">
        <f t="shared" si="1"/>
        <v>9.51</v>
      </c>
      <c r="Q73" t="str" cm="1">
        <f t="array" ref="Q73">_xlfn.IFS(L73="Rob","Robusta",L73="Exc", "Excelsa",L73="Ara", "Arabica",L73="Lib", "Liberica")</f>
        <v>Liberica</v>
      </c>
      <c r="R73" t="str" cm="1">
        <f t="array" ref="R73">_xlfn.IFS(M73="M","Medium",M73="L","Light",M73="D","Dark")</f>
        <v>Light</v>
      </c>
    </row>
    <row r="74" spans="1:18">
      <c r="A74" s="2" t="s">
        <v>216</v>
      </c>
      <c r="B74" s="3">
        <v>44131</v>
      </c>
      <c r="C74" s="9">
        <f>YEAR(Orders_Table[[#This Row],[Order Date]])</f>
        <v>2020</v>
      </c>
      <c r="D74" s="9">
        <f>MONTH(Orders_Table[[#This Row],[Order Date]])</f>
        <v>10</v>
      </c>
      <c r="E74" s="9" t="str" cm="1">
        <f t="array" ref="E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4" s="2" t="s">
        <v>217</v>
      </c>
      <c r="G74" t="s">
        <v>218</v>
      </c>
      <c r="H74" s="2">
        <v>3</v>
      </c>
      <c r="I74" s="2" t="str" cm="1">
        <f t="array" ref="I74">_xlfn.XLOOKUP(F74,Customers!A73:$A$1001,Customers!B73:$B$1001,"Not Found",0)</f>
        <v>Aurlie McCarl</v>
      </c>
      <c r="J74" s="2" t="str" cm="1">
        <f t="array" ref="J74">IF(_xlfn.XLOOKUP(F74,Customers!A73:$A$1001,Customers!C73:$C$1001,"Not Found",0)=0,"",_xlfn.XLOOKUP(F74,Customers!A73:$A$1001,Customers!C73:$C$1001,"Not Found",0))</f>
        <v/>
      </c>
      <c r="K74" s="2" t="str" cm="1">
        <f t="array" ref="K74">_xlfn.XLOOKUP(F74,Customers!A73:$A$1001,Customers!G73:$G$1001,"Not Found",0)</f>
        <v>United States</v>
      </c>
      <c r="L74" t="str">
        <f>INDEX(Products!$A$1:$G$49,MATCH(Orders!$G74,Products!$A$1:$A$49,0),MATCH(Orders!L$1,Products!$A$1:$G$1,0))</f>
        <v>Ara</v>
      </c>
      <c r="M74" t="str">
        <f>INDEX(Products!$A$1:$G$49,MATCH(Orders!$G74,Products!$A$1:$A$49,0),MATCH(Orders!M$1,Products!$A$1:$G$1,0))</f>
        <v>M</v>
      </c>
      <c r="N74" s="4">
        <f>INDEX(Products!$A$1:$G$49,MATCH(Orders!$G74,Products!$A$1:$A$49,0),MATCH(Orders!N$1,Products!$A$1:$G$1,0))</f>
        <v>2.5</v>
      </c>
      <c r="O74" s="7">
        <f>INDEX(Products!$A$1:$G$49,MATCH(Orders!$G74,Products!$A$1:$A$49,0),MATCH(Orders!O$1,Products!$A$1:$G$1,0))</f>
        <v>25.874999999999996</v>
      </c>
      <c r="P74" s="7">
        <f t="shared" si="1"/>
        <v>77.624999999999986</v>
      </c>
      <c r="Q74" t="str" cm="1">
        <f t="array" ref="Q74">_xlfn.IFS(L74="Rob","Robusta",L74="Exc", "Excelsa",L74="Ara", "Arabica",L74="Lib", "Liberica")</f>
        <v>Arabica</v>
      </c>
      <c r="R74" t="str" cm="1">
        <f t="array" ref="R74">_xlfn.IFS(M74="M","Medium",M74="L","Light",M74="D","Dark")</f>
        <v>Medium</v>
      </c>
    </row>
    <row r="75" spans="1:18">
      <c r="A75" s="2" t="s">
        <v>219</v>
      </c>
      <c r="B75" s="3">
        <v>44362</v>
      </c>
      <c r="C75" s="9">
        <f>YEAR(Orders_Table[[#This Row],[Order Date]])</f>
        <v>2021</v>
      </c>
      <c r="D75" s="9">
        <f>MONTH(Orders_Table[[#This Row],[Order Date]])</f>
        <v>6</v>
      </c>
      <c r="E75" s="9" t="str" cm="1">
        <f t="array" ref="E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5" s="2" t="s">
        <v>220</v>
      </c>
      <c r="G75" t="s">
        <v>124</v>
      </c>
      <c r="H75" s="2">
        <v>5</v>
      </c>
      <c r="I75" s="2" t="str" cm="1">
        <f t="array" ref="I75">_xlfn.XLOOKUP(F75,Customers!A74:$A$1001,Customers!B74:$B$1001,"Not Found",0)</f>
        <v>Alikee Carryer</v>
      </c>
      <c r="J75" s="2" t="str" cm="1">
        <f t="array" ref="J75">IF(_xlfn.XLOOKUP(F75,Customers!A74:$A$1001,Customers!C74:$C$1001,"Not Found",0)=0,"",_xlfn.XLOOKUP(F75,Customers!A74:$A$1001,Customers!C74:$C$1001,"Not Found",0))</f>
        <v/>
      </c>
      <c r="K75" s="2" t="str" cm="1">
        <f t="array" ref="K75">_xlfn.XLOOKUP(F75,Customers!A74:$A$1001,Customers!G74:$G$1001,"Not Found",0)</f>
        <v>United States</v>
      </c>
      <c r="L75" t="str">
        <f>INDEX(Products!$A$1:$G$49,MATCH(Orders!$G75,Products!$A$1:$A$49,0),MATCH(Orders!L$1,Products!$A$1:$G$1,0))</f>
        <v>Lib</v>
      </c>
      <c r="M75" t="str">
        <f>INDEX(Products!$A$1:$G$49,MATCH(Orders!$G75,Products!$A$1:$A$49,0),MATCH(Orders!M$1,Products!$A$1:$G$1,0))</f>
        <v>M</v>
      </c>
      <c r="N75" s="4">
        <f>INDEX(Products!$A$1:$G$49,MATCH(Orders!$G75,Products!$A$1:$A$49,0),MATCH(Orders!N$1,Products!$A$1:$G$1,0))</f>
        <v>0.2</v>
      </c>
      <c r="O75" s="7">
        <f>INDEX(Products!$A$1:$G$49,MATCH(Orders!$G75,Products!$A$1:$A$49,0),MATCH(Orders!O$1,Products!$A$1:$G$1,0))</f>
        <v>4.3650000000000002</v>
      </c>
      <c r="P75" s="7">
        <f t="shared" si="1"/>
        <v>21.825000000000003</v>
      </c>
      <c r="Q75" t="str" cm="1">
        <f t="array" ref="Q75">_xlfn.IFS(L75="Rob","Robusta",L75="Exc", "Excelsa",L75="Ara", "Arabica",L75="Lib", "Liberica")</f>
        <v>Liberica</v>
      </c>
      <c r="R75" t="str" cm="1">
        <f t="array" ref="R75">_xlfn.IFS(M75="M","Medium",M75="L","Light",M75="D","Dark")</f>
        <v>Medium</v>
      </c>
    </row>
    <row r="76" spans="1:18">
      <c r="A76" s="2" t="s">
        <v>221</v>
      </c>
      <c r="B76" s="3">
        <v>44396</v>
      </c>
      <c r="C76" s="9">
        <f>YEAR(Orders_Table[[#This Row],[Order Date]])</f>
        <v>2021</v>
      </c>
      <c r="D76" s="9">
        <f>MONTH(Orders_Table[[#This Row],[Order Date]])</f>
        <v>7</v>
      </c>
      <c r="E76" s="9" t="str" cm="1">
        <f t="array" ref="E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6" s="2" t="s">
        <v>222</v>
      </c>
      <c r="G76" t="s">
        <v>223</v>
      </c>
      <c r="H76" s="2">
        <v>2</v>
      </c>
      <c r="I76" s="2" t="str" cm="1">
        <f t="array" ref="I76">_xlfn.XLOOKUP(F76,Customers!A75:$A$1001,Customers!B75:$B$1001,"Not Found",0)</f>
        <v>Jennifer Rangall</v>
      </c>
      <c r="J76" s="2" t="str" cm="1">
        <f t="array" ref="J76">IF(_xlfn.XLOOKUP(F76,Customers!A75:$A$1001,Customers!C75:$C$1001,"Not Found",0)=0,"",_xlfn.XLOOKUP(F76,Customers!A75:$A$1001,Customers!C75:$C$1001,"Not Found",0))</f>
        <v>jrangall22@newsvine.com</v>
      </c>
      <c r="K76" s="2" t="str" cm="1">
        <f t="array" ref="K76">_xlfn.XLOOKUP(F76,Customers!A75:$A$1001,Customers!G75:$G$1001,"Not Found",0)</f>
        <v>United States</v>
      </c>
      <c r="L76" t="str">
        <f>INDEX(Products!$A$1:$G$49,MATCH(Orders!$G76,Products!$A$1:$A$49,0),MATCH(Orders!L$1,Products!$A$1:$G$1,0))</f>
        <v>Exc</v>
      </c>
      <c r="M76" t="str">
        <f>INDEX(Products!$A$1:$G$49,MATCH(Orders!$G76,Products!$A$1:$A$49,0),MATCH(Orders!M$1,Products!$A$1:$G$1,0))</f>
        <v>L</v>
      </c>
      <c r="N76" s="4">
        <f>INDEX(Products!$A$1:$G$49,MATCH(Orders!$G76,Products!$A$1:$A$49,0),MATCH(Orders!N$1,Products!$A$1:$G$1,0))</f>
        <v>0.5</v>
      </c>
      <c r="O76" s="7">
        <f>INDEX(Products!$A$1:$G$49,MATCH(Orders!$G76,Products!$A$1:$A$49,0),MATCH(Orders!O$1,Products!$A$1:$G$1,0))</f>
        <v>8.91</v>
      </c>
      <c r="P76" s="7">
        <f t="shared" si="1"/>
        <v>17.82</v>
      </c>
      <c r="Q76" t="str" cm="1">
        <f t="array" ref="Q76">_xlfn.IFS(L76="Rob","Robusta",L76="Exc", "Excelsa",L76="Ara", "Arabica",L76="Lib", "Liberica")</f>
        <v>Excelsa</v>
      </c>
      <c r="R76" t="str" cm="1">
        <f t="array" ref="R76">_xlfn.IFS(M76="M","Medium",M76="L","Light",M76="D","Dark")</f>
        <v>Light</v>
      </c>
    </row>
    <row r="77" spans="1:18">
      <c r="A77" s="2" t="s">
        <v>224</v>
      </c>
      <c r="B77" s="3">
        <v>44400</v>
      </c>
      <c r="C77" s="9">
        <f>YEAR(Orders_Table[[#This Row],[Order Date]])</f>
        <v>2021</v>
      </c>
      <c r="D77" s="9">
        <f>MONTH(Orders_Table[[#This Row],[Order Date]])</f>
        <v>7</v>
      </c>
      <c r="E77" s="9" t="str" cm="1">
        <f t="array" ref="E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7" s="2" t="s">
        <v>225</v>
      </c>
      <c r="G77" t="s">
        <v>226</v>
      </c>
      <c r="H77" s="2">
        <v>6</v>
      </c>
      <c r="I77" s="2" t="str" cm="1">
        <f t="array" ref="I77">_xlfn.XLOOKUP(F77,Customers!A76:$A$1001,Customers!B76:$B$1001,"Not Found",0)</f>
        <v>Kipper Boorn</v>
      </c>
      <c r="J77" s="2" t="str" cm="1">
        <f t="array" ref="J77">IF(_xlfn.XLOOKUP(F77,Customers!A76:$A$1001,Customers!C76:$C$1001,"Not Found",0)=0,"",_xlfn.XLOOKUP(F77,Customers!A76:$A$1001,Customers!C76:$C$1001,"Not Found",0))</f>
        <v>kboorn23@ezinearticles.com</v>
      </c>
      <c r="K77" s="2" t="str" cm="1">
        <f t="array" ref="K77">_xlfn.XLOOKUP(F77,Customers!A76:$A$1001,Customers!G76:$G$1001,"Not Found",0)</f>
        <v>Ireland</v>
      </c>
      <c r="L77" t="str">
        <f>INDEX(Products!$A$1:$G$49,MATCH(Orders!$G77,Products!$A$1:$A$49,0),MATCH(Orders!L$1,Products!$A$1:$G$1,0))</f>
        <v>Rob</v>
      </c>
      <c r="M77" t="str">
        <f>INDEX(Products!$A$1:$G$49,MATCH(Orders!$G77,Products!$A$1:$A$49,0),MATCH(Orders!M$1,Products!$A$1:$G$1,0))</f>
        <v>D</v>
      </c>
      <c r="N77" s="4">
        <f>INDEX(Products!$A$1:$G$49,MATCH(Orders!$G77,Products!$A$1:$A$49,0),MATCH(Orders!N$1,Products!$A$1:$G$1,0))</f>
        <v>1</v>
      </c>
      <c r="O77" s="7">
        <f>INDEX(Products!$A$1:$G$49,MATCH(Orders!$G77,Products!$A$1:$A$49,0),MATCH(Orders!O$1,Products!$A$1:$G$1,0))</f>
        <v>8.9499999999999993</v>
      </c>
      <c r="P77" s="7">
        <f t="shared" si="1"/>
        <v>53.699999999999996</v>
      </c>
      <c r="Q77" t="str" cm="1">
        <f t="array" ref="Q77">_xlfn.IFS(L77="Rob","Robusta",L77="Exc", "Excelsa",L77="Ara", "Arabica",L77="Lib", "Liberica")</f>
        <v>Robusta</v>
      </c>
      <c r="R77" t="str" cm="1">
        <f t="array" ref="R77">_xlfn.IFS(M77="M","Medium",M77="L","Light",M77="D","Dark")</f>
        <v>Dark</v>
      </c>
    </row>
    <row r="78" spans="1:18">
      <c r="A78" s="2" t="s">
        <v>227</v>
      </c>
      <c r="B78" s="3">
        <v>43855</v>
      </c>
      <c r="C78" s="9">
        <f>YEAR(Orders_Table[[#This Row],[Order Date]])</f>
        <v>2020</v>
      </c>
      <c r="D78" s="9">
        <f>MONTH(Orders_Table[[#This Row],[Order Date]])</f>
        <v>1</v>
      </c>
      <c r="E78" s="9" t="str" cm="1">
        <f t="array" ref="E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8" s="2" t="s">
        <v>228</v>
      </c>
      <c r="G78" t="s">
        <v>229</v>
      </c>
      <c r="H78" s="2">
        <v>1</v>
      </c>
      <c r="I78" s="2" t="str" cm="1">
        <f t="array" ref="I78">_xlfn.XLOOKUP(F78,Customers!A77:$A$1001,Customers!B77:$B$1001,"Not Found",0)</f>
        <v>Melania Beadle</v>
      </c>
      <c r="J78" s="2" t="str" cm="1">
        <f t="array" ref="J78">IF(_xlfn.XLOOKUP(F78,Customers!A77:$A$1001,Customers!C77:$C$1001,"Not Found",0)=0,"",_xlfn.XLOOKUP(F78,Customers!A77:$A$1001,Customers!C77:$C$1001,"Not Found",0))</f>
        <v/>
      </c>
      <c r="K78" s="2" t="str" cm="1">
        <f t="array" ref="K78">_xlfn.XLOOKUP(F78,Customers!A77:$A$1001,Customers!G77:$G$1001,"Not Found",0)</f>
        <v>Ireland</v>
      </c>
      <c r="L78" t="str">
        <f>INDEX(Products!$A$1:$G$49,MATCH(Orders!$G78,Products!$A$1:$A$49,0),MATCH(Orders!L$1,Products!$A$1:$G$1,0))</f>
        <v>Rob</v>
      </c>
      <c r="M78" t="str">
        <f>INDEX(Products!$A$1:$G$49,MATCH(Orders!$G78,Products!$A$1:$A$49,0),MATCH(Orders!M$1,Products!$A$1:$G$1,0))</f>
        <v>L</v>
      </c>
      <c r="N78" s="4">
        <f>INDEX(Products!$A$1:$G$49,MATCH(Orders!$G78,Products!$A$1:$A$49,0),MATCH(Orders!N$1,Products!$A$1:$G$1,0))</f>
        <v>0.2</v>
      </c>
      <c r="O78" s="7">
        <f>INDEX(Products!$A$1:$G$49,MATCH(Orders!$G78,Products!$A$1:$A$49,0),MATCH(Orders!O$1,Products!$A$1:$G$1,0))</f>
        <v>3.5849999999999995</v>
      </c>
      <c r="P78" s="7">
        <f t="shared" si="1"/>
        <v>3.5849999999999995</v>
      </c>
      <c r="Q78" t="str" cm="1">
        <f t="array" ref="Q78">_xlfn.IFS(L78="Rob","Robusta",L78="Exc", "Excelsa",L78="Ara", "Arabica",L78="Lib", "Liberica")</f>
        <v>Robusta</v>
      </c>
      <c r="R78" t="str" cm="1">
        <f t="array" ref="R78">_xlfn.IFS(M78="M","Medium",M78="L","Light",M78="D","Dark")</f>
        <v>Light</v>
      </c>
    </row>
    <row r="79" spans="1:18">
      <c r="A79" s="2" t="s">
        <v>230</v>
      </c>
      <c r="B79" s="3">
        <v>43594</v>
      </c>
      <c r="C79" s="9">
        <f>YEAR(Orders_Table[[#This Row],[Order Date]])</f>
        <v>2019</v>
      </c>
      <c r="D79" s="9">
        <f>MONTH(Orders_Table[[#This Row],[Order Date]])</f>
        <v>5</v>
      </c>
      <c r="E79" s="9" t="str" cm="1">
        <f t="array" ref="E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79" s="2" t="s">
        <v>231</v>
      </c>
      <c r="G79" t="s">
        <v>98</v>
      </c>
      <c r="H79" s="2">
        <v>2</v>
      </c>
      <c r="I79" s="2" t="str" cm="1">
        <f t="array" ref="I79">_xlfn.XLOOKUP(F79,Customers!A78:$A$1001,Customers!B78:$B$1001,"Not Found",0)</f>
        <v>Colene Elgey</v>
      </c>
      <c r="J79" s="2" t="str" cm="1">
        <f t="array" ref="J79">IF(_xlfn.XLOOKUP(F79,Customers!A78:$A$1001,Customers!C78:$C$1001,"Not Found",0)=0,"",_xlfn.XLOOKUP(F79,Customers!A78:$A$1001,Customers!C78:$C$1001,"Not Found",0))</f>
        <v>celgey25@webs.com</v>
      </c>
      <c r="K79" s="2" t="str" cm="1">
        <f t="array" ref="K79">_xlfn.XLOOKUP(F79,Customers!A78:$A$1001,Customers!G78:$G$1001,"Not Found",0)</f>
        <v>United States</v>
      </c>
      <c r="L79" t="str">
        <f>INDEX(Products!$A$1:$G$49,MATCH(Orders!$G79,Products!$A$1:$A$49,0),MATCH(Orders!L$1,Products!$A$1:$G$1,0))</f>
        <v>Exc</v>
      </c>
      <c r="M79" t="str">
        <f>INDEX(Products!$A$1:$G$49,MATCH(Orders!$G79,Products!$A$1:$A$49,0),MATCH(Orders!M$1,Products!$A$1:$G$1,0))</f>
        <v>D</v>
      </c>
      <c r="N79" s="4">
        <f>INDEX(Products!$A$1:$G$49,MATCH(Orders!$G79,Products!$A$1:$A$49,0),MATCH(Orders!N$1,Products!$A$1:$G$1,0))</f>
        <v>0.2</v>
      </c>
      <c r="O79" s="7">
        <f>INDEX(Products!$A$1:$G$49,MATCH(Orders!$G79,Products!$A$1:$A$49,0),MATCH(Orders!O$1,Products!$A$1:$G$1,0))</f>
        <v>3.645</v>
      </c>
      <c r="P79" s="7">
        <f t="shared" si="1"/>
        <v>7.29</v>
      </c>
      <c r="Q79" t="str" cm="1">
        <f t="array" ref="Q79">_xlfn.IFS(L79="Rob","Robusta",L79="Exc", "Excelsa",L79="Ara", "Arabica",L79="Lib", "Liberica")</f>
        <v>Excelsa</v>
      </c>
      <c r="R79" t="str" cm="1">
        <f t="array" ref="R79">_xlfn.IFS(M79="M","Medium",M79="L","Light",M79="D","Dark")</f>
        <v>Dark</v>
      </c>
    </row>
    <row r="80" spans="1:18">
      <c r="A80" s="2" t="s">
        <v>232</v>
      </c>
      <c r="B80" s="3">
        <v>43920</v>
      </c>
      <c r="C80" s="9">
        <f>YEAR(Orders_Table[[#This Row],[Order Date]])</f>
        <v>2020</v>
      </c>
      <c r="D80" s="9">
        <f>MONTH(Orders_Table[[#This Row],[Order Date]])</f>
        <v>3</v>
      </c>
      <c r="E80" s="9" t="str" cm="1">
        <f t="array" ref="E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0" s="2" t="s">
        <v>233</v>
      </c>
      <c r="G80" t="s">
        <v>114</v>
      </c>
      <c r="H80" s="2">
        <v>6</v>
      </c>
      <c r="I80" s="2" t="str" cm="1">
        <f t="array" ref="I80">_xlfn.XLOOKUP(F80,Customers!A79:$A$1001,Customers!B79:$B$1001,"Not Found",0)</f>
        <v>Lothaire Mizzi</v>
      </c>
      <c r="J80" s="2" t="str" cm="1">
        <f t="array" ref="J80">IF(_xlfn.XLOOKUP(F80,Customers!A79:$A$1001,Customers!C79:$C$1001,"Not Found",0)=0,"",_xlfn.XLOOKUP(F80,Customers!A79:$A$1001,Customers!C79:$C$1001,"Not Found",0))</f>
        <v>lmizzi26@rakuten.co.jp</v>
      </c>
      <c r="K80" s="2" t="str" cm="1">
        <f t="array" ref="K80">_xlfn.XLOOKUP(F80,Customers!A79:$A$1001,Customers!G79:$G$1001,"Not Found",0)</f>
        <v>United States</v>
      </c>
      <c r="L80" t="str">
        <f>INDEX(Products!$A$1:$G$49,MATCH(Orders!$G80,Products!$A$1:$A$49,0),MATCH(Orders!L$1,Products!$A$1:$G$1,0))</f>
        <v>Ara</v>
      </c>
      <c r="M80" t="str">
        <f>INDEX(Products!$A$1:$G$49,MATCH(Orders!$G80,Products!$A$1:$A$49,0),MATCH(Orders!M$1,Products!$A$1:$G$1,0))</f>
        <v>M</v>
      </c>
      <c r="N80" s="4">
        <f>INDEX(Products!$A$1:$G$49,MATCH(Orders!$G80,Products!$A$1:$A$49,0),MATCH(Orders!N$1,Products!$A$1:$G$1,0))</f>
        <v>0.5</v>
      </c>
      <c r="O80" s="7">
        <f>INDEX(Products!$A$1:$G$49,MATCH(Orders!$G80,Products!$A$1:$A$49,0),MATCH(Orders!O$1,Products!$A$1:$G$1,0))</f>
        <v>6.75</v>
      </c>
      <c r="P80" s="7">
        <f t="shared" si="1"/>
        <v>40.5</v>
      </c>
      <c r="Q80" t="str" cm="1">
        <f t="array" ref="Q80">_xlfn.IFS(L80="Rob","Robusta",L80="Exc", "Excelsa",L80="Ara", "Arabica",L80="Lib", "Liberica")</f>
        <v>Arabica</v>
      </c>
      <c r="R80" t="str" cm="1">
        <f t="array" ref="R80">_xlfn.IFS(M80="M","Medium",M80="L","Light",M80="D","Dark")</f>
        <v>Medium</v>
      </c>
    </row>
    <row r="81" spans="1:18">
      <c r="A81" s="2" t="s">
        <v>234</v>
      </c>
      <c r="B81" s="3">
        <v>44633</v>
      </c>
      <c r="C81" s="9">
        <f>YEAR(Orders_Table[[#This Row],[Order Date]])</f>
        <v>2022</v>
      </c>
      <c r="D81" s="9">
        <f>MONTH(Orders_Table[[#This Row],[Order Date]])</f>
        <v>3</v>
      </c>
      <c r="E81" s="9" t="str" cm="1">
        <f t="array" ref="E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1" s="2" t="s">
        <v>235</v>
      </c>
      <c r="G81" t="s">
        <v>236</v>
      </c>
      <c r="H81" s="2">
        <v>4</v>
      </c>
      <c r="I81" s="2" t="str" cm="1">
        <f t="array" ref="I81">_xlfn.XLOOKUP(F81,Customers!A80:$A$1001,Customers!B80:$B$1001,"Not Found",0)</f>
        <v>Cletis Giacomazzo</v>
      </c>
      <c r="J81" s="2" t="str" cm="1">
        <f t="array" ref="J81">IF(_xlfn.XLOOKUP(F81,Customers!A80:$A$1001,Customers!C80:$C$1001,"Not Found",0)=0,"",_xlfn.XLOOKUP(F81,Customers!A80:$A$1001,Customers!C80:$C$1001,"Not Found",0))</f>
        <v>cgiacomazzo27@jigsy.com</v>
      </c>
      <c r="K81" s="2" t="str" cm="1">
        <f t="array" ref="K81">_xlfn.XLOOKUP(F81,Customers!A80:$A$1001,Customers!G80:$G$1001,"Not Found",0)</f>
        <v>United States</v>
      </c>
      <c r="L81" t="str">
        <f>INDEX(Products!$A$1:$G$49,MATCH(Orders!$G81,Products!$A$1:$A$49,0),MATCH(Orders!L$1,Products!$A$1:$G$1,0))</f>
        <v>Rob</v>
      </c>
      <c r="M81" t="str">
        <f>INDEX(Products!$A$1:$G$49,MATCH(Orders!$G81,Products!$A$1:$A$49,0),MATCH(Orders!M$1,Products!$A$1:$G$1,0))</f>
        <v>L</v>
      </c>
      <c r="N81" s="4">
        <f>INDEX(Products!$A$1:$G$49,MATCH(Orders!$G81,Products!$A$1:$A$49,0),MATCH(Orders!N$1,Products!$A$1:$G$1,0))</f>
        <v>1</v>
      </c>
      <c r="O81" s="7">
        <f>INDEX(Products!$A$1:$G$49,MATCH(Orders!$G81,Products!$A$1:$A$49,0),MATCH(Orders!O$1,Products!$A$1:$G$1,0))</f>
        <v>11.95</v>
      </c>
      <c r="P81" s="7">
        <f t="shared" si="1"/>
        <v>47.8</v>
      </c>
      <c r="Q81" t="str" cm="1">
        <f t="array" ref="Q81">_xlfn.IFS(L81="Rob","Robusta",L81="Exc", "Excelsa",L81="Ara", "Arabica",L81="Lib", "Liberica")</f>
        <v>Robusta</v>
      </c>
      <c r="R81" t="str" cm="1">
        <f t="array" ref="R81">_xlfn.IFS(M81="M","Medium",M81="L","Light",M81="D","Dark")</f>
        <v>Light</v>
      </c>
    </row>
    <row r="82" spans="1:18">
      <c r="A82" s="2" t="s">
        <v>237</v>
      </c>
      <c r="B82" s="3">
        <v>43572</v>
      </c>
      <c r="C82" s="9">
        <f>YEAR(Orders_Table[[#This Row],[Order Date]])</f>
        <v>2019</v>
      </c>
      <c r="D82" s="9">
        <f>MONTH(Orders_Table[[#This Row],[Order Date]])</f>
        <v>4</v>
      </c>
      <c r="E82" s="9" t="str" cm="1">
        <f t="array" ref="E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2" s="2" t="s">
        <v>238</v>
      </c>
      <c r="G82" t="s">
        <v>239</v>
      </c>
      <c r="H82" s="2">
        <v>5</v>
      </c>
      <c r="I82" s="2" t="str" cm="1">
        <f t="array" ref="I82">_xlfn.XLOOKUP(F82,Customers!A81:$A$1001,Customers!B81:$B$1001,"Not Found",0)</f>
        <v>Ami Arnow</v>
      </c>
      <c r="J82" s="2" t="str" cm="1">
        <f t="array" ref="J82">IF(_xlfn.XLOOKUP(F82,Customers!A81:$A$1001,Customers!C81:$C$1001,"Not Found",0)=0,"",_xlfn.XLOOKUP(F82,Customers!A81:$A$1001,Customers!C81:$C$1001,"Not Found",0))</f>
        <v>aarnow28@arizona.edu</v>
      </c>
      <c r="K82" s="2" t="str" cm="1">
        <f t="array" ref="K82">_xlfn.XLOOKUP(F82,Customers!A81:$A$1001,Customers!G81:$G$1001,"Not Found",0)</f>
        <v>United States</v>
      </c>
      <c r="L82" t="str">
        <f>INDEX(Products!$A$1:$G$49,MATCH(Orders!$G82,Products!$A$1:$A$49,0),MATCH(Orders!L$1,Products!$A$1:$G$1,0))</f>
        <v>Ara</v>
      </c>
      <c r="M82" t="str">
        <f>INDEX(Products!$A$1:$G$49,MATCH(Orders!$G82,Products!$A$1:$A$49,0),MATCH(Orders!M$1,Products!$A$1:$G$1,0))</f>
        <v>L</v>
      </c>
      <c r="N82" s="4">
        <f>INDEX(Products!$A$1:$G$49,MATCH(Orders!$G82,Products!$A$1:$A$49,0),MATCH(Orders!N$1,Products!$A$1:$G$1,0))</f>
        <v>0.5</v>
      </c>
      <c r="O82" s="7">
        <f>INDEX(Products!$A$1:$G$49,MATCH(Orders!$G82,Products!$A$1:$A$49,0),MATCH(Orders!O$1,Products!$A$1:$G$1,0))</f>
        <v>7.77</v>
      </c>
      <c r="P82" s="7">
        <f t="shared" si="1"/>
        <v>38.849999999999994</v>
      </c>
      <c r="Q82" t="str" cm="1">
        <f t="array" ref="Q82">_xlfn.IFS(L82="Rob","Robusta",L82="Exc", "Excelsa",L82="Ara", "Arabica",L82="Lib", "Liberica")</f>
        <v>Arabica</v>
      </c>
      <c r="R82" t="str" cm="1">
        <f t="array" ref="R82">_xlfn.IFS(M82="M","Medium",M82="L","Light",M82="D","Dark")</f>
        <v>Light</v>
      </c>
    </row>
    <row r="83" spans="1:18">
      <c r="A83" s="2" t="s">
        <v>240</v>
      </c>
      <c r="B83" s="3">
        <v>43763</v>
      </c>
      <c r="C83" s="9">
        <f>YEAR(Orders_Table[[#This Row],[Order Date]])</f>
        <v>2019</v>
      </c>
      <c r="D83" s="9">
        <f>MONTH(Orders_Table[[#This Row],[Order Date]])</f>
        <v>10</v>
      </c>
      <c r="E83" s="9" t="str" cm="1">
        <f t="array" ref="E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3" s="2" t="s">
        <v>241</v>
      </c>
      <c r="G83" t="s">
        <v>151</v>
      </c>
      <c r="H83" s="2">
        <v>3</v>
      </c>
      <c r="I83" s="2" t="str" cm="1">
        <f t="array" ref="I83">_xlfn.XLOOKUP(F83,Customers!A82:$A$1001,Customers!B82:$B$1001,"Not Found",0)</f>
        <v>Sheppard Yann</v>
      </c>
      <c r="J83" s="2" t="str" cm="1">
        <f t="array" ref="J83">IF(_xlfn.XLOOKUP(F83,Customers!A82:$A$1001,Customers!C82:$C$1001,"Not Found",0)=0,"",_xlfn.XLOOKUP(F83,Customers!A82:$A$1001,Customers!C82:$C$1001,"Not Found",0))</f>
        <v>syann29@senate.gov</v>
      </c>
      <c r="K83" s="2" t="str" cm="1">
        <f t="array" ref="K83">_xlfn.XLOOKUP(F83,Customers!A82:$A$1001,Customers!G82:$G$1001,"Not Found",0)</f>
        <v>United States</v>
      </c>
      <c r="L83" t="str">
        <f>INDEX(Products!$A$1:$G$49,MATCH(Orders!$G83,Products!$A$1:$A$49,0),MATCH(Orders!L$1,Products!$A$1:$G$1,0))</f>
        <v>Lib</v>
      </c>
      <c r="M83" t="str">
        <f>INDEX(Products!$A$1:$G$49,MATCH(Orders!$G83,Products!$A$1:$A$49,0),MATCH(Orders!M$1,Products!$A$1:$G$1,0))</f>
        <v>L</v>
      </c>
      <c r="N83" s="4">
        <f>INDEX(Products!$A$1:$G$49,MATCH(Orders!$G83,Products!$A$1:$A$49,0),MATCH(Orders!N$1,Products!$A$1:$G$1,0))</f>
        <v>2.5</v>
      </c>
      <c r="O83" s="7">
        <f>INDEX(Products!$A$1:$G$49,MATCH(Orders!$G83,Products!$A$1:$A$49,0),MATCH(Orders!O$1,Products!$A$1:$G$1,0))</f>
        <v>36.454999999999998</v>
      </c>
      <c r="P83" s="7">
        <f t="shared" si="1"/>
        <v>109.36499999999999</v>
      </c>
      <c r="Q83" t="str" cm="1">
        <f t="array" ref="Q83">_xlfn.IFS(L83="Rob","Robusta",L83="Exc", "Excelsa",L83="Ara", "Arabica",L83="Lib", "Liberica")</f>
        <v>Liberica</v>
      </c>
      <c r="R83" t="str" cm="1">
        <f t="array" ref="R83">_xlfn.IFS(M83="M","Medium",M83="L","Light",M83="D","Dark")</f>
        <v>Light</v>
      </c>
    </row>
    <row r="84" spans="1:18">
      <c r="A84" s="2" t="s">
        <v>242</v>
      </c>
      <c r="B84" s="3">
        <v>43721</v>
      </c>
      <c r="C84" s="9">
        <f>YEAR(Orders_Table[[#This Row],[Order Date]])</f>
        <v>2019</v>
      </c>
      <c r="D84" s="9">
        <f>MONTH(Orders_Table[[#This Row],[Order Date]])</f>
        <v>9</v>
      </c>
      <c r="E84" s="9" t="str" cm="1">
        <f t="array" ref="E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4" s="2" t="s">
        <v>243</v>
      </c>
      <c r="G84" t="s">
        <v>244</v>
      </c>
      <c r="H84" s="2">
        <v>3</v>
      </c>
      <c r="I84" s="2" t="str" cm="1">
        <f t="array" ref="I84">_xlfn.XLOOKUP(F84,Customers!A83:$A$1001,Customers!B83:$B$1001,"Not Found",0)</f>
        <v>Bunny Naulls</v>
      </c>
      <c r="J84" s="2" t="str" cm="1">
        <f t="array" ref="J84">IF(_xlfn.XLOOKUP(F84,Customers!A83:$A$1001,Customers!C83:$C$1001,"Not Found",0)=0,"",_xlfn.XLOOKUP(F84,Customers!A83:$A$1001,Customers!C83:$C$1001,"Not Found",0))</f>
        <v>bnaulls2a@tiny.cc</v>
      </c>
      <c r="K84" s="2" t="str" cm="1">
        <f t="array" ref="K84">_xlfn.XLOOKUP(F84,Customers!A83:$A$1001,Customers!G83:$G$1001,"Not Found",0)</f>
        <v>Ireland</v>
      </c>
      <c r="L84" t="str">
        <f>INDEX(Products!$A$1:$G$49,MATCH(Orders!$G84,Products!$A$1:$A$49,0),MATCH(Orders!L$1,Products!$A$1:$G$1,0))</f>
        <v>Lib</v>
      </c>
      <c r="M84" t="str">
        <f>INDEX(Products!$A$1:$G$49,MATCH(Orders!$G84,Products!$A$1:$A$49,0),MATCH(Orders!M$1,Products!$A$1:$G$1,0))</f>
        <v>M</v>
      </c>
      <c r="N84" s="4">
        <f>INDEX(Products!$A$1:$G$49,MATCH(Orders!$G84,Products!$A$1:$A$49,0),MATCH(Orders!N$1,Products!$A$1:$G$1,0))</f>
        <v>2.5</v>
      </c>
      <c r="O84" s="7">
        <f>INDEX(Products!$A$1:$G$49,MATCH(Orders!$G84,Products!$A$1:$A$49,0),MATCH(Orders!O$1,Products!$A$1:$G$1,0))</f>
        <v>33.464999999999996</v>
      </c>
      <c r="P84" s="7">
        <f t="shared" si="1"/>
        <v>100.39499999999998</v>
      </c>
      <c r="Q84" t="str" cm="1">
        <f t="array" ref="Q84">_xlfn.IFS(L84="Rob","Robusta",L84="Exc", "Excelsa",L84="Ara", "Arabica",L84="Lib", "Liberica")</f>
        <v>Liberica</v>
      </c>
      <c r="R84" t="str" cm="1">
        <f t="array" ref="R84">_xlfn.IFS(M84="M","Medium",M84="L","Light",M84="D","Dark")</f>
        <v>Medium</v>
      </c>
    </row>
    <row r="85" spans="1:18">
      <c r="A85" s="2" t="s">
        <v>245</v>
      </c>
      <c r="B85" s="3">
        <v>43933</v>
      </c>
      <c r="C85" s="9">
        <f>YEAR(Orders_Table[[#This Row],[Order Date]])</f>
        <v>2020</v>
      </c>
      <c r="D85" s="9">
        <f>MONTH(Orders_Table[[#This Row],[Order Date]])</f>
        <v>4</v>
      </c>
      <c r="E85" s="9" t="str" cm="1">
        <f t="array" ref="E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5" s="2" t="s">
        <v>246</v>
      </c>
      <c r="G85" t="s">
        <v>82</v>
      </c>
      <c r="H85" s="2">
        <v>4</v>
      </c>
      <c r="I85" s="2" t="str" cm="1">
        <f t="array" ref="I85">_xlfn.XLOOKUP(F85,Customers!A84:$A$1001,Customers!B84:$B$1001,"Not Found",0)</f>
        <v>Hally Lorait</v>
      </c>
      <c r="J85" s="2" t="str" cm="1">
        <f t="array" ref="J85">IF(_xlfn.XLOOKUP(F85,Customers!A84:$A$1001,Customers!C84:$C$1001,"Not Found",0)=0,"",_xlfn.XLOOKUP(F85,Customers!A84:$A$1001,Customers!C84:$C$1001,"Not Found",0))</f>
        <v/>
      </c>
      <c r="K85" s="2" t="str" cm="1">
        <f t="array" ref="K85">_xlfn.XLOOKUP(F85,Customers!A84:$A$1001,Customers!G84:$G$1001,"Not Found",0)</f>
        <v>United States</v>
      </c>
      <c r="L85" t="str">
        <f>INDEX(Products!$A$1:$G$49,MATCH(Orders!$G85,Products!$A$1:$A$49,0),MATCH(Orders!L$1,Products!$A$1:$G$1,0))</f>
        <v>Rob</v>
      </c>
      <c r="M85" t="str">
        <f>INDEX(Products!$A$1:$G$49,MATCH(Orders!$G85,Products!$A$1:$A$49,0),MATCH(Orders!M$1,Products!$A$1:$G$1,0))</f>
        <v>D</v>
      </c>
      <c r="N85" s="4">
        <f>INDEX(Products!$A$1:$G$49,MATCH(Orders!$G85,Products!$A$1:$A$49,0),MATCH(Orders!N$1,Products!$A$1:$G$1,0))</f>
        <v>2.5</v>
      </c>
      <c r="O85" s="7">
        <f>INDEX(Products!$A$1:$G$49,MATCH(Orders!$G85,Products!$A$1:$A$49,0),MATCH(Orders!O$1,Products!$A$1:$G$1,0))</f>
        <v>20.584999999999997</v>
      </c>
      <c r="P85" s="7">
        <f t="shared" si="1"/>
        <v>82.339999999999989</v>
      </c>
      <c r="Q85" t="str" cm="1">
        <f t="array" ref="Q85">_xlfn.IFS(L85="Rob","Robusta",L85="Exc", "Excelsa",L85="Ara", "Arabica",L85="Lib", "Liberica")</f>
        <v>Robusta</v>
      </c>
      <c r="R85" t="str" cm="1">
        <f t="array" ref="R85">_xlfn.IFS(M85="M","Medium",M85="L","Light",M85="D","Dark")</f>
        <v>Dark</v>
      </c>
    </row>
    <row r="86" spans="1:18">
      <c r="A86" s="2" t="s">
        <v>247</v>
      </c>
      <c r="B86" s="3">
        <v>43783</v>
      </c>
      <c r="C86" s="9">
        <f>YEAR(Orders_Table[[#This Row],[Order Date]])</f>
        <v>2019</v>
      </c>
      <c r="D86" s="9">
        <f>MONTH(Orders_Table[[#This Row],[Order Date]])</f>
        <v>11</v>
      </c>
      <c r="E86" s="9" t="str" cm="1">
        <f t="array" ref="E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6" s="2" t="s">
        <v>248</v>
      </c>
      <c r="G86" t="s">
        <v>130</v>
      </c>
      <c r="H86" s="2">
        <v>1</v>
      </c>
      <c r="I86" s="2" t="str" cm="1">
        <f t="array" ref="I86">_xlfn.XLOOKUP(F86,Customers!A85:$A$1001,Customers!B85:$B$1001,"Not Found",0)</f>
        <v>Zaccaria Sherewood</v>
      </c>
      <c r="J86" s="2" t="str" cm="1">
        <f t="array" ref="J86">IF(_xlfn.XLOOKUP(F86,Customers!A85:$A$1001,Customers!C85:$C$1001,"Not Found",0)=0,"",_xlfn.XLOOKUP(F86,Customers!A85:$A$1001,Customers!C85:$C$1001,"Not Found",0))</f>
        <v>zsherewood2c@apache.org</v>
      </c>
      <c r="K86" s="2" t="str" cm="1">
        <f t="array" ref="K86">_xlfn.XLOOKUP(F86,Customers!A85:$A$1001,Customers!G85:$G$1001,"Not Found",0)</f>
        <v>United States</v>
      </c>
      <c r="L86" t="str">
        <f>INDEX(Products!$A$1:$G$49,MATCH(Orders!$G86,Products!$A$1:$A$49,0),MATCH(Orders!L$1,Products!$A$1:$G$1,0))</f>
        <v>Lib</v>
      </c>
      <c r="M86" t="str">
        <f>INDEX(Products!$A$1:$G$49,MATCH(Orders!$G86,Products!$A$1:$A$49,0),MATCH(Orders!M$1,Products!$A$1:$G$1,0))</f>
        <v>L</v>
      </c>
      <c r="N86" s="4">
        <f>INDEX(Products!$A$1:$G$49,MATCH(Orders!$G86,Products!$A$1:$A$49,0),MATCH(Orders!N$1,Products!$A$1:$G$1,0))</f>
        <v>0.5</v>
      </c>
      <c r="O86" s="7">
        <f>INDEX(Products!$A$1:$G$49,MATCH(Orders!$G86,Products!$A$1:$A$49,0),MATCH(Orders!O$1,Products!$A$1:$G$1,0))</f>
        <v>9.51</v>
      </c>
      <c r="P86" s="7">
        <f t="shared" si="1"/>
        <v>9.51</v>
      </c>
      <c r="Q86" t="str" cm="1">
        <f t="array" ref="Q86">_xlfn.IFS(L86="Rob","Robusta",L86="Exc", "Excelsa",L86="Ara", "Arabica",L86="Lib", "Liberica")</f>
        <v>Liberica</v>
      </c>
      <c r="R86" t="str" cm="1">
        <f t="array" ref="R86">_xlfn.IFS(M86="M","Medium",M86="L","Light",M86="D","Dark")</f>
        <v>Light</v>
      </c>
    </row>
    <row r="87" spans="1:18">
      <c r="A87" s="2" t="s">
        <v>249</v>
      </c>
      <c r="B87" s="3">
        <v>43664</v>
      </c>
      <c r="C87" s="9">
        <f>YEAR(Orders_Table[[#This Row],[Order Date]])</f>
        <v>2019</v>
      </c>
      <c r="D87" s="9">
        <f>MONTH(Orders_Table[[#This Row],[Order Date]])</f>
        <v>7</v>
      </c>
      <c r="E87" s="9" t="str" cm="1">
        <f t="array" ref="E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7" s="2" t="s">
        <v>250</v>
      </c>
      <c r="G87" t="s">
        <v>251</v>
      </c>
      <c r="H87" s="2">
        <v>3</v>
      </c>
      <c r="I87" s="2" t="str" cm="1">
        <f t="array" ref="I87">_xlfn.XLOOKUP(F87,Customers!A86:$A$1001,Customers!B86:$B$1001,"Not Found",0)</f>
        <v>Jeffrey Dufaire</v>
      </c>
      <c r="J87" s="2" t="str" cm="1">
        <f t="array" ref="J87">IF(_xlfn.XLOOKUP(F87,Customers!A86:$A$1001,Customers!C86:$C$1001,"Not Found",0)=0,"",_xlfn.XLOOKUP(F87,Customers!A86:$A$1001,Customers!C86:$C$1001,"Not Found",0))</f>
        <v>jdufaire2d@fc2.com</v>
      </c>
      <c r="K87" s="2" t="str" cm="1">
        <f t="array" ref="K87">_xlfn.XLOOKUP(F87,Customers!A86:$A$1001,Customers!G86:$G$1001,"Not Found",0)</f>
        <v>United States</v>
      </c>
      <c r="L87" t="str">
        <f>INDEX(Products!$A$1:$G$49,MATCH(Orders!$G87,Products!$A$1:$A$49,0),MATCH(Orders!L$1,Products!$A$1:$G$1,0))</f>
        <v>Ara</v>
      </c>
      <c r="M87" t="str">
        <f>INDEX(Products!$A$1:$G$49,MATCH(Orders!$G87,Products!$A$1:$A$49,0),MATCH(Orders!M$1,Products!$A$1:$G$1,0))</f>
        <v>L</v>
      </c>
      <c r="N87" s="4">
        <f>INDEX(Products!$A$1:$G$49,MATCH(Orders!$G87,Products!$A$1:$A$49,0),MATCH(Orders!N$1,Products!$A$1:$G$1,0))</f>
        <v>2.5</v>
      </c>
      <c r="O87" s="7">
        <f>INDEX(Products!$A$1:$G$49,MATCH(Orders!$G87,Products!$A$1:$A$49,0),MATCH(Orders!O$1,Products!$A$1:$G$1,0))</f>
        <v>29.784999999999997</v>
      </c>
      <c r="P87" s="7">
        <f t="shared" si="1"/>
        <v>89.35499999999999</v>
      </c>
      <c r="Q87" t="str" cm="1">
        <f t="array" ref="Q87">_xlfn.IFS(L87="Rob","Robusta",L87="Exc", "Excelsa",L87="Ara", "Arabica",L87="Lib", "Liberica")</f>
        <v>Arabica</v>
      </c>
      <c r="R87" t="str" cm="1">
        <f t="array" ref="R87">_xlfn.IFS(M87="M","Medium",M87="L","Light",M87="D","Dark")</f>
        <v>Light</v>
      </c>
    </row>
    <row r="88" spans="1:18">
      <c r="A88" s="2" t="s">
        <v>249</v>
      </c>
      <c r="B88" s="3">
        <v>43664</v>
      </c>
      <c r="C88" s="9">
        <f>YEAR(Orders_Table[[#This Row],[Order Date]])</f>
        <v>2019</v>
      </c>
      <c r="D88" s="9">
        <f>MONTH(Orders_Table[[#This Row],[Order Date]])</f>
        <v>7</v>
      </c>
      <c r="E88" s="9" t="str" cm="1">
        <f t="array" ref="E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8" s="2" t="s">
        <v>250</v>
      </c>
      <c r="G88" t="s">
        <v>101</v>
      </c>
      <c r="H88" s="2">
        <v>4</v>
      </c>
      <c r="I88" s="2" t="str" cm="1">
        <f t="array" ref="I88">_xlfn.XLOOKUP(F88,Customers!A87:$A$1001,Customers!B87:$B$1001,"Not Found",0)</f>
        <v>Jeffrey Dufaire</v>
      </c>
      <c r="J88" s="2" t="str" cm="1">
        <f t="array" ref="J88">IF(_xlfn.XLOOKUP(F88,Customers!A87:$A$1001,Customers!C87:$C$1001,"Not Found",0)=0,"",_xlfn.XLOOKUP(F88,Customers!A87:$A$1001,Customers!C87:$C$1001,"Not Found",0))</f>
        <v>jdufaire2d@fc2.com</v>
      </c>
      <c r="K88" s="2" t="str" cm="1">
        <f t="array" ref="K88">_xlfn.XLOOKUP(F88,Customers!A87:$A$1001,Customers!G87:$G$1001,"Not Found",0)</f>
        <v>United States</v>
      </c>
      <c r="L88" t="str">
        <f>INDEX(Products!$A$1:$G$49,MATCH(Orders!$G88,Products!$A$1:$A$49,0),MATCH(Orders!L$1,Products!$A$1:$G$1,0))</f>
        <v>Ara</v>
      </c>
      <c r="M88" t="str">
        <f>INDEX(Products!$A$1:$G$49,MATCH(Orders!$G88,Products!$A$1:$A$49,0),MATCH(Orders!M$1,Products!$A$1:$G$1,0))</f>
        <v>D</v>
      </c>
      <c r="N88" s="4">
        <f>INDEX(Products!$A$1:$G$49,MATCH(Orders!$G88,Products!$A$1:$A$49,0),MATCH(Orders!N$1,Products!$A$1:$G$1,0))</f>
        <v>0.2</v>
      </c>
      <c r="O88" s="7">
        <f>INDEX(Products!$A$1:$G$49,MATCH(Orders!$G88,Products!$A$1:$A$49,0),MATCH(Orders!O$1,Products!$A$1:$G$1,0))</f>
        <v>2.9849999999999999</v>
      </c>
      <c r="P88" s="7">
        <f t="shared" si="1"/>
        <v>11.94</v>
      </c>
      <c r="Q88" t="str" cm="1">
        <f t="array" ref="Q88">_xlfn.IFS(L88="Rob","Robusta",L88="Exc", "Excelsa",L88="Ara", "Arabica",L88="Lib", "Liberica")</f>
        <v>Arabica</v>
      </c>
      <c r="R88" t="str" cm="1">
        <f t="array" ref="R88">_xlfn.IFS(M88="M","Medium",M88="L","Light",M88="D","Dark")</f>
        <v>Dark</v>
      </c>
    </row>
    <row r="89" spans="1:18">
      <c r="A89" s="2" t="s">
        <v>252</v>
      </c>
      <c r="B89" s="3">
        <v>44289</v>
      </c>
      <c r="C89" s="9">
        <f>YEAR(Orders_Table[[#This Row],[Order Date]])</f>
        <v>2021</v>
      </c>
      <c r="D89" s="9">
        <f>MONTH(Orders_Table[[#This Row],[Order Date]])</f>
        <v>4</v>
      </c>
      <c r="E89" s="9" t="str" cm="1">
        <f t="array" ref="E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9" s="2" t="s">
        <v>253</v>
      </c>
      <c r="G89" t="s">
        <v>108</v>
      </c>
      <c r="H89" s="2">
        <v>3</v>
      </c>
      <c r="I89" s="2" t="str" cm="1">
        <f t="array" ref="I89">_xlfn.XLOOKUP(F89,Customers!A88:$A$1001,Customers!B88:$B$1001,"Not Found",0)</f>
        <v>Beitris Keaveney</v>
      </c>
      <c r="J89" s="2" t="str" cm="1">
        <f t="array" ref="J89">IF(_xlfn.XLOOKUP(F89,Customers!A88:$A$1001,Customers!C88:$C$1001,"Not Found",0)=0,"",_xlfn.XLOOKUP(F89,Customers!A88:$A$1001,Customers!C88:$C$1001,"Not Found",0))</f>
        <v>bkeaveney2f@netlog.com</v>
      </c>
      <c r="K89" s="2" t="str" cm="1">
        <f t="array" ref="K89">_xlfn.XLOOKUP(F89,Customers!A88:$A$1001,Customers!G88:$G$1001,"Not Found",0)</f>
        <v>United States</v>
      </c>
      <c r="L89" t="str">
        <f>INDEX(Products!$A$1:$G$49,MATCH(Orders!$G89,Products!$A$1:$A$49,0),MATCH(Orders!L$1,Products!$A$1:$G$1,0))</f>
        <v>Ara</v>
      </c>
      <c r="M89" t="str">
        <f>INDEX(Products!$A$1:$G$49,MATCH(Orders!$G89,Products!$A$1:$A$49,0),MATCH(Orders!M$1,Products!$A$1:$G$1,0))</f>
        <v>M</v>
      </c>
      <c r="N89" s="4">
        <f>INDEX(Products!$A$1:$G$49,MATCH(Orders!$G89,Products!$A$1:$A$49,0),MATCH(Orders!N$1,Products!$A$1:$G$1,0))</f>
        <v>1</v>
      </c>
      <c r="O89" s="7">
        <f>INDEX(Products!$A$1:$G$49,MATCH(Orders!$G89,Products!$A$1:$A$49,0),MATCH(Orders!O$1,Products!$A$1:$G$1,0))</f>
        <v>11.25</v>
      </c>
      <c r="P89" s="7">
        <f t="shared" si="1"/>
        <v>33.75</v>
      </c>
      <c r="Q89" t="str" cm="1">
        <f t="array" ref="Q89">_xlfn.IFS(L89="Rob","Robusta",L89="Exc", "Excelsa",L89="Ara", "Arabica",L89="Lib", "Liberica")</f>
        <v>Arabica</v>
      </c>
      <c r="R89" t="str" cm="1">
        <f t="array" ref="R89">_xlfn.IFS(M89="M","Medium",M89="L","Light",M89="D","Dark")</f>
        <v>Medium</v>
      </c>
    </row>
    <row r="90" spans="1:18">
      <c r="A90" s="2" t="s">
        <v>254</v>
      </c>
      <c r="B90" s="3">
        <v>44284</v>
      </c>
      <c r="C90" s="9">
        <f>YEAR(Orders_Table[[#This Row],[Order Date]])</f>
        <v>2021</v>
      </c>
      <c r="D90" s="9">
        <f>MONTH(Orders_Table[[#This Row],[Order Date]])</f>
        <v>3</v>
      </c>
      <c r="E90" s="9" t="str" cm="1">
        <f t="array" ref="E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0" s="2" t="s">
        <v>255</v>
      </c>
      <c r="G90" t="s">
        <v>236</v>
      </c>
      <c r="H90" s="2">
        <v>3</v>
      </c>
      <c r="I90" s="2" t="str" cm="1">
        <f t="array" ref="I90">_xlfn.XLOOKUP(F90,Customers!A89:$A$1001,Customers!B89:$B$1001,"Not Found",0)</f>
        <v>Elna Grise</v>
      </c>
      <c r="J90" s="2" t="str" cm="1">
        <f t="array" ref="J90">IF(_xlfn.XLOOKUP(F90,Customers!A89:$A$1001,Customers!C89:$C$1001,"Not Found",0)=0,"",_xlfn.XLOOKUP(F90,Customers!A89:$A$1001,Customers!C89:$C$1001,"Not Found",0))</f>
        <v>egrise2g@cargocollective.com</v>
      </c>
      <c r="K90" s="2" t="str" cm="1">
        <f t="array" ref="K90">_xlfn.XLOOKUP(F90,Customers!A89:$A$1001,Customers!G89:$G$1001,"Not Found",0)</f>
        <v>United States</v>
      </c>
      <c r="L90" t="str">
        <f>INDEX(Products!$A$1:$G$49,MATCH(Orders!$G90,Products!$A$1:$A$49,0),MATCH(Orders!L$1,Products!$A$1:$G$1,0))</f>
        <v>Rob</v>
      </c>
      <c r="M90" t="str">
        <f>INDEX(Products!$A$1:$G$49,MATCH(Orders!$G90,Products!$A$1:$A$49,0),MATCH(Orders!M$1,Products!$A$1:$G$1,0))</f>
        <v>L</v>
      </c>
      <c r="N90" s="4">
        <f>INDEX(Products!$A$1:$G$49,MATCH(Orders!$G90,Products!$A$1:$A$49,0),MATCH(Orders!N$1,Products!$A$1:$G$1,0))</f>
        <v>1</v>
      </c>
      <c r="O90" s="7">
        <f>INDEX(Products!$A$1:$G$49,MATCH(Orders!$G90,Products!$A$1:$A$49,0),MATCH(Orders!O$1,Products!$A$1:$G$1,0))</f>
        <v>11.95</v>
      </c>
      <c r="P90" s="7">
        <f t="shared" si="1"/>
        <v>35.849999999999994</v>
      </c>
      <c r="Q90" t="str" cm="1">
        <f t="array" ref="Q90">_xlfn.IFS(L90="Rob","Robusta",L90="Exc", "Excelsa",L90="Ara", "Arabica",L90="Lib", "Liberica")</f>
        <v>Robusta</v>
      </c>
      <c r="R90" t="str" cm="1">
        <f t="array" ref="R90">_xlfn.IFS(M90="M","Medium",M90="L","Light",M90="D","Dark")</f>
        <v>Light</v>
      </c>
    </row>
    <row r="91" spans="1:18">
      <c r="A91" s="2" t="s">
        <v>256</v>
      </c>
      <c r="B91" s="3">
        <v>44545</v>
      </c>
      <c r="C91" s="9">
        <f>YEAR(Orders_Table[[#This Row],[Order Date]])</f>
        <v>2021</v>
      </c>
      <c r="D91" s="9">
        <f>MONTH(Orders_Table[[#This Row],[Order Date]])</f>
        <v>12</v>
      </c>
      <c r="E91" s="9" t="str" cm="1">
        <f t="array" ref="E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1" s="2" t="s">
        <v>257</v>
      </c>
      <c r="G91" t="s">
        <v>53</v>
      </c>
      <c r="H91" s="2">
        <v>6</v>
      </c>
      <c r="I91" s="2" t="str" cm="1">
        <f t="array" ref="I91">_xlfn.XLOOKUP(F91,Customers!A90:$A$1001,Customers!B90:$B$1001,"Not Found",0)</f>
        <v>Torie Gottelier</v>
      </c>
      <c r="J91" s="2" t="str" cm="1">
        <f t="array" ref="J91">IF(_xlfn.XLOOKUP(F91,Customers!A90:$A$1001,Customers!C90:$C$1001,"Not Found",0)=0,"",_xlfn.XLOOKUP(F91,Customers!A90:$A$1001,Customers!C90:$C$1001,"Not Found",0))</f>
        <v>tgottelier2h@vistaprint.com</v>
      </c>
      <c r="K91" s="2" t="str" cm="1">
        <f t="array" ref="K91">_xlfn.XLOOKUP(F91,Customers!A90:$A$1001,Customers!G90:$G$1001,"Not Found",0)</f>
        <v>United States</v>
      </c>
      <c r="L91" t="str">
        <f>INDEX(Products!$A$1:$G$49,MATCH(Orders!$G91,Products!$A$1:$A$49,0),MATCH(Orders!L$1,Products!$A$1:$G$1,0))</f>
        <v>Ara</v>
      </c>
      <c r="M91" t="str">
        <f>INDEX(Products!$A$1:$G$49,MATCH(Orders!$G91,Products!$A$1:$A$49,0),MATCH(Orders!M$1,Products!$A$1:$G$1,0))</f>
        <v>L</v>
      </c>
      <c r="N91" s="4">
        <f>INDEX(Products!$A$1:$G$49,MATCH(Orders!$G91,Products!$A$1:$A$49,0),MATCH(Orders!N$1,Products!$A$1:$G$1,0))</f>
        <v>1</v>
      </c>
      <c r="O91" s="7">
        <f>INDEX(Products!$A$1:$G$49,MATCH(Orders!$G91,Products!$A$1:$A$49,0),MATCH(Orders!O$1,Products!$A$1:$G$1,0))</f>
        <v>12.95</v>
      </c>
      <c r="P91" s="7">
        <f t="shared" si="1"/>
        <v>77.699999999999989</v>
      </c>
      <c r="Q91" t="str" cm="1">
        <f t="array" ref="Q91">_xlfn.IFS(L91="Rob","Robusta",L91="Exc", "Excelsa",L91="Ara", "Arabica",L91="Lib", "Liberica")</f>
        <v>Arabica</v>
      </c>
      <c r="R91" t="str" cm="1">
        <f t="array" ref="R91">_xlfn.IFS(M91="M","Medium",M91="L","Light",M91="D","Dark")</f>
        <v>Light</v>
      </c>
    </row>
    <row r="92" spans="1:18">
      <c r="A92" s="2" t="s">
        <v>258</v>
      </c>
      <c r="B92" s="3">
        <v>43971</v>
      </c>
      <c r="C92" s="9">
        <f>YEAR(Orders_Table[[#This Row],[Order Date]])</f>
        <v>2020</v>
      </c>
      <c r="D92" s="9">
        <f>MONTH(Orders_Table[[#This Row],[Order Date]])</f>
        <v>5</v>
      </c>
      <c r="E92" s="9" t="str" cm="1">
        <f t="array" ref="E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2" s="2" t="s">
        <v>259</v>
      </c>
      <c r="G92" t="s">
        <v>53</v>
      </c>
      <c r="H92" s="2">
        <v>4</v>
      </c>
      <c r="I92" s="2" t="str" cm="1">
        <f t="array" ref="I92">_xlfn.XLOOKUP(F92,Customers!A91:$A$1001,Customers!B91:$B$1001,"Not Found",0)</f>
        <v>Loydie Langlais</v>
      </c>
      <c r="J92" s="2" t="str" cm="1">
        <f t="array" ref="J92">IF(_xlfn.XLOOKUP(F92,Customers!A91:$A$1001,Customers!C91:$C$1001,"Not Found",0)=0,"",_xlfn.XLOOKUP(F92,Customers!A91:$A$1001,Customers!C91:$C$1001,"Not Found",0))</f>
        <v/>
      </c>
      <c r="K92" s="2" t="str" cm="1">
        <f t="array" ref="K92">_xlfn.XLOOKUP(F92,Customers!A91:$A$1001,Customers!G91:$G$1001,"Not Found",0)</f>
        <v>Ireland</v>
      </c>
      <c r="L92" t="str">
        <f>INDEX(Products!$A$1:$G$49,MATCH(Orders!$G92,Products!$A$1:$A$49,0),MATCH(Orders!L$1,Products!$A$1:$G$1,0))</f>
        <v>Ara</v>
      </c>
      <c r="M92" t="str">
        <f>INDEX(Products!$A$1:$G$49,MATCH(Orders!$G92,Products!$A$1:$A$49,0),MATCH(Orders!M$1,Products!$A$1:$G$1,0))</f>
        <v>L</v>
      </c>
      <c r="N92" s="4">
        <f>INDEX(Products!$A$1:$G$49,MATCH(Orders!$G92,Products!$A$1:$A$49,0),MATCH(Orders!N$1,Products!$A$1:$G$1,0))</f>
        <v>1</v>
      </c>
      <c r="O92" s="7">
        <f>INDEX(Products!$A$1:$G$49,MATCH(Orders!$G92,Products!$A$1:$A$49,0),MATCH(Orders!O$1,Products!$A$1:$G$1,0))</f>
        <v>12.95</v>
      </c>
      <c r="P92" s="7">
        <f t="shared" si="1"/>
        <v>51.8</v>
      </c>
      <c r="Q92" t="str" cm="1">
        <f t="array" ref="Q92">_xlfn.IFS(L92="Rob","Robusta",L92="Exc", "Excelsa",L92="Ara", "Arabica",L92="Lib", "Liberica")</f>
        <v>Arabica</v>
      </c>
      <c r="R92" t="str" cm="1">
        <f t="array" ref="R92">_xlfn.IFS(M92="M","Medium",M92="L","Light",M92="D","Dark")</f>
        <v>Light</v>
      </c>
    </row>
    <row r="93" spans="1:18">
      <c r="A93" s="2" t="s">
        <v>260</v>
      </c>
      <c r="B93" s="3">
        <v>44137</v>
      </c>
      <c r="C93" s="9">
        <f>YEAR(Orders_Table[[#This Row],[Order Date]])</f>
        <v>2020</v>
      </c>
      <c r="D93" s="9">
        <f>MONTH(Orders_Table[[#This Row],[Order Date]])</f>
        <v>11</v>
      </c>
      <c r="E93" s="9" t="str" cm="1">
        <f t="array" ref="E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3" s="2" t="s">
        <v>261</v>
      </c>
      <c r="G93" t="s">
        <v>218</v>
      </c>
      <c r="H93" s="2">
        <v>4</v>
      </c>
      <c r="I93" s="2" t="str" cm="1">
        <f t="array" ref="I93">_xlfn.XLOOKUP(F93,Customers!A92:$A$1001,Customers!B92:$B$1001,"Not Found",0)</f>
        <v>Adham Greenhead</v>
      </c>
      <c r="J93" s="2" t="str" cm="1">
        <f t="array" ref="J93">IF(_xlfn.XLOOKUP(F93,Customers!A92:$A$1001,Customers!C92:$C$1001,"Not Found",0)=0,"",_xlfn.XLOOKUP(F93,Customers!A92:$A$1001,Customers!C92:$C$1001,"Not Found",0))</f>
        <v>agreenhead2j@dailymail.co.uk</v>
      </c>
      <c r="K93" s="2" t="str" cm="1">
        <f t="array" ref="K93">_xlfn.XLOOKUP(F93,Customers!A92:$A$1001,Customers!G92:$G$1001,"Not Found",0)</f>
        <v>United States</v>
      </c>
      <c r="L93" t="str">
        <f>INDEX(Products!$A$1:$G$49,MATCH(Orders!$G93,Products!$A$1:$A$49,0),MATCH(Orders!L$1,Products!$A$1:$G$1,0))</f>
        <v>Ara</v>
      </c>
      <c r="M93" t="str">
        <f>INDEX(Products!$A$1:$G$49,MATCH(Orders!$G93,Products!$A$1:$A$49,0),MATCH(Orders!M$1,Products!$A$1:$G$1,0))</f>
        <v>M</v>
      </c>
      <c r="N93" s="4">
        <f>INDEX(Products!$A$1:$G$49,MATCH(Orders!$G93,Products!$A$1:$A$49,0),MATCH(Orders!N$1,Products!$A$1:$G$1,0))</f>
        <v>2.5</v>
      </c>
      <c r="O93" s="7">
        <f>INDEX(Products!$A$1:$G$49,MATCH(Orders!$G93,Products!$A$1:$A$49,0),MATCH(Orders!O$1,Products!$A$1:$G$1,0))</f>
        <v>25.874999999999996</v>
      </c>
      <c r="P93" s="7">
        <f t="shared" si="1"/>
        <v>103.49999999999999</v>
      </c>
      <c r="Q93" t="str" cm="1">
        <f t="array" ref="Q93">_xlfn.IFS(L93="Rob","Robusta",L93="Exc", "Excelsa",L93="Ara", "Arabica",L93="Lib", "Liberica")</f>
        <v>Arabica</v>
      </c>
      <c r="R93" t="str" cm="1">
        <f t="array" ref="R93">_xlfn.IFS(M93="M","Medium",M93="L","Light",M93="D","Dark")</f>
        <v>Medium</v>
      </c>
    </row>
    <row r="94" spans="1:18">
      <c r="A94" s="2" t="s">
        <v>262</v>
      </c>
      <c r="B94" s="3">
        <v>44037</v>
      </c>
      <c r="C94" s="9">
        <f>YEAR(Orders_Table[[#This Row],[Order Date]])</f>
        <v>2020</v>
      </c>
      <c r="D94" s="9">
        <f>MONTH(Orders_Table[[#This Row],[Order Date]])</f>
        <v>7</v>
      </c>
      <c r="E94" s="9" t="str" cm="1">
        <f t="array" ref="E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4" s="2" t="s">
        <v>263</v>
      </c>
      <c r="G94" t="s">
        <v>184</v>
      </c>
      <c r="H94" s="2">
        <v>3</v>
      </c>
      <c r="I94" s="2" t="str" cm="1">
        <f t="array" ref="I94">_xlfn.XLOOKUP(F94,Customers!A93:$A$1001,Customers!B93:$B$1001,"Not Found",0)</f>
        <v>Hamish MacSherry</v>
      </c>
      <c r="J94" s="2" t="str" cm="1">
        <f t="array" ref="J94">IF(_xlfn.XLOOKUP(F94,Customers!A93:$A$1001,Customers!C93:$C$1001,"Not Found",0)=0,"",_xlfn.XLOOKUP(F94,Customers!A93:$A$1001,Customers!C93:$C$1001,"Not Found",0))</f>
        <v/>
      </c>
      <c r="K94" s="2" t="str" cm="1">
        <f t="array" ref="K94">_xlfn.XLOOKUP(F94,Customers!A93:$A$1001,Customers!G93:$G$1001,"Not Found",0)</f>
        <v>United States</v>
      </c>
      <c r="L94" t="str">
        <f>INDEX(Products!$A$1:$G$49,MATCH(Orders!$G94,Products!$A$1:$A$49,0),MATCH(Orders!L$1,Products!$A$1:$G$1,0))</f>
        <v>Exc</v>
      </c>
      <c r="M94" t="str">
        <f>INDEX(Products!$A$1:$G$49,MATCH(Orders!$G94,Products!$A$1:$A$49,0),MATCH(Orders!M$1,Products!$A$1:$G$1,0))</f>
        <v>L</v>
      </c>
      <c r="N94" s="4">
        <f>INDEX(Products!$A$1:$G$49,MATCH(Orders!$G94,Products!$A$1:$A$49,0),MATCH(Orders!N$1,Products!$A$1:$G$1,0))</f>
        <v>1</v>
      </c>
      <c r="O94" s="7">
        <f>INDEX(Products!$A$1:$G$49,MATCH(Orders!$G94,Products!$A$1:$A$49,0),MATCH(Orders!O$1,Products!$A$1:$G$1,0))</f>
        <v>14.85</v>
      </c>
      <c r="P94" s="7">
        <f t="shared" si="1"/>
        <v>44.55</v>
      </c>
      <c r="Q94" t="str" cm="1">
        <f t="array" ref="Q94">_xlfn.IFS(L94="Rob","Robusta",L94="Exc", "Excelsa",L94="Ara", "Arabica",L94="Lib", "Liberica")</f>
        <v>Excelsa</v>
      </c>
      <c r="R94" t="str" cm="1">
        <f t="array" ref="R94">_xlfn.IFS(M94="M","Medium",M94="L","Light",M94="D","Dark")</f>
        <v>Light</v>
      </c>
    </row>
    <row r="95" spans="1:18">
      <c r="A95" s="2" t="s">
        <v>264</v>
      </c>
      <c r="B95" s="3">
        <v>43538</v>
      </c>
      <c r="C95" s="9">
        <f>YEAR(Orders_Table[[#This Row],[Order Date]])</f>
        <v>2019</v>
      </c>
      <c r="D95" s="9">
        <f>MONTH(Orders_Table[[#This Row],[Order Date]])</f>
        <v>3</v>
      </c>
      <c r="E95" s="9" t="str" cm="1">
        <f t="array" ref="E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5" s="2" t="s">
        <v>265</v>
      </c>
      <c r="G95" t="s">
        <v>223</v>
      </c>
      <c r="H95" s="2">
        <v>4</v>
      </c>
      <c r="I95" s="2" t="str" cm="1">
        <f t="array" ref="I95">_xlfn.XLOOKUP(F95,Customers!A94:$A$1001,Customers!B94:$B$1001,"Not Found",0)</f>
        <v>Else Langcaster</v>
      </c>
      <c r="J95" s="2" t="str" cm="1">
        <f t="array" ref="J95">IF(_xlfn.XLOOKUP(F95,Customers!A94:$A$1001,Customers!C94:$C$1001,"Not Found",0)=0,"",_xlfn.XLOOKUP(F95,Customers!A94:$A$1001,Customers!C94:$C$1001,"Not Found",0))</f>
        <v>elangcaster2l@spotify.com</v>
      </c>
      <c r="K95" s="2" t="str" cm="1">
        <f t="array" ref="K95">_xlfn.XLOOKUP(F95,Customers!A94:$A$1001,Customers!G94:$G$1001,"Not Found",0)</f>
        <v>United Kingdom</v>
      </c>
      <c r="L95" t="str">
        <f>INDEX(Products!$A$1:$G$49,MATCH(Orders!$G95,Products!$A$1:$A$49,0),MATCH(Orders!L$1,Products!$A$1:$G$1,0))</f>
        <v>Exc</v>
      </c>
      <c r="M95" t="str">
        <f>INDEX(Products!$A$1:$G$49,MATCH(Orders!$G95,Products!$A$1:$A$49,0),MATCH(Orders!M$1,Products!$A$1:$G$1,0))</f>
        <v>L</v>
      </c>
      <c r="N95" s="4">
        <f>INDEX(Products!$A$1:$G$49,MATCH(Orders!$G95,Products!$A$1:$A$49,0),MATCH(Orders!N$1,Products!$A$1:$G$1,0))</f>
        <v>0.5</v>
      </c>
      <c r="O95" s="7">
        <f>INDEX(Products!$A$1:$G$49,MATCH(Orders!$G95,Products!$A$1:$A$49,0),MATCH(Orders!O$1,Products!$A$1:$G$1,0))</f>
        <v>8.91</v>
      </c>
      <c r="P95" s="7">
        <f t="shared" si="1"/>
        <v>35.64</v>
      </c>
      <c r="Q95" t="str" cm="1">
        <f t="array" ref="Q95">_xlfn.IFS(L95="Rob","Robusta",L95="Exc", "Excelsa",L95="Ara", "Arabica",L95="Lib", "Liberica")</f>
        <v>Excelsa</v>
      </c>
      <c r="R95" t="str" cm="1">
        <f t="array" ref="R95">_xlfn.IFS(M95="M","Medium",M95="L","Light",M95="D","Dark")</f>
        <v>Light</v>
      </c>
    </row>
    <row r="96" spans="1:18">
      <c r="A96" s="2" t="s">
        <v>266</v>
      </c>
      <c r="B96" s="3">
        <v>44014</v>
      </c>
      <c r="C96" s="9">
        <f>YEAR(Orders_Table[[#This Row],[Order Date]])</f>
        <v>2020</v>
      </c>
      <c r="D96" s="9">
        <f>MONTH(Orders_Table[[#This Row],[Order Date]])</f>
        <v>7</v>
      </c>
      <c r="E96" s="9" t="str" cm="1">
        <f t="array" ref="E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6" s="2" t="s">
        <v>267</v>
      </c>
      <c r="G96" t="s">
        <v>101</v>
      </c>
      <c r="H96" s="2">
        <v>6</v>
      </c>
      <c r="I96" s="2" t="str" cm="1">
        <f t="array" ref="I96">_xlfn.XLOOKUP(F96,Customers!A95:$A$1001,Customers!B95:$B$1001,"Not Found",0)</f>
        <v>Rudy Farquharson</v>
      </c>
      <c r="J96" s="2" t="str" cm="1">
        <f t="array" ref="J96">IF(_xlfn.XLOOKUP(F96,Customers!A95:$A$1001,Customers!C95:$C$1001,"Not Found",0)=0,"",_xlfn.XLOOKUP(F96,Customers!A95:$A$1001,Customers!C95:$C$1001,"Not Found",0))</f>
        <v/>
      </c>
      <c r="K96" s="2" t="str" cm="1">
        <f t="array" ref="K96">_xlfn.XLOOKUP(F96,Customers!A95:$A$1001,Customers!G95:$G$1001,"Not Found",0)</f>
        <v>Ireland</v>
      </c>
      <c r="L96" t="str">
        <f>INDEX(Products!$A$1:$G$49,MATCH(Orders!$G96,Products!$A$1:$A$49,0),MATCH(Orders!L$1,Products!$A$1:$G$1,0))</f>
        <v>Ara</v>
      </c>
      <c r="M96" t="str">
        <f>INDEX(Products!$A$1:$G$49,MATCH(Orders!$G96,Products!$A$1:$A$49,0),MATCH(Orders!M$1,Products!$A$1:$G$1,0))</f>
        <v>D</v>
      </c>
      <c r="N96" s="4">
        <f>INDEX(Products!$A$1:$G$49,MATCH(Orders!$G96,Products!$A$1:$A$49,0),MATCH(Orders!N$1,Products!$A$1:$G$1,0))</f>
        <v>0.2</v>
      </c>
      <c r="O96" s="7">
        <f>INDEX(Products!$A$1:$G$49,MATCH(Orders!$G96,Products!$A$1:$A$49,0),MATCH(Orders!O$1,Products!$A$1:$G$1,0))</f>
        <v>2.9849999999999999</v>
      </c>
      <c r="P96" s="7">
        <f t="shared" si="1"/>
        <v>17.91</v>
      </c>
      <c r="Q96" t="str" cm="1">
        <f t="array" ref="Q96">_xlfn.IFS(L96="Rob","Robusta",L96="Exc", "Excelsa",L96="Ara", "Arabica",L96="Lib", "Liberica")</f>
        <v>Arabica</v>
      </c>
      <c r="R96" t="str" cm="1">
        <f t="array" ref="R96">_xlfn.IFS(M96="M","Medium",M96="L","Light",M96="D","Dark")</f>
        <v>Dark</v>
      </c>
    </row>
    <row r="97" spans="1:18">
      <c r="A97" s="2" t="s">
        <v>268</v>
      </c>
      <c r="B97" s="3">
        <v>43816</v>
      </c>
      <c r="C97" s="9">
        <f>YEAR(Orders_Table[[#This Row],[Order Date]])</f>
        <v>2019</v>
      </c>
      <c r="D97" s="9">
        <f>MONTH(Orders_Table[[#This Row],[Order Date]])</f>
        <v>12</v>
      </c>
      <c r="E97" s="9" t="str" cm="1">
        <f t="array" ref="E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7" s="2" t="s">
        <v>269</v>
      </c>
      <c r="G97" t="s">
        <v>218</v>
      </c>
      <c r="H97" s="2">
        <v>6</v>
      </c>
      <c r="I97" s="2" t="str" cm="1">
        <f t="array" ref="I97">_xlfn.XLOOKUP(F97,Customers!A96:$A$1001,Customers!B96:$B$1001,"Not Found",0)</f>
        <v>Norene Magauran</v>
      </c>
      <c r="J97" s="2" t="str" cm="1">
        <f t="array" ref="J97">IF(_xlfn.XLOOKUP(F97,Customers!A96:$A$1001,Customers!C96:$C$1001,"Not Found",0)=0,"",_xlfn.XLOOKUP(F97,Customers!A96:$A$1001,Customers!C96:$C$1001,"Not Found",0))</f>
        <v>nmagauran2n@51.la</v>
      </c>
      <c r="K97" s="2" t="str" cm="1">
        <f t="array" ref="K97">_xlfn.XLOOKUP(F97,Customers!A96:$A$1001,Customers!G96:$G$1001,"Not Found",0)</f>
        <v>United States</v>
      </c>
      <c r="L97" t="str">
        <f>INDEX(Products!$A$1:$G$49,MATCH(Orders!$G97,Products!$A$1:$A$49,0),MATCH(Orders!L$1,Products!$A$1:$G$1,0))</f>
        <v>Ara</v>
      </c>
      <c r="M97" t="str">
        <f>INDEX(Products!$A$1:$G$49,MATCH(Orders!$G97,Products!$A$1:$A$49,0),MATCH(Orders!M$1,Products!$A$1:$G$1,0))</f>
        <v>M</v>
      </c>
      <c r="N97" s="4">
        <f>INDEX(Products!$A$1:$G$49,MATCH(Orders!$G97,Products!$A$1:$A$49,0),MATCH(Orders!N$1,Products!$A$1:$G$1,0))</f>
        <v>2.5</v>
      </c>
      <c r="O97" s="7">
        <f>INDEX(Products!$A$1:$G$49,MATCH(Orders!$G97,Products!$A$1:$A$49,0),MATCH(Orders!O$1,Products!$A$1:$G$1,0))</f>
        <v>25.874999999999996</v>
      </c>
      <c r="P97" s="7">
        <f t="shared" si="1"/>
        <v>155.24999999999997</v>
      </c>
      <c r="Q97" t="str" cm="1">
        <f t="array" ref="Q97">_xlfn.IFS(L97="Rob","Robusta",L97="Exc", "Excelsa",L97="Ara", "Arabica",L97="Lib", "Liberica")</f>
        <v>Arabica</v>
      </c>
      <c r="R97" t="str" cm="1">
        <f t="array" ref="R97">_xlfn.IFS(M97="M","Medium",M97="L","Light",M97="D","Dark")</f>
        <v>Medium</v>
      </c>
    </row>
    <row r="98" spans="1:18">
      <c r="A98" s="2" t="s">
        <v>270</v>
      </c>
      <c r="B98" s="3">
        <v>44171</v>
      </c>
      <c r="C98" s="9">
        <f>YEAR(Orders_Table[[#This Row],[Order Date]])</f>
        <v>2020</v>
      </c>
      <c r="D98" s="9">
        <f>MONTH(Orders_Table[[#This Row],[Order Date]])</f>
        <v>12</v>
      </c>
      <c r="E98" s="9" t="str" cm="1">
        <f t="array" ref="E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8" s="2" t="s">
        <v>271</v>
      </c>
      <c r="G98" t="s">
        <v>101</v>
      </c>
      <c r="H98" s="2">
        <v>2</v>
      </c>
      <c r="I98" s="2" t="str" cm="1">
        <f t="array" ref="I98">_xlfn.XLOOKUP(F98,Customers!A97:$A$1001,Customers!B97:$B$1001,"Not Found",0)</f>
        <v>Vicki Kirdsch</v>
      </c>
      <c r="J98" s="2" t="str" cm="1">
        <f t="array" ref="J98">IF(_xlfn.XLOOKUP(F98,Customers!A97:$A$1001,Customers!C97:$C$1001,"Not Found",0)=0,"",_xlfn.XLOOKUP(F98,Customers!A97:$A$1001,Customers!C97:$C$1001,"Not Found",0))</f>
        <v>vkirdsch2o@google.fr</v>
      </c>
      <c r="K98" s="2" t="str" cm="1">
        <f t="array" ref="K98">_xlfn.XLOOKUP(F98,Customers!A97:$A$1001,Customers!G97:$G$1001,"Not Found",0)</f>
        <v>United States</v>
      </c>
      <c r="L98" t="str">
        <f>INDEX(Products!$A$1:$G$49,MATCH(Orders!$G98,Products!$A$1:$A$49,0),MATCH(Orders!L$1,Products!$A$1:$G$1,0))</f>
        <v>Ara</v>
      </c>
      <c r="M98" t="str">
        <f>INDEX(Products!$A$1:$G$49,MATCH(Orders!$G98,Products!$A$1:$A$49,0),MATCH(Orders!M$1,Products!$A$1:$G$1,0))</f>
        <v>D</v>
      </c>
      <c r="N98" s="4">
        <f>INDEX(Products!$A$1:$G$49,MATCH(Orders!$G98,Products!$A$1:$A$49,0),MATCH(Orders!N$1,Products!$A$1:$G$1,0))</f>
        <v>0.2</v>
      </c>
      <c r="O98" s="7">
        <f>INDEX(Products!$A$1:$G$49,MATCH(Orders!$G98,Products!$A$1:$A$49,0),MATCH(Orders!O$1,Products!$A$1:$G$1,0))</f>
        <v>2.9849999999999999</v>
      </c>
      <c r="P98" s="7">
        <f t="shared" si="1"/>
        <v>5.97</v>
      </c>
      <c r="Q98" t="str" cm="1">
        <f t="array" ref="Q98">_xlfn.IFS(L98="Rob","Robusta",L98="Exc", "Excelsa",L98="Ara", "Arabica",L98="Lib", "Liberica")</f>
        <v>Arabica</v>
      </c>
      <c r="R98" t="str" cm="1">
        <f t="array" ref="R98">_xlfn.IFS(M98="M","Medium",M98="L","Light",M98="D","Dark")</f>
        <v>Dark</v>
      </c>
    </row>
    <row r="99" spans="1:18">
      <c r="A99" s="2" t="s">
        <v>272</v>
      </c>
      <c r="B99" s="3">
        <v>44259</v>
      </c>
      <c r="C99" s="9">
        <f>YEAR(Orders_Table[[#This Row],[Order Date]])</f>
        <v>2021</v>
      </c>
      <c r="D99" s="9">
        <f>MONTH(Orders_Table[[#This Row],[Order Date]])</f>
        <v>3</v>
      </c>
      <c r="E99" s="9" t="str" cm="1">
        <f t="array" ref="E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9" s="2" t="s">
        <v>273</v>
      </c>
      <c r="G99" t="s">
        <v>114</v>
      </c>
      <c r="H99" s="2">
        <v>2</v>
      </c>
      <c r="I99" s="2" t="str" cm="1">
        <f t="array" ref="I99">_xlfn.XLOOKUP(F99,Customers!A98:$A$1001,Customers!B98:$B$1001,"Not Found",0)</f>
        <v>Ilysa Whapple</v>
      </c>
      <c r="J99" s="2" t="str" cm="1">
        <f t="array" ref="J99">IF(_xlfn.XLOOKUP(F99,Customers!A98:$A$1001,Customers!C98:$C$1001,"Not Found",0)=0,"",_xlfn.XLOOKUP(F99,Customers!A98:$A$1001,Customers!C98:$C$1001,"Not Found",0))</f>
        <v>iwhapple2p@com.com</v>
      </c>
      <c r="K99" s="2" t="str" cm="1">
        <f t="array" ref="K99">_xlfn.XLOOKUP(F99,Customers!A98:$A$1001,Customers!G98:$G$1001,"Not Found",0)</f>
        <v>United States</v>
      </c>
      <c r="L99" t="str">
        <f>INDEX(Products!$A$1:$G$49,MATCH(Orders!$G99,Products!$A$1:$A$49,0),MATCH(Orders!L$1,Products!$A$1:$G$1,0))</f>
        <v>Ara</v>
      </c>
      <c r="M99" t="str">
        <f>INDEX(Products!$A$1:$G$49,MATCH(Orders!$G99,Products!$A$1:$A$49,0),MATCH(Orders!M$1,Products!$A$1:$G$1,0))</f>
        <v>M</v>
      </c>
      <c r="N99" s="4">
        <f>INDEX(Products!$A$1:$G$49,MATCH(Orders!$G99,Products!$A$1:$A$49,0),MATCH(Orders!N$1,Products!$A$1:$G$1,0))</f>
        <v>0.5</v>
      </c>
      <c r="O99" s="7">
        <f>INDEX(Products!$A$1:$G$49,MATCH(Orders!$G99,Products!$A$1:$A$49,0),MATCH(Orders!O$1,Products!$A$1:$G$1,0))</f>
        <v>6.75</v>
      </c>
      <c r="P99" s="7">
        <f t="shared" si="1"/>
        <v>13.5</v>
      </c>
      <c r="Q99" t="str" cm="1">
        <f t="array" ref="Q99">_xlfn.IFS(L99="Rob","Robusta",L99="Exc", "Excelsa",L99="Ara", "Arabica",L99="Lib", "Liberica")</f>
        <v>Arabica</v>
      </c>
      <c r="R99" t="str" cm="1">
        <f t="array" ref="R99">_xlfn.IFS(M99="M","Medium",M99="L","Light",M99="D","Dark")</f>
        <v>Medium</v>
      </c>
    </row>
    <row r="100" spans="1:18">
      <c r="A100" s="2" t="s">
        <v>274</v>
      </c>
      <c r="B100" s="3">
        <v>44394</v>
      </c>
      <c r="C100" s="9">
        <f>YEAR(Orders_Table[[#This Row],[Order Date]])</f>
        <v>2021</v>
      </c>
      <c r="D100" s="9">
        <f>MONTH(Orders_Table[[#This Row],[Order Date]])</f>
        <v>7</v>
      </c>
      <c r="E100" s="9" t="str" cm="1">
        <f t="array" ref="E1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00" s="2" t="s">
        <v>275</v>
      </c>
      <c r="G100" t="s">
        <v>101</v>
      </c>
      <c r="H100" s="2">
        <v>1</v>
      </c>
      <c r="I100" s="2" t="str" cm="1">
        <f t="array" ref="I100">_xlfn.XLOOKUP(F100,Customers!A99:$A$1001,Customers!B99:$B$1001,"Not Found",0)</f>
        <v>Ruy Cancellieri</v>
      </c>
      <c r="J100" s="2" t="str" cm="1">
        <f t="array" ref="J100">IF(_xlfn.XLOOKUP(F100,Customers!A99:$A$1001,Customers!C99:$C$1001,"Not Found",0)=0,"",_xlfn.XLOOKUP(F100,Customers!A99:$A$1001,Customers!C99:$C$1001,"Not Found",0))</f>
        <v/>
      </c>
      <c r="K100" s="2" t="str" cm="1">
        <f t="array" ref="K100">_xlfn.XLOOKUP(F100,Customers!A99:$A$1001,Customers!G99:$G$1001,"Not Found",0)</f>
        <v>Ireland</v>
      </c>
      <c r="L100" t="str">
        <f>INDEX(Products!$A$1:$G$49,MATCH(Orders!$G100,Products!$A$1:$A$49,0),MATCH(Orders!L$1,Products!$A$1:$G$1,0))</f>
        <v>Ara</v>
      </c>
      <c r="M100" t="str">
        <f>INDEX(Products!$A$1:$G$49,MATCH(Orders!$G100,Products!$A$1:$A$49,0),MATCH(Orders!M$1,Products!$A$1:$G$1,0))</f>
        <v>D</v>
      </c>
      <c r="N100" s="4">
        <f>INDEX(Products!$A$1:$G$49,MATCH(Orders!$G100,Products!$A$1:$A$49,0),MATCH(Orders!N$1,Products!$A$1:$G$1,0))</f>
        <v>0.2</v>
      </c>
      <c r="O100" s="7">
        <f>INDEX(Products!$A$1:$G$49,MATCH(Orders!$G100,Products!$A$1:$A$49,0),MATCH(Orders!O$1,Products!$A$1:$G$1,0))</f>
        <v>2.9849999999999999</v>
      </c>
      <c r="P100" s="7">
        <f t="shared" si="1"/>
        <v>2.9849999999999999</v>
      </c>
      <c r="Q100" t="str" cm="1">
        <f t="array" ref="Q100">_xlfn.IFS(L100="Rob","Robusta",L100="Exc", "Excelsa",L100="Ara", "Arabica",L100="Lib", "Liberica")</f>
        <v>Arabica</v>
      </c>
      <c r="R100" t="str" cm="1">
        <f t="array" ref="R100">_xlfn.IFS(M100="M","Medium",M100="L","Light",M100="D","Dark")</f>
        <v>Dark</v>
      </c>
    </row>
    <row r="101" spans="1:18">
      <c r="A101" s="2" t="s">
        <v>276</v>
      </c>
      <c r="B101" s="3">
        <v>44139</v>
      </c>
      <c r="C101" s="9">
        <f>YEAR(Orders_Table[[#This Row],[Order Date]])</f>
        <v>2020</v>
      </c>
      <c r="D101" s="9">
        <f>MONTH(Orders_Table[[#This Row],[Order Date]])</f>
        <v>11</v>
      </c>
      <c r="E101" s="9" t="str" cm="1">
        <f t="array" ref="E1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101" s="2" t="s">
        <v>277</v>
      </c>
      <c r="G101" t="s">
        <v>124</v>
      </c>
      <c r="H101" s="2">
        <v>3</v>
      </c>
      <c r="I101" s="2" t="str" cm="1">
        <f t="array" ref="I101">_xlfn.XLOOKUP(F101,Customers!A100:$A$1001,Customers!B100:$B$1001,"Not Found",0)</f>
        <v>Aube Follett</v>
      </c>
      <c r="J101" s="2" t="str" cm="1">
        <f t="array" ref="J101">IF(_xlfn.XLOOKUP(F101,Customers!A100:$A$1001,Customers!C100:$C$1001,"Not Found",0)=0,"",_xlfn.XLOOKUP(F101,Customers!A100:$A$1001,Customers!C100:$C$1001,"Not Found",0))</f>
        <v/>
      </c>
      <c r="K101" s="2" t="str" cm="1">
        <f t="array" ref="K101">_xlfn.XLOOKUP(F101,Customers!A100:$A$1001,Customers!G100:$G$1001,"Not Found",0)</f>
        <v>United States</v>
      </c>
      <c r="L101" t="str">
        <f>INDEX(Products!$A$1:$G$49,MATCH(Orders!$G101,Products!$A$1:$A$49,0),MATCH(Orders!L$1,Products!$A$1:$G$1,0))</f>
        <v>Lib</v>
      </c>
      <c r="M101" t="str">
        <f>INDEX(Products!$A$1:$G$49,MATCH(Orders!$G101,Products!$A$1:$A$49,0),MATCH(Orders!M$1,Products!$A$1:$G$1,0))</f>
        <v>M</v>
      </c>
      <c r="N101" s="4">
        <f>INDEX(Products!$A$1:$G$49,MATCH(Orders!$G101,Products!$A$1:$A$49,0),MATCH(Orders!N$1,Products!$A$1:$G$1,0))</f>
        <v>0.2</v>
      </c>
      <c r="O101" s="7">
        <f>INDEX(Products!$A$1:$G$49,MATCH(Orders!$G101,Products!$A$1:$A$49,0),MATCH(Orders!O$1,Products!$A$1:$G$1,0))</f>
        <v>4.3650000000000002</v>
      </c>
      <c r="P101" s="7">
        <f t="shared" si="1"/>
        <v>13.095000000000001</v>
      </c>
      <c r="Q101" t="str" cm="1">
        <f t="array" ref="Q101">_xlfn.IFS(L101="Rob","Robusta",L101="Exc", "Excelsa",L101="Ara", "Arabica",L101="Lib", "Liberica")</f>
        <v>Liberica</v>
      </c>
      <c r="R101" t="str" cm="1">
        <f t="array" ref="R101">_xlfn.IFS(M101="M","Medium",M101="L","Light",M101="D","Dark")</f>
        <v>Medium</v>
      </c>
    </row>
    <row r="102" spans="1:18">
      <c r="A102" s="2" t="s">
        <v>278</v>
      </c>
      <c r="B102" s="3">
        <v>44291</v>
      </c>
      <c r="C102" s="9">
        <f>YEAR(Orders_Table[[#This Row],[Order Date]])</f>
        <v>2021</v>
      </c>
      <c r="D102" s="9">
        <f>MONTH(Orders_Table[[#This Row],[Order Date]])</f>
        <v>4</v>
      </c>
      <c r="E102" s="9" t="str" cm="1">
        <f t="array" ref="E1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02" s="2" t="s">
        <v>279</v>
      </c>
      <c r="G102" t="s">
        <v>162</v>
      </c>
      <c r="H102" s="2">
        <v>2</v>
      </c>
      <c r="I102" s="2" t="str" cm="1">
        <f t="array" ref="I102">_xlfn.XLOOKUP(F102,Customers!A101:$A$1001,Customers!B101:$B$1001,"Not Found",0)</f>
        <v>Rudiger Di Bartolomeo</v>
      </c>
      <c r="J102" s="2" t="str" cm="1">
        <f t="array" ref="J102">IF(_xlfn.XLOOKUP(F102,Customers!A101:$A$1001,Customers!C101:$C$1001,"Not Found",0)=0,"",_xlfn.XLOOKUP(F102,Customers!A101:$A$1001,Customers!C101:$C$1001,"Not Found",0))</f>
        <v/>
      </c>
      <c r="K102" s="2" t="str" cm="1">
        <f t="array" ref="K102">_xlfn.XLOOKUP(F102,Customers!A101:$A$1001,Customers!G101:$G$1001,"Not Found",0)</f>
        <v>United States</v>
      </c>
      <c r="L102" t="str">
        <f>INDEX(Products!$A$1:$G$49,MATCH(Orders!$G102,Products!$A$1:$A$49,0),MATCH(Orders!L$1,Products!$A$1:$G$1,0))</f>
        <v>Ara</v>
      </c>
      <c r="M102" t="str">
        <f>INDEX(Products!$A$1:$G$49,MATCH(Orders!$G102,Products!$A$1:$A$49,0),MATCH(Orders!M$1,Products!$A$1:$G$1,0))</f>
        <v>L</v>
      </c>
      <c r="N102" s="4">
        <f>INDEX(Products!$A$1:$G$49,MATCH(Orders!$G102,Products!$A$1:$A$49,0),MATCH(Orders!N$1,Products!$A$1:$G$1,0))</f>
        <v>0.2</v>
      </c>
      <c r="O102" s="7">
        <f>INDEX(Products!$A$1:$G$49,MATCH(Orders!$G102,Products!$A$1:$A$49,0),MATCH(Orders!O$1,Products!$A$1:$G$1,0))</f>
        <v>3.8849999999999998</v>
      </c>
      <c r="P102" s="7">
        <f t="shared" si="1"/>
        <v>7.77</v>
      </c>
      <c r="Q102" t="str" cm="1">
        <f t="array" ref="Q102">_xlfn.IFS(L102="Rob","Robusta",L102="Exc", "Excelsa",L102="Ara", "Arabica",L102="Lib", "Liberica")</f>
        <v>Arabica</v>
      </c>
      <c r="R102" t="str" cm="1">
        <f t="array" ref="R102">_xlfn.IFS(M102="M","Medium",M102="L","Light",M102="D","Dark")</f>
        <v>Light</v>
      </c>
    </row>
    <row r="103" spans="1:18">
      <c r="A103" s="2" t="s">
        <v>280</v>
      </c>
      <c r="B103" s="3">
        <v>43891</v>
      </c>
      <c r="C103" s="9">
        <f>YEAR(Orders_Table[[#This Row],[Order Date]])</f>
        <v>2020</v>
      </c>
      <c r="D103" s="9">
        <f>MONTH(Orders_Table[[#This Row],[Order Date]])</f>
        <v>3</v>
      </c>
      <c r="E103" s="9" t="str" cm="1">
        <f t="array" ref="E1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03" s="2" t="s">
        <v>281</v>
      </c>
      <c r="G103" t="s">
        <v>156</v>
      </c>
      <c r="H103" s="2">
        <v>5</v>
      </c>
      <c r="I103" s="2" t="str" cm="1">
        <f t="array" ref="I103">_xlfn.XLOOKUP(F103,Customers!A102:$A$1001,Customers!B102:$B$1001,"Not Found",0)</f>
        <v>Nickey Youles</v>
      </c>
      <c r="J103" s="2" t="str" cm="1">
        <f t="array" ref="J103">IF(_xlfn.XLOOKUP(F103,Customers!A102:$A$1001,Customers!C102:$C$1001,"Not Found",0)=0,"",_xlfn.XLOOKUP(F103,Customers!A102:$A$1001,Customers!C102:$C$1001,"Not Found",0))</f>
        <v>nyoules2t@reference.com</v>
      </c>
      <c r="K103" s="2" t="str" cm="1">
        <f t="array" ref="K103">_xlfn.XLOOKUP(F103,Customers!A102:$A$1001,Customers!G102:$G$1001,"Not Found",0)</f>
        <v>Ireland</v>
      </c>
      <c r="L103" t="str">
        <f>INDEX(Products!$A$1:$G$49,MATCH(Orders!$G103,Products!$A$1:$A$49,0),MATCH(Orders!L$1,Products!$A$1:$G$1,0))</f>
        <v>Lib</v>
      </c>
      <c r="M103" t="str">
        <f>INDEX(Products!$A$1:$G$49,MATCH(Orders!$G103,Products!$A$1:$A$49,0),MATCH(Orders!M$1,Products!$A$1:$G$1,0))</f>
        <v>D</v>
      </c>
      <c r="N103" s="4">
        <f>INDEX(Products!$A$1:$G$49,MATCH(Orders!$G103,Products!$A$1:$A$49,0),MATCH(Orders!N$1,Products!$A$1:$G$1,0))</f>
        <v>2.5</v>
      </c>
      <c r="O103" s="7">
        <f>INDEX(Products!$A$1:$G$49,MATCH(Orders!$G103,Products!$A$1:$A$49,0),MATCH(Orders!O$1,Products!$A$1:$G$1,0))</f>
        <v>29.784999999999997</v>
      </c>
      <c r="P103" s="7">
        <f t="shared" si="1"/>
        <v>148.92499999999998</v>
      </c>
      <c r="Q103" t="str" cm="1">
        <f t="array" ref="Q103">_xlfn.IFS(L103="Rob","Robusta",L103="Exc", "Excelsa",L103="Ara", "Arabica",L103="Lib", "Liberica")</f>
        <v>Liberica</v>
      </c>
      <c r="R103" t="str" cm="1">
        <f t="array" ref="R103">_xlfn.IFS(M103="M","Medium",M103="L","Light",M103="D","Dark")</f>
        <v>Dark</v>
      </c>
    </row>
    <row r="104" spans="1:18">
      <c r="A104" s="2" t="s">
        <v>282</v>
      </c>
      <c r="B104" s="3">
        <v>44488</v>
      </c>
      <c r="C104" s="9">
        <f>YEAR(Orders_Table[[#This Row],[Order Date]])</f>
        <v>2021</v>
      </c>
      <c r="D104" s="9">
        <f>MONTH(Orders_Table[[#This Row],[Order Date]])</f>
        <v>10</v>
      </c>
      <c r="E104" s="9" t="str" cm="1">
        <f t="array" ref="E1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04" s="2" t="s">
        <v>283</v>
      </c>
      <c r="G104" t="s">
        <v>60</v>
      </c>
      <c r="H104" s="2">
        <v>3</v>
      </c>
      <c r="I104" s="2" t="str" cm="1">
        <f t="array" ref="I104">_xlfn.XLOOKUP(F104,Customers!A103:$A$1001,Customers!B103:$B$1001,"Not Found",0)</f>
        <v>Dyanna Aizikovitz</v>
      </c>
      <c r="J104" s="2" t="str" cm="1">
        <f t="array" ref="J104">IF(_xlfn.XLOOKUP(F104,Customers!A103:$A$1001,Customers!C103:$C$1001,"Not Found",0)=0,"",_xlfn.XLOOKUP(F104,Customers!A103:$A$1001,Customers!C103:$C$1001,"Not Found",0))</f>
        <v>daizikovitz2u@answers.com</v>
      </c>
      <c r="K104" s="2" t="str" cm="1">
        <f t="array" ref="K104">_xlfn.XLOOKUP(F104,Customers!A103:$A$1001,Customers!G103:$G$1001,"Not Found",0)</f>
        <v>Ireland</v>
      </c>
      <c r="L104" t="str">
        <f>INDEX(Products!$A$1:$G$49,MATCH(Orders!$G104,Products!$A$1:$A$49,0),MATCH(Orders!L$1,Products!$A$1:$G$1,0))</f>
        <v>Lib</v>
      </c>
      <c r="M104" t="str">
        <f>INDEX(Products!$A$1:$G$49,MATCH(Orders!$G104,Products!$A$1:$A$49,0),MATCH(Orders!M$1,Products!$A$1:$G$1,0))</f>
        <v>D</v>
      </c>
      <c r="N104" s="4">
        <f>INDEX(Products!$A$1:$G$49,MATCH(Orders!$G104,Products!$A$1:$A$49,0),MATCH(Orders!N$1,Products!$A$1:$G$1,0))</f>
        <v>1</v>
      </c>
      <c r="O104" s="7">
        <f>INDEX(Products!$A$1:$G$49,MATCH(Orders!$G104,Products!$A$1:$A$49,0),MATCH(Orders!O$1,Products!$A$1:$G$1,0))</f>
        <v>12.95</v>
      </c>
      <c r="P104" s="7">
        <f t="shared" si="1"/>
        <v>38.849999999999994</v>
      </c>
      <c r="Q104" t="str" cm="1">
        <f t="array" ref="Q104">_xlfn.IFS(L104="Rob","Robusta",L104="Exc", "Excelsa",L104="Ara", "Arabica",L104="Lib", "Liberica")</f>
        <v>Liberica</v>
      </c>
      <c r="R104" t="str" cm="1">
        <f t="array" ref="R104">_xlfn.IFS(M104="M","Medium",M104="L","Light",M104="D","Dark")</f>
        <v>Dark</v>
      </c>
    </row>
    <row r="105" spans="1:18">
      <c r="A105" s="2" t="s">
        <v>284</v>
      </c>
      <c r="B105" s="3">
        <v>44750</v>
      </c>
      <c r="C105" s="9">
        <f>YEAR(Orders_Table[[#This Row],[Order Date]])</f>
        <v>2022</v>
      </c>
      <c r="D105" s="9">
        <f>MONTH(Orders_Table[[#This Row],[Order Date]])</f>
        <v>7</v>
      </c>
      <c r="E105" s="9" t="str" cm="1">
        <f t="array" ref="E1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05" s="2" t="s">
        <v>285</v>
      </c>
      <c r="G105" t="s">
        <v>209</v>
      </c>
      <c r="H105" s="2">
        <v>4</v>
      </c>
      <c r="I105" s="2" t="str" cm="1">
        <f t="array" ref="I105">_xlfn.XLOOKUP(F105,Customers!A104:$A$1001,Customers!B104:$B$1001,"Not Found",0)</f>
        <v>Bram Revel</v>
      </c>
      <c r="J105" s="2" t="str" cm="1">
        <f t="array" ref="J105">IF(_xlfn.XLOOKUP(F105,Customers!A104:$A$1001,Customers!C104:$C$1001,"Not Found",0)=0,"",_xlfn.XLOOKUP(F105,Customers!A104:$A$1001,Customers!C104:$C$1001,"Not Found",0))</f>
        <v>brevel2v@fastcompany.com</v>
      </c>
      <c r="K105" s="2" t="str" cm="1">
        <f t="array" ref="K105">_xlfn.XLOOKUP(F105,Customers!A104:$A$1001,Customers!G104:$G$1001,"Not Found",0)</f>
        <v>United States</v>
      </c>
      <c r="L105" t="str">
        <f>INDEX(Products!$A$1:$G$49,MATCH(Orders!$G105,Products!$A$1:$A$49,0),MATCH(Orders!L$1,Products!$A$1:$G$1,0))</f>
        <v>Rob</v>
      </c>
      <c r="M105" t="str">
        <f>INDEX(Products!$A$1:$G$49,MATCH(Orders!$G105,Products!$A$1:$A$49,0),MATCH(Orders!M$1,Products!$A$1:$G$1,0))</f>
        <v>M</v>
      </c>
      <c r="N105" s="4">
        <f>INDEX(Products!$A$1:$G$49,MATCH(Orders!$G105,Products!$A$1:$A$49,0),MATCH(Orders!N$1,Products!$A$1:$G$1,0))</f>
        <v>0.2</v>
      </c>
      <c r="O105" s="7">
        <f>INDEX(Products!$A$1:$G$49,MATCH(Orders!$G105,Products!$A$1:$A$49,0),MATCH(Orders!O$1,Products!$A$1:$G$1,0))</f>
        <v>2.9849999999999999</v>
      </c>
      <c r="P105" s="7">
        <f t="shared" si="1"/>
        <v>11.94</v>
      </c>
      <c r="Q105" t="str" cm="1">
        <f t="array" ref="Q105">_xlfn.IFS(L105="Rob","Robusta",L105="Exc", "Excelsa",L105="Ara", "Arabica",L105="Lib", "Liberica")</f>
        <v>Robusta</v>
      </c>
      <c r="R105" t="str" cm="1">
        <f t="array" ref="R105">_xlfn.IFS(M105="M","Medium",M105="L","Light",M105="D","Dark")</f>
        <v>Medium</v>
      </c>
    </row>
    <row r="106" spans="1:18">
      <c r="A106" s="2" t="s">
        <v>286</v>
      </c>
      <c r="B106" s="3">
        <v>43694</v>
      </c>
      <c r="C106" s="9">
        <f>YEAR(Orders_Table[[#This Row],[Order Date]])</f>
        <v>2019</v>
      </c>
      <c r="D106" s="9">
        <f>MONTH(Orders_Table[[#This Row],[Order Date]])</f>
        <v>8</v>
      </c>
      <c r="E106" s="9" t="str" cm="1">
        <f t="array" ref="E1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06" s="2" t="s">
        <v>287</v>
      </c>
      <c r="G106" t="s">
        <v>143</v>
      </c>
      <c r="H106" s="2">
        <v>6</v>
      </c>
      <c r="I106" s="2" t="str" cm="1">
        <f t="array" ref="I106">_xlfn.XLOOKUP(F106,Customers!A105:$A$1001,Customers!B105:$B$1001,"Not Found",0)</f>
        <v>Emiline Priddis</v>
      </c>
      <c r="J106" s="2" t="str" cm="1">
        <f t="array" ref="J106">IF(_xlfn.XLOOKUP(F106,Customers!A105:$A$1001,Customers!C105:$C$1001,"Not Found",0)=0,"",_xlfn.XLOOKUP(F106,Customers!A105:$A$1001,Customers!C105:$C$1001,"Not Found",0))</f>
        <v>epriddis2w@nationalgeographic.com</v>
      </c>
      <c r="K106" s="2" t="str" cm="1">
        <f t="array" ref="K106">_xlfn.XLOOKUP(F106,Customers!A105:$A$1001,Customers!G105:$G$1001,"Not Found",0)</f>
        <v>United States</v>
      </c>
      <c r="L106" t="str">
        <f>INDEX(Products!$A$1:$G$49,MATCH(Orders!$G106,Products!$A$1:$A$49,0),MATCH(Orders!L$1,Products!$A$1:$G$1,0))</f>
        <v>Lib</v>
      </c>
      <c r="M106" t="str">
        <f>INDEX(Products!$A$1:$G$49,MATCH(Orders!$G106,Products!$A$1:$A$49,0),MATCH(Orders!M$1,Products!$A$1:$G$1,0))</f>
        <v>M</v>
      </c>
      <c r="N106" s="4">
        <f>INDEX(Products!$A$1:$G$49,MATCH(Orders!$G106,Products!$A$1:$A$49,0),MATCH(Orders!N$1,Products!$A$1:$G$1,0))</f>
        <v>1</v>
      </c>
      <c r="O106" s="7">
        <f>INDEX(Products!$A$1:$G$49,MATCH(Orders!$G106,Products!$A$1:$A$49,0),MATCH(Orders!O$1,Products!$A$1:$G$1,0))</f>
        <v>14.55</v>
      </c>
      <c r="P106" s="7">
        <f t="shared" si="1"/>
        <v>87.300000000000011</v>
      </c>
      <c r="Q106" t="str" cm="1">
        <f t="array" ref="Q106">_xlfn.IFS(L106="Rob","Robusta",L106="Exc", "Excelsa",L106="Ara", "Arabica",L106="Lib", "Liberica")</f>
        <v>Liberica</v>
      </c>
      <c r="R106" t="str" cm="1">
        <f t="array" ref="R106">_xlfn.IFS(M106="M","Medium",M106="L","Light",M106="D","Dark")</f>
        <v>Medium</v>
      </c>
    </row>
    <row r="107" spans="1:18">
      <c r="A107" s="2" t="s">
        <v>288</v>
      </c>
      <c r="B107" s="3">
        <v>43982</v>
      </c>
      <c r="C107" s="9">
        <f>YEAR(Orders_Table[[#This Row],[Order Date]])</f>
        <v>2020</v>
      </c>
      <c r="D107" s="9">
        <f>MONTH(Orders_Table[[#This Row],[Order Date]])</f>
        <v>5</v>
      </c>
      <c r="E107" s="9" t="str" cm="1">
        <f t="array" ref="E1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07" s="2" t="s">
        <v>289</v>
      </c>
      <c r="G107" t="s">
        <v>114</v>
      </c>
      <c r="H107" s="2">
        <v>6</v>
      </c>
      <c r="I107" s="2" t="str" cm="1">
        <f t="array" ref="I107">_xlfn.XLOOKUP(F107,Customers!A106:$A$1001,Customers!B106:$B$1001,"Not Found",0)</f>
        <v>Queenie Veel</v>
      </c>
      <c r="J107" s="2" t="str" cm="1">
        <f t="array" ref="J107">IF(_xlfn.XLOOKUP(F107,Customers!A106:$A$1001,Customers!C106:$C$1001,"Not Found",0)=0,"",_xlfn.XLOOKUP(F107,Customers!A106:$A$1001,Customers!C106:$C$1001,"Not Found",0))</f>
        <v>qveel2x@jugem.jp</v>
      </c>
      <c r="K107" s="2" t="str" cm="1">
        <f t="array" ref="K107">_xlfn.XLOOKUP(F107,Customers!A106:$A$1001,Customers!G106:$G$1001,"Not Found",0)</f>
        <v>United States</v>
      </c>
      <c r="L107" t="str">
        <f>INDEX(Products!$A$1:$G$49,MATCH(Orders!$G107,Products!$A$1:$A$49,0),MATCH(Orders!L$1,Products!$A$1:$G$1,0))</f>
        <v>Ara</v>
      </c>
      <c r="M107" t="str">
        <f>INDEX(Products!$A$1:$G$49,MATCH(Orders!$G107,Products!$A$1:$A$49,0),MATCH(Orders!M$1,Products!$A$1:$G$1,0))</f>
        <v>M</v>
      </c>
      <c r="N107" s="4">
        <f>INDEX(Products!$A$1:$G$49,MATCH(Orders!$G107,Products!$A$1:$A$49,0),MATCH(Orders!N$1,Products!$A$1:$G$1,0))</f>
        <v>0.5</v>
      </c>
      <c r="O107" s="7">
        <f>INDEX(Products!$A$1:$G$49,MATCH(Orders!$G107,Products!$A$1:$A$49,0),MATCH(Orders!O$1,Products!$A$1:$G$1,0))</f>
        <v>6.75</v>
      </c>
      <c r="P107" s="7">
        <f t="shared" si="1"/>
        <v>40.5</v>
      </c>
      <c r="Q107" t="str" cm="1">
        <f t="array" ref="Q107">_xlfn.IFS(L107="Rob","Robusta",L107="Exc", "Excelsa",L107="Ara", "Arabica",L107="Lib", "Liberica")</f>
        <v>Arabica</v>
      </c>
      <c r="R107" t="str" cm="1">
        <f t="array" ref="R107">_xlfn.IFS(M107="M","Medium",M107="L","Light",M107="D","Dark")</f>
        <v>Medium</v>
      </c>
    </row>
    <row r="108" spans="1:18">
      <c r="A108" s="2" t="s">
        <v>290</v>
      </c>
      <c r="B108" s="3">
        <v>43956</v>
      </c>
      <c r="C108" s="9">
        <f>YEAR(Orders_Table[[#This Row],[Order Date]])</f>
        <v>2020</v>
      </c>
      <c r="D108" s="9">
        <f>MONTH(Orders_Table[[#This Row],[Order Date]])</f>
        <v>5</v>
      </c>
      <c r="E108" s="9" t="str" cm="1">
        <f t="array" ref="E1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08" s="2" t="s">
        <v>291</v>
      </c>
      <c r="G108" t="s">
        <v>292</v>
      </c>
      <c r="H108" s="2">
        <v>2</v>
      </c>
      <c r="I108" s="2" t="str" cm="1">
        <f t="array" ref="I108">_xlfn.XLOOKUP(F108,Customers!A107:$A$1001,Customers!B107:$B$1001,"Not Found",0)</f>
        <v>Lind Conyers</v>
      </c>
      <c r="J108" s="2" t="str" cm="1">
        <f t="array" ref="J108">IF(_xlfn.XLOOKUP(F108,Customers!A107:$A$1001,Customers!C107:$C$1001,"Not Found",0)=0,"",_xlfn.XLOOKUP(F108,Customers!A107:$A$1001,Customers!C107:$C$1001,"Not Found",0))</f>
        <v>lconyers2y@twitter.com</v>
      </c>
      <c r="K108" s="2" t="str" cm="1">
        <f t="array" ref="K108">_xlfn.XLOOKUP(F108,Customers!A107:$A$1001,Customers!G107:$G$1001,"Not Found",0)</f>
        <v>United States</v>
      </c>
      <c r="L108" t="str">
        <f>INDEX(Products!$A$1:$G$49,MATCH(Orders!$G108,Products!$A$1:$A$49,0),MATCH(Orders!L$1,Products!$A$1:$G$1,0))</f>
        <v>Exc</v>
      </c>
      <c r="M108" t="str">
        <f>INDEX(Products!$A$1:$G$49,MATCH(Orders!$G108,Products!$A$1:$A$49,0),MATCH(Orders!M$1,Products!$A$1:$G$1,0))</f>
        <v>D</v>
      </c>
      <c r="N108" s="4">
        <f>INDEX(Products!$A$1:$G$49,MATCH(Orders!$G108,Products!$A$1:$A$49,0),MATCH(Orders!N$1,Products!$A$1:$G$1,0))</f>
        <v>1</v>
      </c>
      <c r="O108" s="7">
        <f>INDEX(Products!$A$1:$G$49,MATCH(Orders!$G108,Products!$A$1:$A$49,0),MATCH(Orders!O$1,Products!$A$1:$G$1,0))</f>
        <v>12.15</v>
      </c>
      <c r="P108" s="7">
        <f t="shared" si="1"/>
        <v>24.3</v>
      </c>
      <c r="Q108" t="str" cm="1">
        <f t="array" ref="Q108">_xlfn.IFS(L108="Rob","Robusta",L108="Exc", "Excelsa",L108="Ara", "Arabica",L108="Lib", "Liberica")</f>
        <v>Excelsa</v>
      </c>
      <c r="R108" t="str" cm="1">
        <f t="array" ref="R108">_xlfn.IFS(M108="M","Medium",M108="L","Light",M108="D","Dark")</f>
        <v>Dark</v>
      </c>
    </row>
    <row r="109" spans="1:18">
      <c r="A109" s="2" t="s">
        <v>293</v>
      </c>
      <c r="B109" s="3">
        <v>43569</v>
      </c>
      <c r="C109" s="9">
        <f>YEAR(Orders_Table[[#This Row],[Order Date]])</f>
        <v>2019</v>
      </c>
      <c r="D109" s="9">
        <f>MONTH(Orders_Table[[#This Row],[Order Date]])</f>
        <v>4</v>
      </c>
      <c r="E109" s="9" t="str" cm="1">
        <f t="array" ref="E1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09" s="2" t="s">
        <v>294</v>
      </c>
      <c r="G109" t="s">
        <v>69</v>
      </c>
      <c r="H109" s="2">
        <v>3</v>
      </c>
      <c r="I109" s="2" t="str" cm="1">
        <f t="array" ref="I109">_xlfn.XLOOKUP(F109,Customers!A108:$A$1001,Customers!B108:$B$1001,"Not Found",0)</f>
        <v>Pen Wye</v>
      </c>
      <c r="J109" s="2" t="str" cm="1">
        <f t="array" ref="J109">IF(_xlfn.XLOOKUP(F109,Customers!A108:$A$1001,Customers!C108:$C$1001,"Not Found",0)=0,"",_xlfn.XLOOKUP(F109,Customers!A108:$A$1001,Customers!C108:$C$1001,"Not Found",0))</f>
        <v>pwye2z@dagondesign.com</v>
      </c>
      <c r="K109" s="2" t="str" cm="1">
        <f t="array" ref="K109">_xlfn.XLOOKUP(F109,Customers!A108:$A$1001,Customers!G108:$G$1001,"Not Found",0)</f>
        <v>United States</v>
      </c>
      <c r="L109" t="str">
        <f>INDEX(Products!$A$1:$G$49,MATCH(Orders!$G109,Products!$A$1:$A$49,0),MATCH(Orders!L$1,Products!$A$1:$G$1,0))</f>
        <v>Rob</v>
      </c>
      <c r="M109" t="str">
        <f>INDEX(Products!$A$1:$G$49,MATCH(Orders!$G109,Products!$A$1:$A$49,0),MATCH(Orders!M$1,Products!$A$1:$G$1,0))</f>
        <v>M</v>
      </c>
      <c r="N109" s="4">
        <f>INDEX(Products!$A$1:$G$49,MATCH(Orders!$G109,Products!$A$1:$A$49,0),MATCH(Orders!N$1,Products!$A$1:$G$1,0))</f>
        <v>0.5</v>
      </c>
      <c r="O109" s="7">
        <f>INDEX(Products!$A$1:$G$49,MATCH(Orders!$G109,Products!$A$1:$A$49,0),MATCH(Orders!O$1,Products!$A$1:$G$1,0))</f>
        <v>5.97</v>
      </c>
      <c r="P109" s="7">
        <f t="shared" si="1"/>
        <v>17.91</v>
      </c>
      <c r="Q109" t="str" cm="1">
        <f t="array" ref="Q109">_xlfn.IFS(L109="Rob","Robusta",L109="Exc", "Excelsa",L109="Ara", "Arabica",L109="Lib", "Liberica")</f>
        <v>Robusta</v>
      </c>
      <c r="R109" t="str" cm="1">
        <f t="array" ref="R109">_xlfn.IFS(M109="M","Medium",M109="L","Light",M109="D","Dark")</f>
        <v>Medium</v>
      </c>
    </row>
    <row r="110" spans="1:18">
      <c r="A110" s="2" t="s">
        <v>295</v>
      </c>
      <c r="B110" s="3">
        <v>44041</v>
      </c>
      <c r="C110" s="9">
        <f>YEAR(Orders_Table[[#This Row],[Order Date]])</f>
        <v>2020</v>
      </c>
      <c r="D110" s="9">
        <f>MONTH(Orders_Table[[#This Row],[Order Date]])</f>
        <v>7</v>
      </c>
      <c r="E110" s="9" t="str" cm="1">
        <f t="array" ref="E1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10" s="2" t="s">
        <v>296</v>
      </c>
      <c r="G110" t="s">
        <v>114</v>
      </c>
      <c r="H110" s="2">
        <v>4</v>
      </c>
      <c r="I110" s="2" t="str" cm="1">
        <f t="array" ref="I110">_xlfn.XLOOKUP(F110,Customers!A109:$A$1001,Customers!B109:$B$1001,"Not Found",0)</f>
        <v>Isahella Hagland</v>
      </c>
      <c r="J110" s="2" t="str" cm="1">
        <f t="array" ref="J110">IF(_xlfn.XLOOKUP(F110,Customers!A109:$A$1001,Customers!C109:$C$1001,"Not Found",0)=0,"",_xlfn.XLOOKUP(F110,Customers!A109:$A$1001,Customers!C109:$C$1001,"Not Found",0))</f>
        <v/>
      </c>
      <c r="K110" s="2" t="str" cm="1">
        <f t="array" ref="K110">_xlfn.XLOOKUP(F110,Customers!A109:$A$1001,Customers!G109:$G$1001,"Not Found",0)</f>
        <v>United States</v>
      </c>
      <c r="L110" t="str">
        <f>INDEX(Products!$A$1:$G$49,MATCH(Orders!$G110,Products!$A$1:$A$49,0),MATCH(Orders!L$1,Products!$A$1:$G$1,0))</f>
        <v>Ara</v>
      </c>
      <c r="M110" t="str">
        <f>INDEX(Products!$A$1:$G$49,MATCH(Orders!$G110,Products!$A$1:$A$49,0),MATCH(Orders!M$1,Products!$A$1:$G$1,0))</f>
        <v>M</v>
      </c>
      <c r="N110" s="4">
        <f>INDEX(Products!$A$1:$G$49,MATCH(Orders!$G110,Products!$A$1:$A$49,0),MATCH(Orders!N$1,Products!$A$1:$G$1,0))</f>
        <v>0.5</v>
      </c>
      <c r="O110" s="7">
        <f>INDEX(Products!$A$1:$G$49,MATCH(Orders!$G110,Products!$A$1:$A$49,0),MATCH(Orders!O$1,Products!$A$1:$G$1,0))</f>
        <v>6.75</v>
      </c>
      <c r="P110" s="7">
        <f t="shared" si="1"/>
        <v>27</v>
      </c>
      <c r="Q110" t="str" cm="1">
        <f t="array" ref="Q110">_xlfn.IFS(L110="Rob","Robusta",L110="Exc", "Excelsa",L110="Ara", "Arabica",L110="Lib", "Liberica")</f>
        <v>Arabica</v>
      </c>
      <c r="R110" t="str" cm="1">
        <f t="array" ref="R110">_xlfn.IFS(M110="M","Medium",M110="L","Light",M110="D","Dark")</f>
        <v>Medium</v>
      </c>
    </row>
    <row r="111" spans="1:18">
      <c r="A111" s="2" t="s">
        <v>297</v>
      </c>
      <c r="B111" s="3">
        <v>43811</v>
      </c>
      <c r="C111" s="9">
        <f>YEAR(Orders_Table[[#This Row],[Order Date]])</f>
        <v>2019</v>
      </c>
      <c r="D111" s="9">
        <f>MONTH(Orders_Table[[#This Row],[Order Date]])</f>
        <v>12</v>
      </c>
      <c r="E111" s="9" t="str" cm="1">
        <f t="array" ref="E1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11" s="2" t="s">
        <v>298</v>
      </c>
      <c r="G111" t="s">
        <v>170</v>
      </c>
      <c r="H111" s="2">
        <v>1</v>
      </c>
      <c r="I111" s="2" t="str" cm="1">
        <f t="array" ref="I111">_xlfn.XLOOKUP(F111,Customers!A110:$A$1001,Customers!B110:$B$1001,"Not Found",0)</f>
        <v>Terry Sheryn</v>
      </c>
      <c r="J111" s="2" t="str" cm="1">
        <f t="array" ref="J111">IF(_xlfn.XLOOKUP(F111,Customers!A110:$A$1001,Customers!C110:$C$1001,"Not Found",0)=0,"",_xlfn.XLOOKUP(F111,Customers!A110:$A$1001,Customers!C110:$C$1001,"Not Found",0))</f>
        <v>tsheryn31@mtv.com</v>
      </c>
      <c r="K111" s="2" t="str" cm="1">
        <f t="array" ref="K111">_xlfn.XLOOKUP(F111,Customers!A110:$A$1001,Customers!G110:$G$1001,"Not Found",0)</f>
        <v>United States</v>
      </c>
      <c r="L111" t="str">
        <f>INDEX(Products!$A$1:$G$49,MATCH(Orders!$G111,Products!$A$1:$A$49,0),MATCH(Orders!L$1,Products!$A$1:$G$1,0))</f>
        <v>Lib</v>
      </c>
      <c r="M111" t="str">
        <f>INDEX(Products!$A$1:$G$49,MATCH(Orders!$G111,Products!$A$1:$A$49,0),MATCH(Orders!M$1,Products!$A$1:$G$1,0))</f>
        <v>D</v>
      </c>
      <c r="N111" s="4">
        <f>INDEX(Products!$A$1:$G$49,MATCH(Orders!$G111,Products!$A$1:$A$49,0),MATCH(Orders!N$1,Products!$A$1:$G$1,0))</f>
        <v>0.5</v>
      </c>
      <c r="O111" s="7">
        <f>INDEX(Products!$A$1:$G$49,MATCH(Orders!$G111,Products!$A$1:$A$49,0),MATCH(Orders!O$1,Products!$A$1:$G$1,0))</f>
        <v>7.77</v>
      </c>
      <c r="P111" s="7">
        <f t="shared" si="1"/>
        <v>7.77</v>
      </c>
      <c r="Q111" t="str" cm="1">
        <f t="array" ref="Q111">_xlfn.IFS(L111="Rob","Robusta",L111="Exc", "Excelsa",L111="Ara", "Arabica",L111="Lib", "Liberica")</f>
        <v>Liberica</v>
      </c>
      <c r="R111" t="str" cm="1">
        <f t="array" ref="R111">_xlfn.IFS(M111="M","Medium",M111="L","Light",M111="D","Dark")</f>
        <v>Dark</v>
      </c>
    </row>
    <row r="112" spans="1:18">
      <c r="A112" s="2" t="s">
        <v>299</v>
      </c>
      <c r="B112" s="3">
        <v>44727</v>
      </c>
      <c r="C112" s="9">
        <f>YEAR(Orders_Table[[#This Row],[Order Date]])</f>
        <v>2022</v>
      </c>
      <c r="D112" s="9">
        <f>MONTH(Orders_Table[[#This Row],[Order Date]])</f>
        <v>6</v>
      </c>
      <c r="E112" s="9" t="str" cm="1">
        <f t="array" ref="E1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12" s="2" t="s">
        <v>300</v>
      </c>
      <c r="G112" t="s">
        <v>301</v>
      </c>
      <c r="H112" s="2">
        <v>3</v>
      </c>
      <c r="I112" s="2" t="str" cm="1">
        <f t="array" ref="I112">_xlfn.XLOOKUP(F112,Customers!A111:$A$1001,Customers!B111:$B$1001,"Not Found",0)</f>
        <v>Marie-jeanne Redgrave</v>
      </c>
      <c r="J112" s="2" t="str" cm="1">
        <f t="array" ref="J112">IF(_xlfn.XLOOKUP(F112,Customers!A111:$A$1001,Customers!C111:$C$1001,"Not Found",0)=0,"",_xlfn.XLOOKUP(F112,Customers!A111:$A$1001,Customers!C111:$C$1001,"Not Found",0))</f>
        <v>mredgrave32@cargocollective.com</v>
      </c>
      <c r="K112" s="2" t="str" cm="1">
        <f t="array" ref="K112">_xlfn.XLOOKUP(F112,Customers!A111:$A$1001,Customers!G111:$G$1001,"Not Found",0)</f>
        <v>United States</v>
      </c>
      <c r="L112" t="str">
        <f>INDEX(Products!$A$1:$G$49,MATCH(Orders!$G112,Products!$A$1:$A$49,0),MATCH(Orders!L$1,Products!$A$1:$G$1,0))</f>
        <v>Exc</v>
      </c>
      <c r="M112" t="str">
        <f>INDEX(Products!$A$1:$G$49,MATCH(Orders!$G112,Products!$A$1:$A$49,0),MATCH(Orders!M$1,Products!$A$1:$G$1,0))</f>
        <v>L</v>
      </c>
      <c r="N112" s="4">
        <f>INDEX(Products!$A$1:$G$49,MATCH(Orders!$G112,Products!$A$1:$A$49,0),MATCH(Orders!N$1,Products!$A$1:$G$1,0))</f>
        <v>0.2</v>
      </c>
      <c r="O112" s="7">
        <f>INDEX(Products!$A$1:$G$49,MATCH(Orders!$G112,Products!$A$1:$A$49,0),MATCH(Orders!O$1,Products!$A$1:$G$1,0))</f>
        <v>4.4550000000000001</v>
      </c>
      <c r="P112" s="7">
        <f t="shared" si="1"/>
        <v>13.365</v>
      </c>
      <c r="Q112" t="str" cm="1">
        <f t="array" ref="Q112">_xlfn.IFS(L112="Rob","Robusta",L112="Exc", "Excelsa",L112="Ara", "Arabica",L112="Lib", "Liberica")</f>
        <v>Excelsa</v>
      </c>
      <c r="R112" t="str" cm="1">
        <f t="array" ref="R112">_xlfn.IFS(M112="M","Medium",M112="L","Light",M112="D","Dark")</f>
        <v>Light</v>
      </c>
    </row>
    <row r="113" spans="1:18">
      <c r="A113" s="2" t="s">
        <v>302</v>
      </c>
      <c r="B113" s="3">
        <v>43642</v>
      </c>
      <c r="C113" s="9">
        <f>YEAR(Orders_Table[[#This Row],[Order Date]])</f>
        <v>2019</v>
      </c>
      <c r="D113" s="9">
        <f>MONTH(Orders_Table[[#This Row],[Order Date]])</f>
        <v>6</v>
      </c>
      <c r="E113" s="9" t="str" cm="1">
        <f t="array" ref="E1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13" s="2" t="s">
        <v>303</v>
      </c>
      <c r="G113" t="s">
        <v>193</v>
      </c>
      <c r="H113" s="2">
        <v>5</v>
      </c>
      <c r="I113" s="2" t="str" cm="1">
        <f t="array" ref="I113">_xlfn.XLOOKUP(F113,Customers!A112:$A$1001,Customers!B112:$B$1001,"Not Found",0)</f>
        <v>Betty Fominov</v>
      </c>
      <c r="J113" s="2" t="str" cm="1">
        <f t="array" ref="J113">IF(_xlfn.XLOOKUP(F113,Customers!A112:$A$1001,Customers!C112:$C$1001,"Not Found",0)=0,"",_xlfn.XLOOKUP(F113,Customers!A112:$A$1001,Customers!C112:$C$1001,"Not Found",0))</f>
        <v>bfominov33@yale.edu</v>
      </c>
      <c r="K113" s="2" t="str" cm="1">
        <f t="array" ref="K113">_xlfn.XLOOKUP(F113,Customers!A112:$A$1001,Customers!G112:$G$1001,"Not Found",0)</f>
        <v>United States</v>
      </c>
      <c r="L113" t="str">
        <f>INDEX(Products!$A$1:$G$49,MATCH(Orders!$G113,Products!$A$1:$A$49,0),MATCH(Orders!L$1,Products!$A$1:$G$1,0))</f>
        <v>Rob</v>
      </c>
      <c r="M113" t="str">
        <f>INDEX(Products!$A$1:$G$49,MATCH(Orders!$G113,Products!$A$1:$A$49,0),MATCH(Orders!M$1,Products!$A$1:$G$1,0))</f>
        <v>D</v>
      </c>
      <c r="N113" s="4">
        <f>INDEX(Products!$A$1:$G$49,MATCH(Orders!$G113,Products!$A$1:$A$49,0),MATCH(Orders!N$1,Products!$A$1:$G$1,0))</f>
        <v>0.5</v>
      </c>
      <c r="O113" s="7">
        <f>INDEX(Products!$A$1:$G$49,MATCH(Orders!$G113,Products!$A$1:$A$49,0),MATCH(Orders!O$1,Products!$A$1:$G$1,0))</f>
        <v>5.3699999999999992</v>
      </c>
      <c r="P113" s="7">
        <f t="shared" si="1"/>
        <v>26.849999999999994</v>
      </c>
      <c r="Q113" t="str" cm="1">
        <f t="array" ref="Q113">_xlfn.IFS(L113="Rob","Robusta",L113="Exc", "Excelsa",L113="Ara", "Arabica",L113="Lib", "Liberica")</f>
        <v>Robusta</v>
      </c>
      <c r="R113" t="str" cm="1">
        <f t="array" ref="R113">_xlfn.IFS(M113="M","Medium",M113="L","Light",M113="D","Dark")</f>
        <v>Dark</v>
      </c>
    </row>
    <row r="114" spans="1:18">
      <c r="A114" s="2" t="s">
        <v>304</v>
      </c>
      <c r="B114" s="3">
        <v>44481</v>
      </c>
      <c r="C114" s="9">
        <f>YEAR(Orders_Table[[#This Row],[Order Date]])</f>
        <v>2021</v>
      </c>
      <c r="D114" s="9">
        <f>MONTH(Orders_Table[[#This Row],[Order Date]])</f>
        <v>10</v>
      </c>
      <c r="E114" s="9" t="str" cm="1">
        <f t="array" ref="E1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14" s="2" t="s">
        <v>305</v>
      </c>
      <c r="G114" t="s">
        <v>108</v>
      </c>
      <c r="H114" s="2">
        <v>1</v>
      </c>
      <c r="I114" s="2" t="str" cm="1">
        <f t="array" ref="I114">_xlfn.XLOOKUP(F114,Customers!A113:$A$1001,Customers!B113:$B$1001,"Not Found",0)</f>
        <v>Shawnee Critchlow</v>
      </c>
      <c r="J114" s="2" t="str" cm="1">
        <f t="array" ref="J114">IF(_xlfn.XLOOKUP(F114,Customers!A113:$A$1001,Customers!C113:$C$1001,"Not Found",0)=0,"",_xlfn.XLOOKUP(F114,Customers!A113:$A$1001,Customers!C113:$C$1001,"Not Found",0))</f>
        <v>scritchlow34@un.org</v>
      </c>
      <c r="K114" s="2" t="str" cm="1">
        <f t="array" ref="K114">_xlfn.XLOOKUP(F114,Customers!A113:$A$1001,Customers!G113:$G$1001,"Not Found",0)</f>
        <v>United States</v>
      </c>
      <c r="L114" t="str">
        <f>INDEX(Products!$A$1:$G$49,MATCH(Orders!$G114,Products!$A$1:$A$49,0),MATCH(Orders!L$1,Products!$A$1:$G$1,0))</f>
        <v>Ara</v>
      </c>
      <c r="M114" t="str">
        <f>INDEX(Products!$A$1:$G$49,MATCH(Orders!$G114,Products!$A$1:$A$49,0),MATCH(Orders!M$1,Products!$A$1:$G$1,0))</f>
        <v>M</v>
      </c>
      <c r="N114" s="4">
        <f>INDEX(Products!$A$1:$G$49,MATCH(Orders!$G114,Products!$A$1:$A$49,0),MATCH(Orders!N$1,Products!$A$1:$G$1,0))</f>
        <v>1</v>
      </c>
      <c r="O114" s="7">
        <f>INDEX(Products!$A$1:$G$49,MATCH(Orders!$G114,Products!$A$1:$A$49,0),MATCH(Orders!O$1,Products!$A$1:$G$1,0))</f>
        <v>11.25</v>
      </c>
      <c r="P114" s="7">
        <f t="shared" si="1"/>
        <v>11.25</v>
      </c>
      <c r="Q114" t="str" cm="1">
        <f t="array" ref="Q114">_xlfn.IFS(L114="Rob","Robusta",L114="Exc", "Excelsa",L114="Ara", "Arabica",L114="Lib", "Liberica")</f>
        <v>Arabica</v>
      </c>
      <c r="R114" t="str" cm="1">
        <f t="array" ref="R114">_xlfn.IFS(M114="M","Medium",M114="L","Light",M114="D","Dark")</f>
        <v>Medium</v>
      </c>
    </row>
    <row r="115" spans="1:18">
      <c r="A115" s="2" t="s">
        <v>306</v>
      </c>
      <c r="B115" s="3">
        <v>43556</v>
      </c>
      <c r="C115" s="9">
        <f>YEAR(Orders_Table[[#This Row],[Order Date]])</f>
        <v>2019</v>
      </c>
      <c r="D115" s="9">
        <f>MONTH(Orders_Table[[#This Row],[Order Date]])</f>
        <v>4</v>
      </c>
      <c r="E115" s="9" t="str" cm="1">
        <f t="array" ref="E1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15" s="2" t="s">
        <v>307</v>
      </c>
      <c r="G115" t="s">
        <v>143</v>
      </c>
      <c r="H115" s="2">
        <v>1</v>
      </c>
      <c r="I115" s="2" t="str" cm="1">
        <f t="array" ref="I115">_xlfn.XLOOKUP(F115,Customers!A114:$A$1001,Customers!B114:$B$1001,"Not Found",0)</f>
        <v>Merrel Steptow</v>
      </c>
      <c r="J115" s="2" t="str" cm="1">
        <f t="array" ref="J115">IF(_xlfn.XLOOKUP(F115,Customers!A114:$A$1001,Customers!C114:$C$1001,"Not Found",0)=0,"",_xlfn.XLOOKUP(F115,Customers!A114:$A$1001,Customers!C114:$C$1001,"Not Found",0))</f>
        <v>msteptow35@earthlink.net</v>
      </c>
      <c r="K115" s="2" t="str" cm="1">
        <f t="array" ref="K115">_xlfn.XLOOKUP(F115,Customers!A114:$A$1001,Customers!G114:$G$1001,"Not Found",0)</f>
        <v>Ireland</v>
      </c>
      <c r="L115" t="str">
        <f>INDEX(Products!$A$1:$G$49,MATCH(Orders!$G115,Products!$A$1:$A$49,0),MATCH(Orders!L$1,Products!$A$1:$G$1,0))</f>
        <v>Lib</v>
      </c>
      <c r="M115" t="str">
        <f>INDEX(Products!$A$1:$G$49,MATCH(Orders!$G115,Products!$A$1:$A$49,0),MATCH(Orders!M$1,Products!$A$1:$G$1,0))</f>
        <v>M</v>
      </c>
      <c r="N115" s="4">
        <f>INDEX(Products!$A$1:$G$49,MATCH(Orders!$G115,Products!$A$1:$A$49,0),MATCH(Orders!N$1,Products!$A$1:$G$1,0))</f>
        <v>1</v>
      </c>
      <c r="O115" s="7">
        <f>INDEX(Products!$A$1:$G$49,MATCH(Orders!$G115,Products!$A$1:$A$49,0),MATCH(Orders!O$1,Products!$A$1:$G$1,0))</f>
        <v>14.55</v>
      </c>
      <c r="P115" s="7">
        <f t="shared" si="1"/>
        <v>14.55</v>
      </c>
      <c r="Q115" t="str" cm="1">
        <f t="array" ref="Q115">_xlfn.IFS(L115="Rob","Robusta",L115="Exc", "Excelsa",L115="Ara", "Arabica",L115="Lib", "Liberica")</f>
        <v>Liberica</v>
      </c>
      <c r="R115" t="str" cm="1">
        <f t="array" ref="R115">_xlfn.IFS(M115="M","Medium",M115="L","Light",M115="D","Dark")</f>
        <v>Medium</v>
      </c>
    </row>
    <row r="116" spans="1:18">
      <c r="A116" s="2" t="s">
        <v>308</v>
      </c>
      <c r="B116" s="3">
        <v>44265</v>
      </c>
      <c r="C116" s="9">
        <f>YEAR(Orders_Table[[#This Row],[Order Date]])</f>
        <v>2021</v>
      </c>
      <c r="D116" s="9">
        <f>MONTH(Orders_Table[[#This Row],[Order Date]])</f>
        <v>3</v>
      </c>
      <c r="E116" s="9" t="str" cm="1">
        <f t="array" ref="E1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16" s="2" t="s">
        <v>309</v>
      </c>
      <c r="G116" t="s">
        <v>229</v>
      </c>
      <c r="H116" s="2">
        <v>4</v>
      </c>
      <c r="I116" s="2" t="str" cm="1">
        <f t="array" ref="I116">_xlfn.XLOOKUP(F116,Customers!A115:$A$1001,Customers!B115:$B$1001,"Not Found",0)</f>
        <v>Carmina Hubbuck</v>
      </c>
      <c r="J116" s="2" t="str" cm="1">
        <f t="array" ref="J116">IF(_xlfn.XLOOKUP(F116,Customers!A115:$A$1001,Customers!C115:$C$1001,"Not Found",0)=0,"",_xlfn.XLOOKUP(F116,Customers!A115:$A$1001,Customers!C115:$C$1001,"Not Found",0))</f>
        <v/>
      </c>
      <c r="K116" s="2" t="str" cm="1">
        <f t="array" ref="K116">_xlfn.XLOOKUP(F116,Customers!A115:$A$1001,Customers!G115:$G$1001,"Not Found",0)</f>
        <v>United States</v>
      </c>
      <c r="L116" t="str">
        <f>INDEX(Products!$A$1:$G$49,MATCH(Orders!$G116,Products!$A$1:$A$49,0),MATCH(Orders!L$1,Products!$A$1:$G$1,0))</f>
        <v>Rob</v>
      </c>
      <c r="M116" t="str">
        <f>INDEX(Products!$A$1:$G$49,MATCH(Orders!$G116,Products!$A$1:$A$49,0),MATCH(Orders!M$1,Products!$A$1:$G$1,0))</f>
        <v>L</v>
      </c>
      <c r="N116" s="4">
        <f>INDEX(Products!$A$1:$G$49,MATCH(Orders!$G116,Products!$A$1:$A$49,0),MATCH(Orders!N$1,Products!$A$1:$G$1,0))</f>
        <v>0.2</v>
      </c>
      <c r="O116" s="7">
        <f>INDEX(Products!$A$1:$G$49,MATCH(Orders!$G116,Products!$A$1:$A$49,0),MATCH(Orders!O$1,Products!$A$1:$G$1,0))</f>
        <v>3.5849999999999995</v>
      </c>
      <c r="P116" s="7">
        <f t="shared" si="1"/>
        <v>14.339999999999998</v>
      </c>
      <c r="Q116" t="str" cm="1">
        <f t="array" ref="Q116">_xlfn.IFS(L116="Rob","Robusta",L116="Exc", "Excelsa",L116="Ara", "Arabica",L116="Lib", "Liberica")</f>
        <v>Robusta</v>
      </c>
      <c r="R116" t="str" cm="1">
        <f t="array" ref="R116">_xlfn.IFS(M116="M","Medium",M116="L","Light",M116="D","Dark")</f>
        <v>Light</v>
      </c>
    </row>
    <row r="117" spans="1:18">
      <c r="A117" s="2" t="s">
        <v>310</v>
      </c>
      <c r="B117" s="3">
        <v>43693</v>
      </c>
      <c r="C117" s="9">
        <f>YEAR(Orders_Table[[#This Row],[Order Date]])</f>
        <v>2019</v>
      </c>
      <c r="D117" s="9">
        <f>MONTH(Orders_Table[[#This Row],[Order Date]])</f>
        <v>8</v>
      </c>
      <c r="E117" s="9" t="str" cm="1">
        <f t="array" ref="E1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17" s="2" t="s">
        <v>311</v>
      </c>
      <c r="G117" t="s">
        <v>179</v>
      </c>
      <c r="H117" s="2">
        <v>1</v>
      </c>
      <c r="I117" s="2" t="str" cm="1">
        <f t="array" ref="I117">_xlfn.XLOOKUP(F117,Customers!A116:$A$1001,Customers!B116:$B$1001,"Not Found",0)</f>
        <v>Ingeberg Mulliner</v>
      </c>
      <c r="J117" s="2" t="str" cm="1">
        <f t="array" ref="J117">IF(_xlfn.XLOOKUP(F117,Customers!A116:$A$1001,Customers!C116:$C$1001,"Not Found",0)=0,"",_xlfn.XLOOKUP(F117,Customers!A116:$A$1001,Customers!C116:$C$1001,"Not Found",0))</f>
        <v>imulliner37@pinterest.com</v>
      </c>
      <c r="K117" s="2" t="str" cm="1">
        <f t="array" ref="K117">_xlfn.XLOOKUP(F117,Customers!A116:$A$1001,Customers!G116:$G$1001,"Not Found",0)</f>
        <v>United Kingdom</v>
      </c>
      <c r="L117" t="str">
        <f>INDEX(Products!$A$1:$G$49,MATCH(Orders!$G117,Products!$A$1:$A$49,0),MATCH(Orders!L$1,Products!$A$1:$G$1,0))</f>
        <v>Lib</v>
      </c>
      <c r="M117" t="str">
        <f>INDEX(Products!$A$1:$G$49,MATCH(Orders!$G117,Products!$A$1:$A$49,0),MATCH(Orders!M$1,Products!$A$1:$G$1,0))</f>
        <v>L</v>
      </c>
      <c r="N117" s="4">
        <f>INDEX(Products!$A$1:$G$49,MATCH(Orders!$G117,Products!$A$1:$A$49,0),MATCH(Orders!N$1,Products!$A$1:$G$1,0))</f>
        <v>1</v>
      </c>
      <c r="O117" s="7">
        <f>INDEX(Products!$A$1:$G$49,MATCH(Orders!$G117,Products!$A$1:$A$49,0),MATCH(Orders!O$1,Products!$A$1:$G$1,0))</f>
        <v>15.85</v>
      </c>
      <c r="P117" s="7">
        <f t="shared" si="1"/>
        <v>15.85</v>
      </c>
      <c r="Q117" t="str" cm="1">
        <f t="array" ref="Q117">_xlfn.IFS(L117="Rob","Robusta",L117="Exc", "Excelsa",L117="Ara", "Arabica",L117="Lib", "Liberica")</f>
        <v>Liberica</v>
      </c>
      <c r="R117" t="str" cm="1">
        <f t="array" ref="R117">_xlfn.IFS(M117="M","Medium",M117="L","Light",M117="D","Dark")</f>
        <v>Light</v>
      </c>
    </row>
    <row r="118" spans="1:18">
      <c r="A118" s="2" t="s">
        <v>312</v>
      </c>
      <c r="B118" s="3">
        <v>44054</v>
      </c>
      <c r="C118" s="9">
        <f>YEAR(Orders_Table[[#This Row],[Order Date]])</f>
        <v>2020</v>
      </c>
      <c r="D118" s="9">
        <f>MONTH(Orders_Table[[#This Row],[Order Date]])</f>
        <v>8</v>
      </c>
      <c r="E118" s="9" t="str" cm="1">
        <f t="array" ref="E1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18" s="2" t="s">
        <v>313</v>
      </c>
      <c r="G118" t="s">
        <v>66</v>
      </c>
      <c r="H118" s="2">
        <v>4</v>
      </c>
      <c r="I118" s="2" t="str" cm="1">
        <f t="array" ref="I118">_xlfn.XLOOKUP(F118,Customers!A117:$A$1001,Customers!B117:$B$1001,"Not Found",0)</f>
        <v>Geneva Standley</v>
      </c>
      <c r="J118" s="2" t="str" cm="1">
        <f t="array" ref="J118">IF(_xlfn.XLOOKUP(F118,Customers!A117:$A$1001,Customers!C117:$C$1001,"Not Found",0)=0,"",_xlfn.XLOOKUP(F118,Customers!A117:$A$1001,Customers!C117:$C$1001,"Not Found",0))</f>
        <v>gstandley38@dion.ne.jp</v>
      </c>
      <c r="K118" s="2" t="str" cm="1">
        <f t="array" ref="K118">_xlfn.XLOOKUP(F118,Customers!A117:$A$1001,Customers!G117:$G$1001,"Not Found",0)</f>
        <v>Ireland</v>
      </c>
      <c r="L118" t="str">
        <f>INDEX(Products!$A$1:$G$49,MATCH(Orders!$G118,Products!$A$1:$A$49,0),MATCH(Orders!L$1,Products!$A$1:$G$1,0))</f>
        <v>Lib</v>
      </c>
      <c r="M118" t="str">
        <f>INDEX(Products!$A$1:$G$49,MATCH(Orders!$G118,Products!$A$1:$A$49,0),MATCH(Orders!M$1,Products!$A$1:$G$1,0))</f>
        <v>L</v>
      </c>
      <c r="N118" s="4">
        <f>INDEX(Products!$A$1:$G$49,MATCH(Orders!$G118,Products!$A$1:$A$49,0),MATCH(Orders!N$1,Products!$A$1:$G$1,0))</f>
        <v>0.2</v>
      </c>
      <c r="O118" s="7">
        <f>INDEX(Products!$A$1:$G$49,MATCH(Orders!$G118,Products!$A$1:$A$49,0),MATCH(Orders!O$1,Products!$A$1:$G$1,0))</f>
        <v>4.7549999999999999</v>
      </c>
      <c r="P118" s="7">
        <f t="shared" si="1"/>
        <v>19.02</v>
      </c>
      <c r="Q118" t="str" cm="1">
        <f t="array" ref="Q118">_xlfn.IFS(L118="Rob","Robusta",L118="Exc", "Excelsa",L118="Ara", "Arabica",L118="Lib", "Liberica")</f>
        <v>Liberica</v>
      </c>
      <c r="R118" t="str" cm="1">
        <f t="array" ref="R118">_xlfn.IFS(M118="M","Medium",M118="L","Light",M118="D","Dark")</f>
        <v>Light</v>
      </c>
    </row>
    <row r="119" spans="1:18">
      <c r="A119" s="2" t="s">
        <v>314</v>
      </c>
      <c r="B119" s="3">
        <v>44656</v>
      </c>
      <c r="C119" s="9">
        <f>YEAR(Orders_Table[[#This Row],[Order Date]])</f>
        <v>2022</v>
      </c>
      <c r="D119" s="9">
        <f>MONTH(Orders_Table[[#This Row],[Order Date]])</f>
        <v>4</v>
      </c>
      <c r="E119" s="9" t="str" cm="1">
        <f t="array" ref="E1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19" s="2" t="s">
        <v>315</v>
      </c>
      <c r="G119" t="s">
        <v>130</v>
      </c>
      <c r="H119" s="2">
        <v>4</v>
      </c>
      <c r="I119" s="2" t="str" cm="1">
        <f t="array" ref="I119">_xlfn.XLOOKUP(F119,Customers!A118:$A$1001,Customers!B118:$B$1001,"Not Found",0)</f>
        <v>Brook Drage</v>
      </c>
      <c r="J119" s="2" t="str" cm="1">
        <f t="array" ref="J119">IF(_xlfn.XLOOKUP(F119,Customers!A118:$A$1001,Customers!C118:$C$1001,"Not Found",0)=0,"",_xlfn.XLOOKUP(F119,Customers!A118:$A$1001,Customers!C118:$C$1001,"Not Found",0))</f>
        <v>bdrage39@youku.com</v>
      </c>
      <c r="K119" s="2" t="str" cm="1">
        <f t="array" ref="K119">_xlfn.XLOOKUP(F119,Customers!A118:$A$1001,Customers!G118:$G$1001,"Not Found",0)</f>
        <v>United States</v>
      </c>
      <c r="L119" t="str">
        <f>INDEX(Products!$A$1:$G$49,MATCH(Orders!$G119,Products!$A$1:$A$49,0),MATCH(Orders!L$1,Products!$A$1:$G$1,0))</f>
        <v>Lib</v>
      </c>
      <c r="M119" t="str">
        <f>INDEX(Products!$A$1:$G$49,MATCH(Orders!$G119,Products!$A$1:$A$49,0),MATCH(Orders!M$1,Products!$A$1:$G$1,0))</f>
        <v>L</v>
      </c>
      <c r="N119" s="4">
        <f>INDEX(Products!$A$1:$G$49,MATCH(Orders!$G119,Products!$A$1:$A$49,0),MATCH(Orders!N$1,Products!$A$1:$G$1,0))</f>
        <v>0.5</v>
      </c>
      <c r="O119" s="7">
        <f>INDEX(Products!$A$1:$G$49,MATCH(Orders!$G119,Products!$A$1:$A$49,0),MATCH(Orders!O$1,Products!$A$1:$G$1,0))</f>
        <v>9.51</v>
      </c>
      <c r="P119" s="7">
        <f t="shared" si="1"/>
        <v>38.04</v>
      </c>
      <c r="Q119" t="str" cm="1">
        <f t="array" ref="Q119">_xlfn.IFS(L119="Rob","Robusta",L119="Exc", "Excelsa",L119="Ara", "Arabica",L119="Lib", "Liberica")</f>
        <v>Liberica</v>
      </c>
      <c r="R119" t="str" cm="1">
        <f t="array" ref="R119">_xlfn.IFS(M119="M","Medium",M119="L","Light",M119="D","Dark")</f>
        <v>Light</v>
      </c>
    </row>
    <row r="120" spans="1:18">
      <c r="A120" s="2" t="s">
        <v>316</v>
      </c>
      <c r="B120" s="3">
        <v>43760</v>
      </c>
      <c r="C120" s="9">
        <f>YEAR(Orders_Table[[#This Row],[Order Date]])</f>
        <v>2019</v>
      </c>
      <c r="D120" s="9">
        <f>MONTH(Orders_Table[[#This Row],[Order Date]])</f>
        <v>10</v>
      </c>
      <c r="E120" s="9" t="str" cm="1">
        <f t="array" ref="E1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20" s="2" t="s">
        <v>317</v>
      </c>
      <c r="G120" t="s">
        <v>63</v>
      </c>
      <c r="H120" s="2">
        <v>3</v>
      </c>
      <c r="I120" s="2" t="str" cm="1">
        <f t="array" ref="I120">_xlfn.XLOOKUP(F120,Customers!A119:$A$1001,Customers!B119:$B$1001,"Not Found",0)</f>
        <v>Muffin Yallop</v>
      </c>
      <c r="J120" s="2" t="str" cm="1">
        <f t="array" ref="J120">IF(_xlfn.XLOOKUP(F120,Customers!A119:$A$1001,Customers!C119:$C$1001,"Not Found",0)=0,"",_xlfn.XLOOKUP(F120,Customers!A119:$A$1001,Customers!C119:$C$1001,"Not Found",0))</f>
        <v>myallop3a@fema.gov</v>
      </c>
      <c r="K120" s="2" t="str" cm="1">
        <f t="array" ref="K120">_xlfn.XLOOKUP(F120,Customers!A119:$A$1001,Customers!G119:$G$1001,"Not Found",0)</f>
        <v>United States</v>
      </c>
      <c r="L120" t="str">
        <f>INDEX(Products!$A$1:$G$49,MATCH(Orders!$G120,Products!$A$1:$A$49,0),MATCH(Orders!L$1,Products!$A$1:$G$1,0))</f>
        <v>Exc</v>
      </c>
      <c r="M120" t="str">
        <f>INDEX(Products!$A$1:$G$49,MATCH(Orders!$G120,Products!$A$1:$A$49,0),MATCH(Orders!M$1,Products!$A$1:$G$1,0))</f>
        <v>D</v>
      </c>
      <c r="N120" s="4">
        <f>INDEX(Products!$A$1:$G$49,MATCH(Orders!$G120,Products!$A$1:$A$49,0),MATCH(Orders!N$1,Products!$A$1:$G$1,0))</f>
        <v>0.5</v>
      </c>
      <c r="O120" s="7">
        <f>INDEX(Products!$A$1:$G$49,MATCH(Orders!$G120,Products!$A$1:$A$49,0),MATCH(Orders!O$1,Products!$A$1:$G$1,0))</f>
        <v>7.29</v>
      </c>
      <c r="P120" s="7">
        <f t="shared" si="1"/>
        <v>21.87</v>
      </c>
      <c r="Q120" t="str" cm="1">
        <f t="array" ref="Q120">_xlfn.IFS(L120="Rob","Robusta",L120="Exc", "Excelsa",L120="Ara", "Arabica",L120="Lib", "Liberica")</f>
        <v>Excelsa</v>
      </c>
      <c r="R120" t="str" cm="1">
        <f t="array" ref="R120">_xlfn.IFS(M120="M","Medium",M120="L","Light",M120="D","Dark")</f>
        <v>Dark</v>
      </c>
    </row>
    <row r="121" spans="1:18">
      <c r="A121" s="2" t="s">
        <v>318</v>
      </c>
      <c r="B121" s="3">
        <v>44471</v>
      </c>
      <c r="C121" s="9">
        <f>YEAR(Orders_Table[[#This Row],[Order Date]])</f>
        <v>2021</v>
      </c>
      <c r="D121" s="9">
        <f>MONTH(Orders_Table[[#This Row],[Order Date]])</f>
        <v>10</v>
      </c>
      <c r="E121" s="9" t="str" cm="1">
        <f t="array" ref="E1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21" s="2" t="s">
        <v>319</v>
      </c>
      <c r="G121" t="s">
        <v>111</v>
      </c>
      <c r="H121" s="2">
        <v>1</v>
      </c>
      <c r="I121" s="2" t="str" cm="1">
        <f t="array" ref="I121">_xlfn.XLOOKUP(F121,Customers!A120:$A$1001,Customers!B120:$B$1001,"Not Found",0)</f>
        <v>Cordi Switsur</v>
      </c>
      <c r="J121" s="2" t="str" cm="1">
        <f t="array" ref="J121">IF(_xlfn.XLOOKUP(F121,Customers!A120:$A$1001,Customers!C120:$C$1001,"Not Found",0)=0,"",_xlfn.XLOOKUP(F121,Customers!A120:$A$1001,Customers!C120:$C$1001,"Not Found",0))</f>
        <v>cswitsur3b@chronoengine.com</v>
      </c>
      <c r="K121" s="2" t="str" cm="1">
        <f t="array" ref="K121">_xlfn.XLOOKUP(F121,Customers!A120:$A$1001,Customers!G120:$G$1001,"Not Found",0)</f>
        <v>United States</v>
      </c>
      <c r="L121" t="str">
        <f>INDEX(Products!$A$1:$G$49,MATCH(Orders!$G121,Products!$A$1:$A$49,0),MATCH(Orders!L$1,Products!$A$1:$G$1,0))</f>
        <v>Exc</v>
      </c>
      <c r="M121" t="str">
        <f>INDEX(Products!$A$1:$G$49,MATCH(Orders!$G121,Products!$A$1:$A$49,0),MATCH(Orders!M$1,Products!$A$1:$G$1,0))</f>
        <v>M</v>
      </c>
      <c r="N121" s="4">
        <f>INDEX(Products!$A$1:$G$49,MATCH(Orders!$G121,Products!$A$1:$A$49,0),MATCH(Orders!N$1,Products!$A$1:$G$1,0))</f>
        <v>0.2</v>
      </c>
      <c r="O121" s="7">
        <f>INDEX(Products!$A$1:$G$49,MATCH(Orders!$G121,Products!$A$1:$A$49,0),MATCH(Orders!O$1,Products!$A$1:$G$1,0))</f>
        <v>4.125</v>
      </c>
      <c r="P121" s="7">
        <f t="shared" si="1"/>
        <v>4.125</v>
      </c>
      <c r="Q121" t="str" cm="1">
        <f t="array" ref="Q121">_xlfn.IFS(L121="Rob","Robusta",L121="Exc", "Excelsa",L121="Ara", "Arabica",L121="Lib", "Liberica")</f>
        <v>Excelsa</v>
      </c>
      <c r="R121" t="str" cm="1">
        <f t="array" ref="R121">_xlfn.IFS(M121="M","Medium",M121="L","Light",M121="D","Dark")</f>
        <v>Medium</v>
      </c>
    </row>
    <row r="122" spans="1:18">
      <c r="A122" s="2" t="s">
        <v>318</v>
      </c>
      <c r="B122" s="3">
        <v>44471</v>
      </c>
      <c r="C122" s="9">
        <f>YEAR(Orders_Table[[#This Row],[Order Date]])</f>
        <v>2021</v>
      </c>
      <c r="D122" s="9">
        <f>MONTH(Orders_Table[[#This Row],[Order Date]])</f>
        <v>10</v>
      </c>
      <c r="E122" s="9" t="str" cm="1">
        <f t="array" ref="E1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22" s="2" t="s">
        <v>319</v>
      </c>
      <c r="G122" t="s">
        <v>162</v>
      </c>
      <c r="H122" s="2">
        <v>1</v>
      </c>
      <c r="I122" s="2" t="str" cm="1">
        <f t="array" ref="I122">_xlfn.XLOOKUP(F122,Customers!A121:$A$1001,Customers!B121:$B$1001,"Not Found",0)</f>
        <v>Cordi Switsur</v>
      </c>
      <c r="J122" s="2" t="str" cm="1">
        <f t="array" ref="J122">IF(_xlfn.XLOOKUP(F122,Customers!A121:$A$1001,Customers!C121:$C$1001,"Not Found",0)=0,"",_xlfn.XLOOKUP(F122,Customers!A121:$A$1001,Customers!C121:$C$1001,"Not Found",0))</f>
        <v>cswitsur3b@chronoengine.com</v>
      </c>
      <c r="K122" s="2" t="str" cm="1">
        <f t="array" ref="K122">_xlfn.XLOOKUP(F122,Customers!A121:$A$1001,Customers!G121:$G$1001,"Not Found",0)</f>
        <v>United States</v>
      </c>
      <c r="L122" t="str">
        <f>INDEX(Products!$A$1:$G$49,MATCH(Orders!$G122,Products!$A$1:$A$49,0),MATCH(Orders!L$1,Products!$A$1:$G$1,0))</f>
        <v>Ara</v>
      </c>
      <c r="M122" t="str">
        <f>INDEX(Products!$A$1:$G$49,MATCH(Orders!$G122,Products!$A$1:$A$49,0),MATCH(Orders!M$1,Products!$A$1:$G$1,0))</f>
        <v>L</v>
      </c>
      <c r="N122" s="4">
        <f>INDEX(Products!$A$1:$G$49,MATCH(Orders!$G122,Products!$A$1:$A$49,0),MATCH(Orders!N$1,Products!$A$1:$G$1,0))</f>
        <v>0.2</v>
      </c>
      <c r="O122" s="7">
        <f>INDEX(Products!$A$1:$G$49,MATCH(Orders!$G122,Products!$A$1:$A$49,0),MATCH(Orders!O$1,Products!$A$1:$G$1,0))</f>
        <v>3.8849999999999998</v>
      </c>
      <c r="P122" s="7">
        <f t="shared" si="1"/>
        <v>3.8849999999999998</v>
      </c>
      <c r="Q122" t="str" cm="1">
        <f t="array" ref="Q122">_xlfn.IFS(L122="Rob","Robusta",L122="Exc", "Excelsa",L122="Ara", "Arabica",L122="Lib", "Liberica")</f>
        <v>Arabica</v>
      </c>
      <c r="R122" t="str" cm="1">
        <f t="array" ref="R122">_xlfn.IFS(M122="M","Medium",M122="L","Light",M122="D","Dark")</f>
        <v>Light</v>
      </c>
    </row>
    <row r="123" spans="1:18">
      <c r="A123" s="2" t="s">
        <v>318</v>
      </c>
      <c r="B123" s="3">
        <v>44471</v>
      </c>
      <c r="C123" s="9">
        <f>YEAR(Orders_Table[[#This Row],[Order Date]])</f>
        <v>2021</v>
      </c>
      <c r="D123" s="9">
        <f>MONTH(Orders_Table[[#This Row],[Order Date]])</f>
        <v>10</v>
      </c>
      <c r="E123" s="9" t="str" cm="1">
        <f t="array" ref="E1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23" s="2" t="s">
        <v>319</v>
      </c>
      <c r="G123" t="s">
        <v>56</v>
      </c>
      <c r="H123" s="2">
        <v>5</v>
      </c>
      <c r="I123" s="2" t="str" cm="1">
        <f t="array" ref="I123">_xlfn.XLOOKUP(F123,Customers!A122:$A$1001,Customers!B122:$B$1001,"Not Found",0)</f>
        <v>Not Found</v>
      </c>
      <c r="J123" s="2" t="str" cm="1">
        <f t="array" ref="J123">IF(_xlfn.XLOOKUP(F123,Customers!A122:$A$1001,Customers!C122:$C$1001,"Not Found",0)=0,"",_xlfn.XLOOKUP(F123,Customers!A122:$A$1001,Customers!C122:$C$1001,"Not Found",0))</f>
        <v>Not Found</v>
      </c>
      <c r="K123" s="2" t="str" cm="1">
        <f t="array" ref="K123">_xlfn.XLOOKUP(F123,Customers!A122:$A$1001,Customers!G122:$G$1001,"Not Found",0)</f>
        <v>Not Found</v>
      </c>
      <c r="L123" t="str">
        <f>INDEX(Products!$A$1:$G$49,MATCH(Orders!$G123,Products!$A$1:$A$49,0),MATCH(Orders!L$1,Products!$A$1:$G$1,0))</f>
        <v>Exc</v>
      </c>
      <c r="M123" t="str">
        <f>INDEX(Products!$A$1:$G$49,MATCH(Orders!$G123,Products!$A$1:$A$49,0),MATCH(Orders!M$1,Products!$A$1:$G$1,0))</f>
        <v>M</v>
      </c>
      <c r="N123" s="4">
        <f>INDEX(Products!$A$1:$G$49,MATCH(Orders!$G123,Products!$A$1:$A$49,0),MATCH(Orders!N$1,Products!$A$1:$G$1,0))</f>
        <v>1</v>
      </c>
      <c r="O123" s="7">
        <f>INDEX(Products!$A$1:$G$49,MATCH(Orders!$G123,Products!$A$1:$A$49,0),MATCH(Orders!O$1,Products!$A$1:$G$1,0))</f>
        <v>13.75</v>
      </c>
      <c r="P123" s="7">
        <f t="shared" si="1"/>
        <v>68.75</v>
      </c>
      <c r="Q123" t="str" cm="1">
        <f t="array" ref="Q123">_xlfn.IFS(L123="Rob","Robusta",L123="Exc", "Excelsa",L123="Ara", "Arabica",L123="Lib", "Liberica")</f>
        <v>Excelsa</v>
      </c>
      <c r="R123" t="str" cm="1">
        <f t="array" ref="R123">_xlfn.IFS(M123="M","Medium",M123="L","Light",M123="D","Dark")</f>
        <v>Medium</v>
      </c>
    </row>
    <row r="124" spans="1:18">
      <c r="A124" s="2" t="s">
        <v>320</v>
      </c>
      <c r="B124" s="3">
        <v>44268</v>
      </c>
      <c r="C124" s="9">
        <f>YEAR(Orders_Table[[#This Row],[Order Date]])</f>
        <v>2021</v>
      </c>
      <c r="D124" s="9">
        <f>MONTH(Orders_Table[[#This Row],[Order Date]])</f>
        <v>3</v>
      </c>
      <c r="E124" s="9" t="str" cm="1">
        <f t="array" ref="E1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24" s="2" t="s">
        <v>321</v>
      </c>
      <c r="G124" t="s">
        <v>119</v>
      </c>
      <c r="H124" s="2">
        <v>4</v>
      </c>
      <c r="I124" s="2" t="str" cm="1">
        <f t="array" ref="I124">_xlfn.XLOOKUP(F124,Customers!A123:$A$1001,Customers!B123:$B$1001,"Not Found",0)</f>
        <v>Mahala Ludwell</v>
      </c>
      <c r="J124" s="2" t="str" cm="1">
        <f t="array" ref="J124">IF(_xlfn.XLOOKUP(F124,Customers!A123:$A$1001,Customers!C123:$C$1001,"Not Found",0)=0,"",_xlfn.XLOOKUP(F124,Customers!A123:$A$1001,Customers!C123:$C$1001,"Not Found",0))</f>
        <v>mludwell3e@blogger.com</v>
      </c>
      <c r="K124" s="2" t="str" cm="1">
        <f t="array" ref="K124">_xlfn.XLOOKUP(F124,Customers!A123:$A$1001,Customers!G123:$G$1001,"Not Found",0)</f>
        <v>United States</v>
      </c>
      <c r="L124" t="str">
        <f>INDEX(Products!$A$1:$G$49,MATCH(Orders!$G124,Products!$A$1:$A$49,0),MATCH(Orders!L$1,Products!$A$1:$G$1,0))</f>
        <v>Ara</v>
      </c>
      <c r="M124" t="str">
        <f>INDEX(Products!$A$1:$G$49,MATCH(Orders!$G124,Products!$A$1:$A$49,0),MATCH(Orders!M$1,Products!$A$1:$G$1,0))</f>
        <v>D</v>
      </c>
      <c r="N124" s="4">
        <f>INDEX(Products!$A$1:$G$49,MATCH(Orders!$G124,Products!$A$1:$A$49,0),MATCH(Orders!N$1,Products!$A$1:$G$1,0))</f>
        <v>0.5</v>
      </c>
      <c r="O124" s="7">
        <f>INDEX(Products!$A$1:$G$49,MATCH(Orders!$G124,Products!$A$1:$A$49,0),MATCH(Orders!O$1,Products!$A$1:$G$1,0))</f>
        <v>5.97</v>
      </c>
      <c r="P124" s="7">
        <f t="shared" si="1"/>
        <v>23.88</v>
      </c>
      <c r="Q124" t="str" cm="1">
        <f t="array" ref="Q124">_xlfn.IFS(L124="Rob","Robusta",L124="Exc", "Excelsa",L124="Ara", "Arabica",L124="Lib", "Liberica")</f>
        <v>Arabica</v>
      </c>
      <c r="R124" t="str" cm="1">
        <f t="array" ref="R124">_xlfn.IFS(M124="M","Medium",M124="L","Light",M124="D","Dark")</f>
        <v>Dark</v>
      </c>
    </row>
    <row r="125" spans="1:18">
      <c r="A125" s="2" t="s">
        <v>322</v>
      </c>
      <c r="B125" s="3">
        <v>44724</v>
      </c>
      <c r="C125" s="9">
        <f>YEAR(Orders_Table[[#This Row],[Order Date]])</f>
        <v>2022</v>
      </c>
      <c r="D125" s="9">
        <f>MONTH(Orders_Table[[#This Row],[Order Date]])</f>
        <v>6</v>
      </c>
      <c r="E125" s="9" t="str" cm="1">
        <f t="array" ref="E1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25" s="2" t="s">
        <v>323</v>
      </c>
      <c r="G125" t="s">
        <v>151</v>
      </c>
      <c r="H125" s="2">
        <v>4</v>
      </c>
      <c r="I125" s="2" t="str" cm="1">
        <f t="array" ref="I125">_xlfn.XLOOKUP(F125,Customers!A124:$A$1001,Customers!B124:$B$1001,"Not Found",0)</f>
        <v>Doll Beauchamp</v>
      </c>
      <c r="J125" s="2" t="str" cm="1">
        <f t="array" ref="J125">IF(_xlfn.XLOOKUP(F125,Customers!A124:$A$1001,Customers!C124:$C$1001,"Not Found",0)=0,"",_xlfn.XLOOKUP(F125,Customers!A124:$A$1001,Customers!C124:$C$1001,"Not Found",0))</f>
        <v>dbeauchamp3f@usda.gov</v>
      </c>
      <c r="K125" s="2" t="str" cm="1">
        <f t="array" ref="K125">_xlfn.XLOOKUP(F125,Customers!A124:$A$1001,Customers!G124:$G$1001,"Not Found",0)</f>
        <v>United States</v>
      </c>
      <c r="L125" t="str">
        <f>INDEX(Products!$A$1:$G$49,MATCH(Orders!$G125,Products!$A$1:$A$49,0),MATCH(Orders!L$1,Products!$A$1:$G$1,0))</f>
        <v>Lib</v>
      </c>
      <c r="M125" t="str">
        <f>INDEX(Products!$A$1:$G$49,MATCH(Orders!$G125,Products!$A$1:$A$49,0),MATCH(Orders!M$1,Products!$A$1:$G$1,0))</f>
        <v>L</v>
      </c>
      <c r="N125" s="4">
        <f>INDEX(Products!$A$1:$G$49,MATCH(Orders!$G125,Products!$A$1:$A$49,0),MATCH(Orders!N$1,Products!$A$1:$G$1,0))</f>
        <v>2.5</v>
      </c>
      <c r="O125" s="7">
        <f>INDEX(Products!$A$1:$G$49,MATCH(Orders!$G125,Products!$A$1:$A$49,0),MATCH(Orders!O$1,Products!$A$1:$G$1,0))</f>
        <v>36.454999999999998</v>
      </c>
      <c r="P125" s="7">
        <f t="shared" si="1"/>
        <v>145.82</v>
      </c>
      <c r="Q125" t="str" cm="1">
        <f t="array" ref="Q125">_xlfn.IFS(L125="Rob","Robusta",L125="Exc", "Excelsa",L125="Ara", "Arabica",L125="Lib", "Liberica")</f>
        <v>Liberica</v>
      </c>
      <c r="R125" t="str" cm="1">
        <f t="array" ref="R125">_xlfn.IFS(M125="M","Medium",M125="L","Light",M125="D","Dark")</f>
        <v>Light</v>
      </c>
    </row>
    <row r="126" spans="1:18">
      <c r="A126" s="2" t="s">
        <v>324</v>
      </c>
      <c r="B126" s="3">
        <v>43582</v>
      </c>
      <c r="C126" s="9">
        <f>YEAR(Orders_Table[[#This Row],[Order Date]])</f>
        <v>2019</v>
      </c>
      <c r="D126" s="9">
        <f>MONTH(Orders_Table[[#This Row],[Order Date]])</f>
        <v>4</v>
      </c>
      <c r="E126" s="9" t="str" cm="1">
        <f t="array" ref="E1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26" s="2" t="s">
        <v>325</v>
      </c>
      <c r="G126" t="s">
        <v>124</v>
      </c>
      <c r="H126" s="2">
        <v>5</v>
      </c>
      <c r="I126" s="2" t="str" cm="1">
        <f t="array" ref="I126">_xlfn.XLOOKUP(F126,Customers!A125:$A$1001,Customers!B125:$B$1001,"Not Found",0)</f>
        <v>Stanford Rodliff</v>
      </c>
      <c r="J126" s="2" t="str" cm="1">
        <f t="array" ref="J126">IF(_xlfn.XLOOKUP(F126,Customers!A125:$A$1001,Customers!C125:$C$1001,"Not Found",0)=0,"",_xlfn.XLOOKUP(F126,Customers!A125:$A$1001,Customers!C125:$C$1001,"Not Found",0))</f>
        <v>srodliff3g@ted.com</v>
      </c>
      <c r="K126" s="2" t="str" cm="1">
        <f t="array" ref="K126">_xlfn.XLOOKUP(F126,Customers!A125:$A$1001,Customers!G125:$G$1001,"Not Found",0)</f>
        <v>United States</v>
      </c>
      <c r="L126" t="str">
        <f>INDEX(Products!$A$1:$G$49,MATCH(Orders!$G126,Products!$A$1:$A$49,0),MATCH(Orders!L$1,Products!$A$1:$G$1,0))</f>
        <v>Lib</v>
      </c>
      <c r="M126" t="str">
        <f>INDEX(Products!$A$1:$G$49,MATCH(Orders!$G126,Products!$A$1:$A$49,0),MATCH(Orders!M$1,Products!$A$1:$G$1,0))</f>
        <v>M</v>
      </c>
      <c r="N126" s="4">
        <f>INDEX(Products!$A$1:$G$49,MATCH(Orders!$G126,Products!$A$1:$A$49,0),MATCH(Orders!N$1,Products!$A$1:$G$1,0))</f>
        <v>0.2</v>
      </c>
      <c r="O126" s="7">
        <f>INDEX(Products!$A$1:$G$49,MATCH(Orders!$G126,Products!$A$1:$A$49,0),MATCH(Orders!O$1,Products!$A$1:$G$1,0))</f>
        <v>4.3650000000000002</v>
      </c>
      <c r="P126" s="7">
        <f t="shared" si="1"/>
        <v>21.825000000000003</v>
      </c>
      <c r="Q126" t="str" cm="1">
        <f t="array" ref="Q126">_xlfn.IFS(L126="Rob","Robusta",L126="Exc", "Excelsa",L126="Ara", "Arabica",L126="Lib", "Liberica")</f>
        <v>Liberica</v>
      </c>
      <c r="R126" t="str" cm="1">
        <f t="array" ref="R126">_xlfn.IFS(M126="M","Medium",M126="L","Light",M126="D","Dark")</f>
        <v>Medium</v>
      </c>
    </row>
    <row r="127" spans="1:18">
      <c r="A127" s="2" t="s">
        <v>326</v>
      </c>
      <c r="B127" s="3">
        <v>43608</v>
      </c>
      <c r="C127" s="9">
        <f>YEAR(Orders_Table[[#This Row],[Order Date]])</f>
        <v>2019</v>
      </c>
      <c r="D127" s="9">
        <f>MONTH(Orders_Table[[#This Row],[Order Date]])</f>
        <v>5</v>
      </c>
      <c r="E127" s="9" t="str" cm="1">
        <f t="array" ref="E1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27" s="2" t="s">
        <v>327</v>
      </c>
      <c r="G127" t="s">
        <v>125</v>
      </c>
      <c r="H127" s="2">
        <v>3</v>
      </c>
      <c r="I127" s="2" t="str" cm="1">
        <f t="array" ref="I127">_xlfn.XLOOKUP(F127,Customers!A126:$A$1001,Customers!B126:$B$1001,"Not Found",0)</f>
        <v>Stevana Woodham</v>
      </c>
      <c r="J127" s="2" t="str" cm="1">
        <f t="array" ref="J127">IF(_xlfn.XLOOKUP(F127,Customers!A126:$A$1001,Customers!C126:$C$1001,"Not Found",0)=0,"",_xlfn.XLOOKUP(F127,Customers!A126:$A$1001,Customers!C126:$C$1001,"Not Found",0))</f>
        <v>swoodham3h@businesswire.com</v>
      </c>
      <c r="K127" s="2" t="str" cm="1">
        <f t="array" ref="K127">_xlfn.XLOOKUP(F127,Customers!A126:$A$1001,Customers!G126:$G$1001,"Not Found",0)</f>
        <v>Ireland</v>
      </c>
      <c r="L127" t="str">
        <f>INDEX(Products!$A$1:$G$49,MATCH(Orders!$G127,Products!$A$1:$A$49,0),MATCH(Orders!L$1,Products!$A$1:$G$1,0))</f>
        <v>Lib</v>
      </c>
      <c r="M127" t="str">
        <f>INDEX(Products!$A$1:$G$49,MATCH(Orders!$G127,Products!$A$1:$A$49,0),MATCH(Orders!M$1,Products!$A$1:$G$1,0))</f>
        <v>M</v>
      </c>
      <c r="N127" s="4">
        <f>INDEX(Products!$A$1:$G$49,MATCH(Orders!$G127,Products!$A$1:$A$49,0),MATCH(Orders!N$1,Products!$A$1:$G$1,0))</f>
        <v>0.5</v>
      </c>
      <c r="O127" s="7">
        <f>INDEX(Products!$A$1:$G$49,MATCH(Orders!$G127,Products!$A$1:$A$49,0),MATCH(Orders!O$1,Products!$A$1:$G$1,0))</f>
        <v>8.73</v>
      </c>
      <c r="P127" s="7">
        <f t="shared" si="1"/>
        <v>26.19</v>
      </c>
      <c r="Q127" t="str" cm="1">
        <f t="array" ref="Q127">_xlfn.IFS(L127="Rob","Robusta",L127="Exc", "Excelsa",L127="Ara", "Arabica",L127="Lib", "Liberica")</f>
        <v>Liberica</v>
      </c>
      <c r="R127" t="str" cm="1">
        <f t="array" ref="R127">_xlfn.IFS(M127="M","Medium",M127="L","Light",M127="D","Dark")</f>
        <v>Medium</v>
      </c>
    </row>
    <row r="128" spans="1:18">
      <c r="A128" s="2" t="s">
        <v>328</v>
      </c>
      <c r="B128" s="3">
        <v>44026</v>
      </c>
      <c r="C128" s="9">
        <f>YEAR(Orders_Table[[#This Row],[Order Date]])</f>
        <v>2020</v>
      </c>
      <c r="D128" s="9">
        <f>MONTH(Orders_Table[[#This Row],[Order Date]])</f>
        <v>7</v>
      </c>
      <c r="E128" s="9" t="str" cm="1">
        <f t="array" ref="E1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28" s="2" t="s">
        <v>329</v>
      </c>
      <c r="G128" t="s">
        <v>108</v>
      </c>
      <c r="H128" s="2">
        <v>1</v>
      </c>
      <c r="I128" s="2" t="str" cm="1">
        <f t="array" ref="I128">_xlfn.XLOOKUP(F128,Customers!A127:$A$1001,Customers!B127:$B$1001,"Not Found",0)</f>
        <v>Hewet Synnot</v>
      </c>
      <c r="J128" s="2" t="str" cm="1">
        <f t="array" ref="J128">IF(_xlfn.XLOOKUP(F128,Customers!A127:$A$1001,Customers!C127:$C$1001,"Not Found",0)=0,"",_xlfn.XLOOKUP(F128,Customers!A127:$A$1001,Customers!C127:$C$1001,"Not Found",0))</f>
        <v>hsynnot3i@about.com</v>
      </c>
      <c r="K128" s="2" t="str" cm="1">
        <f t="array" ref="K128">_xlfn.XLOOKUP(F128,Customers!A127:$A$1001,Customers!G127:$G$1001,"Not Found",0)</f>
        <v>United States</v>
      </c>
      <c r="L128" t="str">
        <f>INDEX(Products!$A$1:$G$49,MATCH(Orders!$G128,Products!$A$1:$A$49,0),MATCH(Orders!L$1,Products!$A$1:$G$1,0))</f>
        <v>Ara</v>
      </c>
      <c r="M128" t="str">
        <f>INDEX(Products!$A$1:$G$49,MATCH(Orders!$G128,Products!$A$1:$A$49,0),MATCH(Orders!M$1,Products!$A$1:$G$1,0))</f>
        <v>M</v>
      </c>
      <c r="N128" s="4">
        <f>INDEX(Products!$A$1:$G$49,MATCH(Orders!$G128,Products!$A$1:$A$49,0),MATCH(Orders!N$1,Products!$A$1:$G$1,0))</f>
        <v>1</v>
      </c>
      <c r="O128" s="7">
        <f>INDEX(Products!$A$1:$G$49,MATCH(Orders!$G128,Products!$A$1:$A$49,0),MATCH(Orders!O$1,Products!$A$1:$G$1,0))</f>
        <v>11.25</v>
      </c>
      <c r="P128" s="7">
        <f t="shared" si="1"/>
        <v>11.25</v>
      </c>
      <c r="Q128" t="str" cm="1">
        <f t="array" ref="Q128">_xlfn.IFS(L128="Rob","Robusta",L128="Exc", "Excelsa",L128="Ara", "Arabica",L128="Lib", "Liberica")</f>
        <v>Arabica</v>
      </c>
      <c r="R128" t="str" cm="1">
        <f t="array" ref="R128">_xlfn.IFS(M128="M","Medium",M128="L","Light",M128="D","Dark")</f>
        <v>Medium</v>
      </c>
    </row>
    <row r="129" spans="1:18">
      <c r="A129" s="2" t="s">
        <v>330</v>
      </c>
      <c r="B129" s="3">
        <v>44510</v>
      </c>
      <c r="C129" s="9">
        <f>YEAR(Orders_Table[[#This Row],[Order Date]])</f>
        <v>2021</v>
      </c>
      <c r="D129" s="9">
        <f>MONTH(Orders_Table[[#This Row],[Order Date]])</f>
        <v>11</v>
      </c>
      <c r="E129" s="9" t="str" cm="1">
        <f t="array" ref="E1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129" s="2" t="s">
        <v>331</v>
      </c>
      <c r="G129" t="s">
        <v>60</v>
      </c>
      <c r="H129" s="2">
        <v>6</v>
      </c>
      <c r="I129" s="2" t="str" cm="1">
        <f t="array" ref="I129">_xlfn.XLOOKUP(F129,Customers!A128:$A$1001,Customers!B128:$B$1001,"Not Found",0)</f>
        <v>Raleigh Lepere</v>
      </c>
      <c r="J129" s="2" t="str" cm="1">
        <f t="array" ref="J129">IF(_xlfn.XLOOKUP(F129,Customers!A128:$A$1001,Customers!C128:$C$1001,"Not Found",0)=0,"",_xlfn.XLOOKUP(F129,Customers!A128:$A$1001,Customers!C128:$C$1001,"Not Found",0))</f>
        <v>rlepere3j@shop-pro.jp</v>
      </c>
      <c r="K129" s="2" t="str" cm="1">
        <f t="array" ref="K129">_xlfn.XLOOKUP(F129,Customers!A128:$A$1001,Customers!G128:$G$1001,"Not Found",0)</f>
        <v>Ireland</v>
      </c>
      <c r="L129" t="str">
        <f>INDEX(Products!$A$1:$G$49,MATCH(Orders!$G129,Products!$A$1:$A$49,0),MATCH(Orders!L$1,Products!$A$1:$G$1,0))</f>
        <v>Lib</v>
      </c>
      <c r="M129" t="str">
        <f>INDEX(Products!$A$1:$G$49,MATCH(Orders!$G129,Products!$A$1:$A$49,0),MATCH(Orders!M$1,Products!$A$1:$G$1,0))</f>
        <v>D</v>
      </c>
      <c r="N129" s="4">
        <f>INDEX(Products!$A$1:$G$49,MATCH(Orders!$G129,Products!$A$1:$A$49,0),MATCH(Orders!N$1,Products!$A$1:$G$1,0))</f>
        <v>1</v>
      </c>
      <c r="O129" s="7">
        <f>INDEX(Products!$A$1:$G$49,MATCH(Orders!$G129,Products!$A$1:$A$49,0),MATCH(Orders!O$1,Products!$A$1:$G$1,0))</f>
        <v>12.95</v>
      </c>
      <c r="P129" s="7">
        <f t="shared" si="1"/>
        <v>77.699999999999989</v>
      </c>
      <c r="Q129" t="str" cm="1">
        <f t="array" ref="Q129">_xlfn.IFS(L129="Rob","Robusta",L129="Exc", "Excelsa",L129="Ara", "Arabica",L129="Lib", "Liberica")</f>
        <v>Liberica</v>
      </c>
      <c r="R129" t="str" cm="1">
        <f t="array" ref="R129">_xlfn.IFS(M129="M","Medium",M129="L","Light",M129="D","Dark")</f>
        <v>Dark</v>
      </c>
    </row>
    <row r="130" spans="1:18">
      <c r="A130" s="2" t="s">
        <v>332</v>
      </c>
      <c r="B130" s="3">
        <v>44439</v>
      </c>
      <c r="C130" s="9">
        <f>YEAR(Orders_Table[[#This Row],[Order Date]])</f>
        <v>2021</v>
      </c>
      <c r="D130" s="9">
        <f>MONTH(Orders_Table[[#This Row],[Order Date]])</f>
        <v>8</v>
      </c>
      <c r="E130" s="9" t="str" cm="1">
        <f t="array" ref="E1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30" s="2" t="s">
        <v>333</v>
      </c>
      <c r="G130" t="s">
        <v>114</v>
      </c>
      <c r="H130" s="2">
        <v>1</v>
      </c>
      <c r="I130" s="2" t="str" cm="1">
        <f t="array" ref="I130">_xlfn.XLOOKUP(F130,Customers!A129:$A$1001,Customers!B129:$B$1001,"Not Found",0)</f>
        <v>Timofei Woofinden</v>
      </c>
      <c r="J130" s="2" t="str" cm="1">
        <f t="array" ref="J130">IF(_xlfn.XLOOKUP(F130,Customers!A129:$A$1001,Customers!C129:$C$1001,"Not Found",0)=0,"",_xlfn.XLOOKUP(F130,Customers!A129:$A$1001,Customers!C129:$C$1001,"Not Found",0))</f>
        <v>twoofinden3k@businesswire.com</v>
      </c>
      <c r="K130" s="2" t="str" cm="1">
        <f t="array" ref="K130">_xlfn.XLOOKUP(F130,Customers!A129:$A$1001,Customers!G129:$G$1001,"Not Found",0)</f>
        <v>United States</v>
      </c>
      <c r="L130" t="str">
        <f>INDEX(Products!$A$1:$G$49,MATCH(Orders!$G130,Products!$A$1:$A$49,0),MATCH(Orders!L$1,Products!$A$1:$G$1,0))</f>
        <v>Ara</v>
      </c>
      <c r="M130" t="str">
        <f>INDEX(Products!$A$1:$G$49,MATCH(Orders!$G130,Products!$A$1:$A$49,0),MATCH(Orders!M$1,Products!$A$1:$G$1,0))</f>
        <v>M</v>
      </c>
      <c r="N130" s="4">
        <f>INDEX(Products!$A$1:$G$49,MATCH(Orders!$G130,Products!$A$1:$A$49,0),MATCH(Orders!N$1,Products!$A$1:$G$1,0))</f>
        <v>0.5</v>
      </c>
      <c r="O130" s="7">
        <f>INDEX(Products!$A$1:$G$49,MATCH(Orders!$G130,Products!$A$1:$A$49,0),MATCH(Orders!O$1,Products!$A$1:$G$1,0))</f>
        <v>6.75</v>
      </c>
      <c r="P130" s="7">
        <f t="shared" si="1"/>
        <v>6.75</v>
      </c>
      <c r="Q130" t="str" cm="1">
        <f t="array" ref="Q130">_xlfn.IFS(L130="Rob","Robusta",L130="Exc", "Excelsa",L130="Ara", "Arabica",L130="Lib", "Liberica")</f>
        <v>Arabica</v>
      </c>
      <c r="R130" t="str" cm="1">
        <f t="array" ref="R130">_xlfn.IFS(M130="M","Medium",M130="L","Light",M130="D","Dark")</f>
        <v>Medium</v>
      </c>
    </row>
    <row r="131" spans="1:18">
      <c r="A131" s="2" t="s">
        <v>334</v>
      </c>
      <c r="B131" s="3">
        <v>43652</v>
      </c>
      <c r="C131" s="9">
        <f>YEAR(Orders_Table[[#This Row],[Order Date]])</f>
        <v>2019</v>
      </c>
      <c r="D131" s="9">
        <f>MONTH(Orders_Table[[#This Row],[Order Date]])</f>
        <v>7</v>
      </c>
      <c r="E131" s="9" t="str" cm="1">
        <f t="array" ref="E1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31" s="2" t="s">
        <v>335</v>
      </c>
      <c r="G131" t="s">
        <v>292</v>
      </c>
      <c r="H131" s="2">
        <v>1</v>
      </c>
      <c r="I131" s="2" t="str" cm="1">
        <f t="array" ref="I131">_xlfn.XLOOKUP(F131,Customers!A130:$A$1001,Customers!B130:$B$1001,"Not Found",0)</f>
        <v>Evelina Dacca</v>
      </c>
      <c r="J131" s="2" t="str" cm="1">
        <f t="array" ref="J131">IF(_xlfn.XLOOKUP(F131,Customers!A130:$A$1001,Customers!C130:$C$1001,"Not Found",0)=0,"",_xlfn.XLOOKUP(F131,Customers!A130:$A$1001,Customers!C130:$C$1001,"Not Found",0))</f>
        <v>edacca3l@google.pl</v>
      </c>
      <c r="K131" s="2" t="str" cm="1">
        <f t="array" ref="K131">_xlfn.XLOOKUP(F131,Customers!A130:$A$1001,Customers!G130:$G$1001,"Not Found",0)</f>
        <v>United States</v>
      </c>
      <c r="L131" t="str">
        <f>INDEX(Products!$A$1:$G$49,MATCH(Orders!$G131,Products!$A$1:$A$49,0),MATCH(Orders!L$1,Products!$A$1:$G$1,0))</f>
        <v>Exc</v>
      </c>
      <c r="M131" t="str">
        <f>INDEX(Products!$A$1:$G$49,MATCH(Orders!$G131,Products!$A$1:$A$49,0),MATCH(Orders!M$1,Products!$A$1:$G$1,0))</f>
        <v>D</v>
      </c>
      <c r="N131" s="4">
        <f>INDEX(Products!$A$1:$G$49,MATCH(Orders!$G131,Products!$A$1:$A$49,0),MATCH(Orders!N$1,Products!$A$1:$G$1,0))</f>
        <v>1</v>
      </c>
      <c r="O131" s="7">
        <f>INDEX(Products!$A$1:$G$49,MATCH(Orders!$G131,Products!$A$1:$A$49,0),MATCH(Orders!O$1,Products!$A$1:$G$1,0))</f>
        <v>12.15</v>
      </c>
      <c r="P131" s="7">
        <f t="shared" ref="P131:P194" si="2">O131*H131</f>
        <v>12.15</v>
      </c>
      <c r="Q131" t="str" cm="1">
        <f t="array" ref="Q131">_xlfn.IFS(L131="Rob","Robusta",L131="Exc", "Excelsa",L131="Ara", "Arabica",L131="Lib", "Liberica")</f>
        <v>Excelsa</v>
      </c>
      <c r="R131" t="str" cm="1">
        <f t="array" ref="R131">_xlfn.IFS(M131="M","Medium",M131="L","Light",M131="D","Dark")</f>
        <v>Dark</v>
      </c>
    </row>
    <row r="132" spans="1:18">
      <c r="A132" s="2" t="s">
        <v>336</v>
      </c>
      <c r="B132" s="3">
        <v>44624</v>
      </c>
      <c r="C132" s="9">
        <f>YEAR(Orders_Table[[#This Row],[Order Date]])</f>
        <v>2022</v>
      </c>
      <c r="D132" s="9">
        <f>MONTH(Orders_Table[[#This Row],[Order Date]])</f>
        <v>3</v>
      </c>
      <c r="E132" s="9" t="str" cm="1">
        <f t="array" ref="E1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32" s="2" t="s">
        <v>337</v>
      </c>
      <c r="G132" t="s">
        <v>251</v>
      </c>
      <c r="H132" s="2">
        <v>5</v>
      </c>
      <c r="I132" s="2" t="str" cm="1">
        <f t="array" ref="I132">_xlfn.XLOOKUP(F132,Customers!A131:$A$1001,Customers!B131:$B$1001,"Not Found",0)</f>
        <v>Bidget Tremellier</v>
      </c>
      <c r="J132" s="2" t="str" cm="1">
        <f t="array" ref="J132">IF(_xlfn.XLOOKUP(F132,Customers!A131:$A$1001,Customers!C131:$C$1001,"Not Found",0)=0,"",_xlfn.XLOOKUP(F132,Customers!A131:$A$1001,Customers!C131:$C$1001,"Not Found",0))</f>
        <v/>
      </c>
      <c r="K132" s="2" t="str" cm="1">
        <f t="array" ref="K132">_xlfn.XLOOKUP(F132,Customers!A131:$A$1001,Customers!G131:$G$1001,"Not Found",0)</f>
        <v>Ireland</v>
      </c>
      <c r="L132" t="str">
        <f>INDEX(Products!$A$1:$G$49,MATCH(Orders!$G132,Products!$A$1:$A$49,0),MATCH(Orders!L$1,Products!$A$1:$G$1,0))</f>
        <v>Ara</v>
      </c>
      <c r="M132" t="str">
        <f>INDEX(Products!$A$1:$G$49,MATCH(Orders!$G132,Products!$A$1:$A$49,0),MATCH(Orders!M$1,Products!$A$1:$G$1,0))</f>
        <v>L</v>
      </c>
      <c r="N132" s="4">
        <f>INDEX(Products!$A$1:$G$49,MATCH(Orders!$G132,Products!$A$1:$A$49,0),MATCH(Orders!N$1,Products!$A$1:$G$1,0))</f>
        <v>2.5</v>
      </c>
      <c r="O132" s="7">
        <f>INDEX(Products!$A$1:$G$49,MATCH(Orders!$G132,Products!$A$1:$A$49,0),MATCH(Orders!O$1,Products!$A$1:$G$1,0))</f>
        <v>29.784999999999997</v>
      </c>
      <c r="P132" s="7">
        <f t="shared" si="2"/>
        <v>148.92499999999998</v>
      </c>
      <c r="Q132" t="str" cm="1">
        <f t="array" ref="Q132">_xlfn.IFS(L132="Rob","Robusta",L132="Exc", "Excelsa",L132="Ara", "Arabica",L132="Lib", "Liberica")</f>
        <v>Arabica</v>
      </c>
      <c r="R132" t="str" cm="1">
        <f t="array" ref="R132">_xlfn.IFS(M132="M","Medium",M132="L","Light",M132="D","Dark")</f>
        <v>Light</v>
      </c>
    </row>
    <row r="133" spans="1:18">
      <c r="A133" s="2" t="s">
        <v>338</v>
      </c>
      <c r="B133" s="3">
        <v>44196</v>
      </c>
      <c r="C133" s="9">
        <f>YEAR(Orders_Table[[#This Row],[Order Date]])</f>
        <v>2020</v>
      </c>
      <c r="D133" s="9">
        <f>MONTH(Orders_Table[[#This Row],[Order Date]])</f>
        <v>12</v>
      </c>
      <c r="E133" s="9" t="str" cm="1">
        <f t="array" ref="E1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33" s="2" t="s">
        <v>339</v>
      </c>
      <c r="G133" t="s">
        <v>63</v>
      </c>
      <c r="H133" s="2">
        <v>2</v>
      </c>
      <c r="I133" s="2" t="str" cm="1">
        <f t="array" ref="I133">_xlfn.XLOOKUP(F133,Customers!A132:$A$1001,Customers!B132:$B$1001,"Not Found",0)</f>
        <v>Bobinette Hindsberg</v>
      </c>
      <c r="J133" s="2" t="str" cm="1">
        <f t="array" ref="J133">IF(_xlfn.XLOOKUP(F133,Customers!A132:$A$1001,Customers!C132:$C$1001,"Not Found",0)=0,"",_xlfn.XLOOKUP(F133,Customers!A132:$A$1001,Customers!C132:$C$1001,"Not Found",0))</f>
        <v>bhindsberg3n@blogs.com</v>
      </c>
      <c r="K133" s="2" t="str" cm="1">
        <f t="array" ref="K133">_xlfn.XLOOKUP(F133,Customers!A132:$A$1001,Customers!G132:$G$1001,"Not Found",0)</f>
        <v>United States</v>
      </c>
      <c r="L133" t="str">
        <f>INDEX(Products!$A$1:$G$49,MATCH(Orders!$G133,Products!$A$1:$A$49,0),MATCH(Orders!L$1,Products!$A$1:$G$1,0))</f>
        <v>Exc</v>
      </c>
      <c r="M133" t="str">
        <f>INDEX(Products!$A$1:$G$49,MATCH(Orders!$G133,Products!$A$1:$A$49,0),MATCH(Orders!M$1,Products!$A$1:$G$1,0))</f>
        <v>D</v>
      </c>
      <c r="N133" s="4">
        <f>INDEX(Products!$A$1:$G$49,MATCH(Orders!$G133,Products!$A$1:$A$49,0),MATCH(Orders!N$1,Products!$A$1:$G$1,0))</f>
        <v>0.5</v>
      </c>
      <c r="O133" s="7">
        <f>INDEX(Products!$A$1:$G$49,MATCH(Orders!$G133,Products!$A$1:$A$49,0),MATCH(Orders!O$1,Products!$A$1:$G$1,0))</f>
        <v>7.29</v>
      </c>
      <c r="P133" s="7">
        <f t="shared" si="2"/>
        <v>14.58</v>
      </c>
      <c r="Q133" t="str" cm="1">
        <f t="array" ref="Q133">_xlfn.IFS(L133="Rob","Robusta",L133="Exc", "Excelsa",L133="Ara", "Arabica",L133="Lib", "Liberica")</f>
        <v>Excelsa</v>
      </c>
      <c r="R133" t="str" cm="1">
        <f t="array" ref="R133">_xlfn.IFS(M133="M","Medium",M133="L","Light",M133="D","Dark")</f>
        <v>Dark</v>
      </c>
    </row>
    <row r="134" spans="1:18">
      <c r="A134" s="2" t="s">
        <v>340</v>
      </c>
      <c r="B134" s="3">
        <v>44043</v>
      </c>
      <c r="C134" s="9">
        <f>YEAR(Orders_Table[[#This Row],[Order Date]])</f>
        <v>2020</v>
      </c>
      <c r="D134" s="9">
        <f>MONTH(Orders_Table[[#This Row],[Order Date]])</f>
        <v>7</v>
      </c>
      <c r="E134" s="9" t="str" cm="1">
        <f t="array" ref="E1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34" s="2" t="s">
        <v>341</v>
      </c>
      <c r="G134" t="s">
        <v>251</v>
      </c>
      <c r="H134" s="2">
        <v>5</v>
      </c>
      <c r="I134" s="2" t="str" cm="1">
        <f t="array" ref="I134">_xlfn.XLOOKUP(F134,Customers!A133:$A$1001,Customers!B133:$B$1001,"Not Found",0)</f>
        <v>Osbert Robins</v>
      </c>
      <c r="J134" s="2" t="str" cm="1">
        <f t="array" ref="J134">IF(_xlfn.XLOOKUP(F134,Customers!A133:$A$1001,Customers!C133:$C$1001,"Not Found",0)=0,"",_xlfn.XLOOKUP(F134,Customers!A133:$A$1001,Customers!C133:$C$1001,"Not Found",0))</f>
        <v>orobins3o@salon.com</v>
      </c>
      <c r="K134" s="2" t="str" cm="1">
        <f t="array" ref="K134">_xlfn.XLOOKUP(F134,Customers!A133:$A$1001,Customers!G133:$G$1001,"Not Found",0)</f>
        <v>United States</v>
      </c>
      <c r="L134" t="str">
        <f>INDEX(Products!$A$1:$G$49,MATCH(Orders!$G134,Products!$A$1:$A$49,0),MATCH(Orders!L$1,Products!$A$1:$G$1,0))</f>
        <v>Ara</v>
      </c>
      <c r="M134" t="str">
        <f>INDEX(Products!$A$1:$G$49,MATCH(Orders!$G134,Products!$A$1:$A$49,0),MATCH(Orders!M$1,Products!$A$1:$G$1,0))</f>
        <v>L</v>
      </c>
      <c r="N134" s="4">
        <f>INDEX(Products!$A$1:$G$49,MATCH(Orders!$G134,Products!$A$1:$A$49,0),MATCH(Orders!N$1,Products!$A$1:$G$1,0))</f>
        <v>2.5</v>
      </c>
      <c r="O134" s="7">
        <f>INDEX(Products!$A$1:$G$49,MATCH(Orders!$G134,Products!$A$1:$A$49,0),MATCH(Orders!O$1,Products!$A$1:$G$1,0))</f>
        <v>29.784999999999997</v>
      </c>
      <c r="P134" s="7">
        <f t="shared" si="2"/>
        <v>148.92499999999998</v>
      </c>
      <c r="Q134" t="str" cm="1">
        <f t="array" ref="Q134">_xlfn.IFS(L134="Rob","Robusta",L134="Exc", "Excelsa",L134="Ara", "Arabica",L134="Lib", "Liberica")</f>
        <v>Arabica</v>
      </c>
      <c r="R134" t="str" cm="1">
        <f t="array" ref="R134">_xlfn.IFS(M134="M","Medium",M134="L","Light",M134="D","Dark")</f>
        <v>Light</v>
      </c>
    </row>
    <row r="135" spans="1:18">
      <c r="A135" s="2" t="s">
        <v>342</v>
      </c>
      <c r="B135" s="3">
        <v>44340</v>
      </c>
      <c r="C135" s="9">
        <f>YEAR(Orders_Table[[#This Row],[Order Date]])</f>
        <v>2021</v>
      </c>
      <c r="D135" s="9">
        <f>MONTH(Orders_Table[[#This Row],[Order Date]])</f>
        <v>5</v>
      </c>
      <c r="E135" s="9" t="str" cm="1">
        <f t="array" ref="E1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35" s="2" t="s">
        <v>343</v>
      </c>
      <c r="G135" t="s">
        <v>60</v>
      </c>
      <c r="H135" s="2">
        <v>1</v>
      </c>
      <c r="I135" s="2" t="str" cm="1">
        <f t="array" ref="I135">_xlfn.XLOOKUP(F135,Customers!A134:$A$1001,Customers!B134:$B$1001,"Not Found",0)</f>
        <v>Othello Syseland</v>
      </c>
      <c r="J135" s="2" t="str" cm="1">
        <f t="array" ref="J135">IF(_xlfn.XLOOKUP(F135,Customers!A134:$A$1001,Customers!C134:$C$1001,"Not Found",0)=0,"",_xlfn.XLOOKUP(F135,Customers!A134:$A$1001,Customers!C134:$C$1001,"Not Found",0))</f>
        <v>osyseland3p@independent.co.uk</v>
      </c>
      <c r="K135" s="2" t="str" cm="1">
        <f t="array" ref="K135">_xlfn.XLOOKUP(F135,Customers!A134:$A$1001,Customers!G134:$G$1001,"Not Found",0)</f>
        <v>United States</v>
      </c>
      <c r="L135" t="str">
        <f>INDEX(Products!$A$1:$G$49,MATCH(Orders!$G135,Products!$A$1:$A$49,0),MATCH(Orders!L$1,Products!$A$1:$G$1,0))</f>
        <v>Lib</v>
      </c>
      <c r="M135" t="str">
        <f>INDEX(Products!$A$1:$G$49,MATCH(Orders!$G135,Products!$A$1:$A$49,0),MATCH(Orders!M$1,Products!$A$1:$G$1,0))</f>
        <v>D</v>
      </c>
      <c r="N135" s="4">
        <f>INDEX(Products!$A$1:$G$49,MATCH(Orders!$G135,Products!$A$1:$A$49,0),MATCH(Orders!N$1,Products!$A$1:$G$1,0))</f>
        <v>1</v>
      </c>
      <c r="O135" s="7">
        <f>INDEX(Products!$A$1:$G$49,MATCH(Orders!$G135,Products!$A$1:$A$49,0),MATCH(Orders!O$1,Products!$A$1:$G$1,0))</f>
        <v>12.95</v>
      </c>
      <c r="P135" s="7">
        <f t="shared" si="2"/>
        <v>12.95</v>
      </c>
      <c r="Q135" t="str" cm="1">
        <f t="array" ref="Q135">_xlfn.IFS(L135="Rob","Robusta",L135="Exc", "Excelsa",L135="Ara", "Arabica",L135="Lib", "Liberica")</f>
        <v>Liberica</v>
      </c>
      <c r="R135" t="str" cm="1">
        <f t="array" ref="R135">_xlfn.IFS(M135="M","Medium",M135="L","Light",M135="D","Dark")</f>
        <v>Dark</v>
      </c>
    </row>
    <row r="136" spans="1:18">
      <c r="A136" s="2" t="s">
        <v>344</v>
      </c>
      <c r="B136" s="3">
        <v>44758</v>
      </c>
      <c r="C136" s="9">
        <f>YEAR(Orders_Table[[#This Row],[Order Date]])</f>
        <v>2022</v>
      </c>
      <c r="D136" s="9">
        <f>MONTH(Orders_Table[[#This Row],[Order Date]])</f>
        <v>7</v>
      </c>
      <c r="E136" s="9" t="str" cm="1">
        <f t="array" ref="E1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36" s="2" t="s">
        <v>345</v>
      </c>
      <c r="G136" t="s">
        <v>159</v>
      </c>
      <c r="H136" s="2">
        <v>3</v>
      </c>
      <c r="I136" s="2" t="str" cm="1">
        <f t="array" ref="I136">_xlfn.XLOOKUP(F136,Customers!A135:$A$1001,Customers!B135:$B$1001,"Not Found",0)</f>
        <v>Ewell Hanby</v>
      </c>
      <c r="J136" s="2" t="str" cm="1">
        <f t="array" ref="J136">IF(_xlfn.XLOOKUP(F136,Customers!A135:$A$1001,Customers!C135:$C$1001,"Not Found",0)=0,"",_xlfn.XLOOKUP(F136,Customers!A135:$A$1001,Customers!C135:$C$1001,"Not Found",0))</f>
        <v/>
      </c>
      <c r="K136" s="2" t="str" cm="1">
        <f t="array" ref="K136">_xlfn.XLOOKUP(F136,Customers!A135:$A$1001,Customers!G135:$G$1001,"Not Found",0)</f>
        <v>United States</v>
      </c>
      <c r="L136" t="str">
        <f>INDEX(Products!$A$1:$G$49,MATCH(Orders!$G136,Products!$A$1:$A$49,0),MATCH(Orders!L$1,Products!$A$1:$G$1,0))</f>
        <v>Exc</v>
      </c>
      <c r="M136" t="str">
        <f>INDEX(Products!$A$1:$G$49,MATCH(Orders!$G136,Products!$A$1:$A$49,0),MATCH(Orders!M$1,Products!$A$1:$G$1,0))</f>
        <v>M</v>
      </c>
      <c r="N136" s="4">
        <f>INDEX(Products!$A$1:$G$49,MATCH(Orders!$G136,Products!$A$1:$A$49,0),MATCH(Orders!N$1,Products!$A$1:$G$1,0))</f>
        <v>2.5</v>
      </c>
      <c r="O136" s="7">
        <f>INDEX(Products!$A$1:$G$49,MATCH(Orders!$G136,Products!$A$1:$A$49,0),MATCH(Orders!O$1,Products!$A$1:$G$1,0))</f>
        <v>31.624999999999996</v>
      </c>
      <c r="P136" s="7">
        <f t="shared" si="2"/>
        <v>94.874999999999986</v>
      </c>
      <c r="Q136" t="str" cm="1">
        <f t="array" ref="Q136">_xlfn.IFS(L136="Rob","Robusta",L136="Exc", "Excelsa",L136="Ara", "Arabica",L136="Lib", "Liberica")</f>
        <v>Excelsa</v>
      </c>
      <c r="R136" t="str" cm="1">
        <f t="array" ref="R136">_xlfn.IFS(M136="M","Medium",M136="L","Light",M136="D","Dark")</f>
        <v>Medium</v>
      </c>
    </row>
    <row r="137" spans="1:18">
      <c r="A137" s="2" t="s">
        <v>346</v>
      </c>
      <c r="B137" s="3">
        <v>44232</v>
      </c>
      <c r="C137" s="9">
        <f>YEAR(Orders_Table[[#This Row],[Order Date]])</f>
        <v>2021</v>
      </c>
      <c r="D137" s="9">
        <f>MONTH(Orders_Table[[#This Row],[Order Date]])</f>
        <v>2</v>
      </c>
      <c r="E137" s="9" t="str" cm="1">
        <f t="array" ref="E1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137" s="2" t="s">
        <v>347</v>
      </c>
      <c r="G137" t="s">
        <v>239</v>
      </c>
      <c r="H137" s="2">
        <v>5</v>
      </c>
      <c r="I137" s="2" t="str" cm="1">
        <f t="array" ref="I137">_xlfn.XLOOKUP(F137,Customers!A136:$A$1001,Customers!B136:$B$1001,"Not Found",0)</f>
        <v>Not Found</v>
      </c>
      <c r="J137" s="2" t="str" cm="1">
        <f t="array" ref="J137">IF(_xlfn.XLOOKUP(F137,Customers!A136:$A$1001,Customers!C136:$C$1001,"Not Found",0)=0,"",_xlfn.XLOOKUP(F137,Customers!A136:$A$1001,Customers!C136:$C$1001,"Not Found",0))</f>
        <v>Not Found</v>
      </c>
      <c r="K137" s="2" t="str" cm="1">
        <f t="array" ref="K137">_xlfn.XLOOKUP(F137,Customers!A136:$A$1001,Customers!G136:$G$1001,"Not Found",0)</f>
        <v>Not Found</v>
      </c>
      <c r="L137" t="str">
        <f>INDEX(Products!$A$1:$G$49,MATCH(Orders!$G137,Products!$A$1:$A$49,0),MATCH(Orders!L$1,Products!$A$1:$G$1,0))</f>
        <v>Ara</v>
      </c>
      <c r="M137" t="str">
        <f>INDEX(Products!$A$1:$G$49,MATCH(Orders!$G137,Products!$A$1:$A$49,0),MATCH(Orders!M$1,Products!$A$1:$G$1,0))</f>
        <v>L</v>
      </c>
      <c r="N137" s="4">
        <f>INDEX(Products!$A$1:$G$49,MATCH(Orders!$G137,Products!$A$1:$A$49,0),MATCH(Orders!N$1,Products!$A$1:$G$1,0))</f>
        <v>0.5</v>
      </c>
      <c r="O137" s="7">
        <f>INDEX(Products!$A$1:$G$49,MATCH(Orders!$G137,Products!$A$1:$A$49,0),MATCH(Orders!O$1,Products!$A$1:$G$1,0))</f>
        <v>7.77</v>
      </c>
      <c r="P137" s="7">
        <f t="shared" si="2"/>
        <v>38.849999999999994</v>
      </c>
      <c r="Q137" t="str" cm="1">
        <f t="array" ref="Q137">_xlfn.IFS(L137="Rob","Robusta",L137="Exc", "Excelsa",L137="Ara", "Arabica",L137="Lib", "Liberica")</f>
        <v>Arabica</v>
      </c>
      <c r="R137" t="str" cm="1">
        <f t="array" ref="R137">_xlfn.IFS(M137="M","Medium",M137="L","Light",M137="D","Dark")</f>
        <v>Light</v>
      </c>
    </row>
    <row r="138" spans="1:18">
      <c r="A138" s="2" t="s">
        <v>348</v>
      </c>
      <c r="B138" s="3">
        <v>44406</v>
      </c>
      <c r="C138" s="9">
        <f>YEAR(Orders_Table[[#This Row],[Order Date]])</f>
        <v>2021</v>
      </c>
      <c r="D138" s="9">
        <f>MONTH(Orders_Table[[#This Row],[Order Date]])</f>
        <v>7</v>
      </c>
      <c r="E138" s="9" t="str" cm="1">
        <f t="array" ref="E1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38" s="2" t="s">
        <v>349</v>
      </c>
      <c r="G138" t="s">
        <v>101</v>
      </c>
      <c r="H138" s="2">
        <v>4</v>
      </c>
      <c r="I138" s="2" t="str" cm="1">
        <f t="array" ref="I138">_xlfn.XLOOKUP(F138,Customers!A137:$A$1001,Customers!B137:$B$1001,"Not Found",0)</f>
        <v>Lowell Keenleyside</v>
      </c>
      <c r="J138" s="2" t="str" cm="1">
        <f t="array" ref="J138">IF(_xlfn.XLOOKUP(F138,Customers!A137:$A$1001,Customers!C137:$C$1001,"Not Found",0)=0,"",_xlfn.XLOOKUP(F138,Customers!A137:$A$1001,Customers!C137:$C$1001,"Not Found",0))</f>
        <v>lkeenleyside3s@topsy.com</v>
      </c>
      <c r="K138" s="2" t="str" cm="1">
        <f t="array" ref="K138">_xlfn.XLOOKUP(F138,Customers!A137:$A$1001,Customers!G137:$G$1001,"Not Found",0)</f>
        <v>United States</v>
      </c>
      <c r="L138" t="str">
        <f>INDEX(Products!$A$1:$G$49,MATCH(Orders!$G138,Products!$A$1:$A$49,0),MATCH(Orders!L$1,Products!$A$1:$G$1,0))</f>
        <v>Ara</v>
      </c>
      <c r="M138" t="str">
        <f>INDEX(Products!$A$1:$G$49,MATCH(Orders!$G138,Products!$A$1:$A$49,0),MATCH(Orders!M$1,Products!$A$1:$G$1,0))</f>
        <v>D</v>
      </c>
      <c r="N138" s="4">
        <f>INDEX(Products!$A$1:$G$49,MATCH(Orders!$G138,Products!$A$1:$A$49,0),MATCH(Orders!N$1,Products!$A$1:$G$1,0))</f>
        <v>0.2</v>
      </c>
      <c r="O138" s="7">
        <f>INDEX(Products!$A$1:$G$49,MATCH(Orders!$G138,Products!$A$1:$A$49,0),MATCH(Orders!O$1,Products!$A$1:$G$1,0))</f>
        <v>2.9849999999999999</v>
      </c>
      <c r="P138" s="7">
        <f t="shared" si="2"/>
        <v>11.94</v>
      </c>
      <c r="Q138" t="str" cm="1">
        <f t="array" ref="Q138">_xlfn.IFS(L138="Rob","Robusta",L138="Exc", "Excelsa",L138="Ara", "Arabica",L138="Lib", "Liberica")</f>
        <v>Arabica</v>
      </c>
      <c r="R138" t="str" cm="1">
        <f t="array" ref="R138">_xlfn.IFS(M138="M","Medium",M138="L","Light",M138="D","Dark")</f>
        <v>Dark</v>
      </c>
    </row>
    <row r="139" spans="1:18">
      <c r="A139" s="2" t="s">
        <v>350</v>
      </c>
      <c r="B139" s="3">
        <v>44637</v>
      </c>
      <c r="C139" s="9">
        <f>YEAR(Orders_Table[[#This Row],[Order Date]])</f>
        <v>2022</v>
      </c>
      <c r="D139" s="9">
        <f>MONTH(Orders_Table[[#This Row],[Order Date]])</f>
        <v>3</v>
      </c>
      <c r="E139" s="9" t="str" cm="1">
        <f t="array" ref="E1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39" s="2" t="s">
        <v>351</v>
      </c>
      <c r="G139" t="s">
        <v>77</v>
      </c>
      <c r="H139" s="2">
        <v>3</v>
      </c>
      <c r="I139" s="2" t="str" cm="1">
        <f t="array" ref="I139">_xlfn.XLOOKUP(F139,Customers!A138:$A$1001,Customers!B138:$B$1001,"Not Found",0)</f>
        <v>Elonore Joliffe</v>
      </c>
      <c r="J139" s="2" t="str" cm="1">
        <f t="array" ref="J139">IF(_xlfn.XLOOKUP(F139,Customers!A138:$A$1001,Customers!C138:$C$1001,"Not Found",0)=0,"",_xlfn.XLOOKUP(F139,Customers!A138:$A$1001,Customers!C138:$C$1001,"Not Found",0))</f>
        <v/>
      </c>
      <c r="K139" s="2" t="str" cm="1">
        <f t="array" ref="K139">_xlfn.XLOOKUP(F139,Customers!A138:$A$1001,Customers!G138:$G$1001,"Not Found",0)</f>
        <v>Ireland</v>
      </c>
      <c r="L139" t="str">
        <f>INDEX(Products!$A$1:$G$49,MATCH(Orders!$G139,Products!$A$1:$A$49,0),MATCH(Orders!L$1,Products!$A$1:$G$1,0))</f>
        <v>Exc</v>
      </c>
      <c r="M139" t="str">
        <f>INDEX(Products!$A$1:$G$49,MATCH(Orders!$G139,Products!$A$1:$A$49,0),MATCH(Orders!M$1,Products!$A$1:$G$1,0))</f>
        <v>L</v>
      </c>
      <c r="N139" s="4">
        <f>INDEX(Products!$A$1:$G$49,MATCH(Orders!$G139,Products!$A$1:$A$49,0),MATCH(Orders!N$1,Products!$A$1:$G$1,0))</f>
        <v>2.5</v>
      </c>
      <c r="O139" s="7">
        <f>INDEX(Products!$A$1:$G$49,MATCH(Orders!$G139,Products!$A$1:$A$49,0),MATCH(Orders!O$1,Products!$A$1:$G$1,0))</f>
        <v>34.154999999999994</v>
      </c>
      <c r="P139" s="7">
        <f t="shared" si="2"/>
        <v>102.46499999999997</v>
      </c>
      <c r="Q139" t="str" cm="1">
        <f t="array" ref="Q139">_xlfn.IFS(L139="Rob","Robusta",L139="Exc", "Excelsa",L139="Ara", "Arabica",L139="Lib", "Liberica")</f>
        <v>Excelsa</v>
      </c>
      <c r="R139" t="str" cm="1">
        <f t="array" ref="R139">_xlfn.IFS(M139="M","Medium",M139="L","Light",M139="D","Dark")</f>
        <v>Light</v>
      </c>
    </row>
    <row r="140" spans="1:18">
      <c r="A140" s="2" t="s">
        <v>352</v>
      </c>
      <c r="B140" s="3">
        <v>44238</v>
      </c>
      <c r="C140" s="9">
        <f>YEAR(Orders_Table[[#This Row],[Order Date]])</f>
        <v>2021</v>
      </c>
      <c r="D140" s="9">
        <f>MONTH(Orders_Table[[#This Row],[Order Date]])</f>
        <v>2</v>
      </c>
      <c r="E140" s="9" t="str" cm="1">
        <f t="array" ref="E1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140" s="2" t="s">
        <v>353</v>
      </c>
      <c r="G140" t="s">
        <v>292</v>
      </c>
      <c r="H140" s="2">
        <v>4</v>
      </c>
      <c r="I140" s="2" t="str" cm="1">
        <f t="array" ref="I140">_xlfn.XLOOKUP(F140,Customers!A139:$A$1001,Customers!B139:$B$1001,"Not Found",0)</f>
        <v>Abraham Coleman</v>
      </c>
      <c r="J140" s="2" t="str" cm="1">
        <f t="array" ref="J140">IF(_xlfn.XLOOKUP(F140,Customers!A139:$A$1001,Customers!C139:$C$1001,"Not Found",0)=0,"",_xlfn.XLOOKUP(F140,Customers!A139:$A$1001,Customers!C139:$C$1001,"Not Found",0))</f>
        <v/>
      </c>
      <c r="K140" s="2" t="str" cm="1">
        <f t="array" ref="K140">_xlfn.XLOOKUP(F140,Customers!A139:$A$1001,Customers!G139:$G$1001,"Not Found",0)</f>
        <v>United States</v>
      </c>
      <c r="L140" t="str">
        <f>INDEX(Products!$A$1:$G$49,MATCH(Orders!$G140,Products!$A$1:$A$49,0),MATCH(Orders!L$1,Products!$A$1:$G$1,0))</f>
        <v>Exc</v>
      </c>
      <c r="M140" t="str">
        <f>INDEX(Products!$A$1:$G$49,MATCH(Orders!$G140,Products!$A$1:$A$49,0),MATCH(Orders!M$1,Products!$A$1:$G$1,0))</f>
        <v>D</v>
      </c>
      <c r="N140" s="4">
        <f>INDEX(Products!$A$1:$G$49,MATCH(Orders!$G140,Products!$A$1:$A$49,0),MATCH(Orders!N$1,Products!$A$1:$G$1,0))</f>
        <v>1</v>
      </c>
      <c r="O140" s="7">
        <f>INDEX(Products!$A$1:$G$49,MATCH(Orders!$G140,Products!$A$1:$A$49,0),MATCH(Orders!O$1,Products!$A$1:$G$1,0))</f>
        <v>12.15</v>
      </c>
      <c r="P140" s="7">
        <f t="shared" si="2"/>
        <v>48.6</v>
      </c>
      <c r="Q140" t="str" cm="1">
        <f t="array" ref="Q140">_xlfn.IFS(L140="Rob","Robusta",L140="Exc", "Excelsa",L140="Ara", "Arabica",L140="Lib", "Liberica")</f>
        <v>Excelsa</v>
      </c>
      <c r="R140" t="str" cm="1">
        <f t="array" ref="R140">_xlfn.IFS(M140="M","Medium",M140="L","Light",M140="D","Dark")</f>
        <v>Dark</v>
      </c>
    </row>
    <row r="141" spans="1:18">
      <c r="A141" s="2" t="s">
        <v>354</v>
      </c>
      <c r="B141" s="3">
        <v>43509</v>
      </c>
      <c r="C141" s="9">
        <f>YEAR(Orders_Table[[#This Row],[Order Date]])</f>
        <v>2019</v>
      </c>
      <c r="D141" s="9">
        <f>MONTH(Orders_Table[[#This Row],[Order Date]])</f>
        <v>2</v>
      </c>
      <c r="E141" s="9" t="str" cm="1">
        <f t="array" ref="E1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141" s="2" t="s">
        <v>355</v>
      </c>
      <c r="G141" t="s">
        <v>60</v>
      </c>
      <c r="H141" s="2">
        <v>6</v>
      </c>
      <c r="I141" s="2" t="str" cm="1">
        <f t="array" ref="I141">_xlfn.XLOOKUP(F141,Customers!A140:$A$1001,Customers!B140:$B$1001,"Not Found",0)</f>
        <v>Rivy Farington</v>
      </c>
      <c r="J141" s="2" t="str" cm="1">
        <f t="array" ref="J141">IF(_xlfn.XLOOKUP(F141,Customers!A140:$A$1001,Customers!C140:$C$1001,"Not Found",0)=0,"",_xlfn.XLOOKUP(F141,Customers!A140:$A$1001,Customers!C140:$C$1001,"Not Found",0))</f>
        <v/>
      </c>
      <c r="K141" s="2" t="str" cm="1">
        <f t="array" ref="K141">_xlfn.XLOOKUP(F141,Customers!A140:$A$1001,Customers!G140:$G$1001,"Not Found",0)</f>
        <v>United States</v>
      </c>
      <c r="L141" t="str">
        <f>INDEX(Products!$A$1:$G$49,MATCH(Orders!$G141,Products!$A$1:$A$49,0),MATCH(Orders!L$1,Products!$A$1:$G$1,0))</f>
        <v>Lib</v>
      </c>
      <c r="M141" t="str">
        <f>INDEX(Products!$A$1:$G$49,MATCH(Orders!$G141,Products!$A$1:$A$49,0),MATCH(Orders!M$1,Products!$A$1:$G$1,0))</f>
        <v>D</v>
      </c>
      <c r="N141" s="4">
        <f>INDEX(Products!$A$1:$G$49,MATCH(Orders!$G141,Products!$A$1:$A$49,0),MATCH(Orders!N$1,Products!$A$1:$G$1,0))</f>
        <v>1</v>
      </c>
      <c r="O141" s="7">
        <f>INDEX(Products!$A$1:$G$49,MATCH(Orders!$G141,Products!$A$1:$A$49,0),MATCH(Orders!O$1,Products!$A$1:$G$1,0))</f>
        <v>12.95</v>
      </c>
      <c r="P141" s="7">
        <f t="shared" si="2"/>
        <v>77.699999999999989</v>
      </c>
      <c r="Q141" t="str" cm="1">
        <f t="array" ref="Q141">_xlfn.IFS(L141="Rob","Robusta",L141="Exc", "Excelsa",L141="Ara", "Arabica",L141="Lib", "Liberica")</f>
        <v>Liberica</v>
      </c>
      <c r="R141" t="str" cm="1">
        <f t="array" ref="R141">_xlfn.IFS(M141="M","Medium",M141="L","Light",M141="D","Dark")</f>
        <v>Dark</v>
      </c>
    </row>
    <row r="142" spans="1:18">
      <c r="A142" s="2" t="s">
        <v>356</v>
      </c>
      <c r="B142" s="3">
        <v>44694</v>
      </c>
      <c r="C142" s="9">
        <f>YEAR(Orders_Table[[#This Row],[Order Date]])</f>
        <v>2022</v>
      </c>
      <c r="D142" s="9">
        <f>MONTH(Orders_Table[[#This Row],[Order Date]])</f>
        <v>5</v>
      </c>
      <c r="E142" s="9" t="str" cm="1">
        <f t="array" ref="E1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42" s="2" t="s">
        <v>357</v>
      </c>
      <c r="G142" t="s">
        <v>156</v>
      </c>
      <c r="H142" s="2">
        <v>1</v>
      </c>
      <c r="I142" s="2" t="str" cm="1">
        <f t="array" ref="I142">_xlfn.XLOOKUP(F142,Customers!A141:$A$1001,Customers!B141:$B$1001,"Not Found",0)</f>
        <v>Vallie Kundt</v>
      </c>
      <c r="J142" s="2" t="str" cm="1">
        <f t="array" ref="J142">IF(_xlfn.XLOOKUP(F142,Customers!A141:$A$1001,Customers!C141:$C$1001,"Not Found",0)=0,"",_xlfn.XLOOKUP(F142,Customers!A141:$A$1001,Customers!C141:$C$1001,"Not Found",0))</f>
        <v>vkundt3w@bigcartel.com</v>
      </c>
      <c r="K142" s="2" t="str" cm="1">
        <f t="array" ref="K142">_xlfn.XLOOKUP(F142,Customers!A141:$A$1001,Customers!G141:$G$1001,"Not Found",0)</f>
        <v>Ireland</v>
      </c>
      <c r="L142" t="str">
        <f>INDEX(Products!$A$1:$G$49,MATCH(Orders!$G142,Products!$A$1:$A$49,0),MATCH(Orders!L$1,Products!$A$1:$G$1,0))</f>
        <v>Lib</v>
      </c>
      <c r="M142" t="str">
        <f>INDEX(Products!$A$1:$G$49,MATCH(Orders!$G142,Products!$A$1:$A$49,0),MATCH(Orders!M$1,Products!$A$1:$G$1,0))</f>
        <v>D</v>
      </c>
      <c r="N142" s="4">
        <f>INDEX(Products!$A$1:$G$49,MATCH(Orders!$G142,Products!$A$1:$A$49,0),MATCH(Orders!N$1,Products!$A$1:$G$1,0))</f>
        <v>2.5</v>
      </c>
      <c r="O142" s="7">
        <f>INDEX(Products!$A$1:$G$49,MATCH(Orders!$G142,Products!$A$1:$A$49,0),MATCH(Orders!O$1,Products!$A$1:$G$1,0))</f>
        <v>29.784999999999997</v>
      </c>
      <c r="P142" s="7">
        <f t="shared" si="2"/>
        <v>29.784999999999997</v>
      </c>
      <c r="Q142" t="str" cm="1">
        <f t="array" ref="Q142">_xlfn.IFS(L142="Rob","Robusta",L142="Exc", "Excelsa",L142="Ara", "Arabica",L142="Lib", "Liberica")</f>
        <v>Liberica</v>
      </c>
      <c r="R142" t="str" cm="1">
        <f t="array" ref="R142">_xlfn.IFS(M142="M","Medium",M142="L","Light",M142="D","Dark")</f>
        <v>Dark</v>
      </c>
    </row>
    <row r="143" spans="1:18">
      <c r="A143" s="2" t="s">
        <v>358</v>
      </c>
      <c r="B143" s="3">
        <v>43970</v>
      </c>
      <c r="C143" s="9">
        <f>YEAR(Orders_Table[[#This Row],[Order Date]])</f>
        <v>2020</v>
      </c>
      <c r="D143" s="9">
        <f>MONTH(Orders_Table[[#This Row],[Order Date]])</f>
        <v>5</v>
      </c>
      <c r="E143" s="9" t="str" cm="1">
        <f t="array" ref="E1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43" s="2" t="s">
        <v>359</v>
      </c>
      <c r="G143" t="s">
        <v>162</v>
      </c>
      <c r="H143" s="2">
        <v>4</v>
      </c>
      <c r="I143" s="2" t="str" cm="1">
        <f t="array" ref="I143">_xlfn.XLOOKUP(F143,Customers!A142:$A$1001,Customers!B142:$B$1001,"Not Found",0)</f>
        <v>Boyd Bett</v>
      </c>
      <c r="J143" s="2" t="str" cm="1">
        <f t="array" ref="J143">IF(_xlfn.XLOOKUP(F143,Customers!A142:$A$1001,Customers!C142:$C$1001,"Not Found",0)=0,"",_xlfn.XLOOKUP(F143,Customers!A142:$A$1001,Customers!C142:$C$1001,"Not Found",0))</f>
        <v>bbett3x@google.de</v>
      </c>
      <c r="K143" s="2" t="str" cm="1">
        <f t="array" ref="K143">_xlfn.XLOOKUP(F143,Customers!A142:$A$1001,Customers!G142:$G$1001,"Not Found",0)</f>
        <v>United States</v>
      </c>
      <c r="L143" t="str">
        <f>INDEX(Products!$A$1:$G$49,MATCH(Orders!$G143,Products!$A$1:$A$49,0),MATCH(Orders!L$1,Products!$A$1:$G$1,0))</f>
        <v>Ara</v>
      </c>
      <c r="M143" t="str">
        <f>INDEX(Products!$A$1:$G$49,MATCH(Orders!$G143,Products!$A$1:$A$49,0),MATCH(Orders!M$1,Products!$A$1:$G$1,0))</f>
        <v>L</v>
      </c>
      <c r="N143" s="4">
        <f>INDEX(Products!$A$1:$G$49,MATCH(Orders!$G143,Products!$A$1:$A$49,0),MATCH(Orders!N$1,Products!$A$1:$G$1,0))</f>
        <v>0.2</v>
      </c>
      <c r="O143" s="7">
        <f>INDEX(Products!$A$1:$G$49,MATCH(Orders!$G143,Products!$A$1:$A$49,0),MATCH(Orders!O$1,Products!$A$1:$G$1,0))</f>
        <v>3.8849999999999998</v>
      </c>
      <c r="P143" s="7">
        <f t="shared" si="2"/>
        <v>15.54</v>
      </c>
      <c r="Q143" t="str" cm="1">
        <f t="array" ref="Q143">_xlfn.IFS(L143="Rob","Robusta",L143="Exc", "Excelsa",L143="Ara", "Arabica",L143="Lib", "Liberica")</f>
        <v>Arabica</v>
      </c>
      <c r="R143" t="str" cm="1">
        <f t="array" ref="R143">_xlfn.IFS(M143="M","Medium",M143="L","Light",M143="D","Dark")</f>
        <v>Light</v>
      </c>
    </row>
    <row r="144" spans="1:18">
      <c r="A144" s="2" t="s">
        <v>360</v>
      </c>
      <c r="B144" s="3">
        <v>44678</v>
      </c>
      <c r="C144" s="9">
        <f>YEAR(Orders_Table[[#This Row],[Order Date]])</f>
        <v>2022</v>
      </c>
      <c r="D144" s="9">
        <f>MONTH(Orders_Table[[#This Row],[Order Date]])</f>
        <v>4</v>
      </c>
      <c r="E144" s="9" t="str" cm="1">
        <f t="array" ref="E1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44" s="2" t="s">
        <v>361</v>
      </c>
      <c r="G144" t="s">
        <v>77</v>
      </c>
      <c r="H144" s="2">
        <v>4</v>
      </c>
      <c r="I144" s="2" t="str" cm="1">
        <f t="array" ref="I144">_xlfn.XLOOKUP(F144,Customers!A143:$A$1001,Customers!B143:$B$1001,"Not Found",0)</f>
        <v>Julio Armytage</v>
      </c>
      <c r="J144" s="2" t="str" cm="1">
        <f t="array" ref="J144">IF(_xlfn.XLOOKUP(F144,Customers!A143:$A$1001,Customers!C143:$C$1001,"Not Found",0)=0,"",_xlfn.XLOOKUP(F144,Customers!A143:$A$1001,Customers!C143:$C$1001,"Not Found",0))</f>
        <v/>
      </c>
      <c r="K144" s="2" t="str" cm="1">
        <f t="array" ref="K144">_xlfn.XLOOKUP(F144,Customers!A143:$A$1001,Customers!G143:$G$1001,"Not Found",0)</f>
        <v>Ireland</v>
      </c>
      <c r="L144" t="str">
        <f>INDEX(Products!$A$1:$G$49,MATCH(Orders!$G144,Products!$A$1:$A$49,0),MATCH(Orders!L$1,Products!$A$1:$G$1,0))</f>
        <v>Exc</v>
      </c>
      <c r="M144" t="str">
        <f>INDEX(Products!$A$1:$G$49,MATCH(Orders!$G144,Products!$A$1:$A$49,0),MATCH(Orders!M$1,Products!$A$1:$G$1,0))</f>
        <v>L</v>
      </c>
      <c r="N144" s="4">
        <f>INDEX(Products!$A$1:$G$49,MATCH(Orders!$G144,Products!$A$1:$A$49,0),MATCH(Orders!N$1,Products!$A$1:$G$1,0))</f>
        <v>2.5</v>
      </c>
      <c r="O144" s="7">
        <f>INDEX(Products!$A$1:$G$49,MATCH(Orders!$G144,Products!$A$1:$A$49,0),MATCH(Orders!O$1,Products!$A$1:$G$1,0))</f>
        <v>34.154999999999994</v>
      </c>
      <c r="P144" s="7">
        <f t="shared" si="2"/>
        <v>136.61999999999998</v>
      </c>
      <c r="Q144" t="str" cm="1">
        <f t="array" ref="Q144">_xlfn.IFS(L144="Rob","Robusta",L144="Exc", "Excelsa",L144="Ara", "Arabica",L144="Lib", "Liberica")</f>
        <v>Excelsa</v>
      </c>
      <c r="R144" t="str" cm="1">
        <f t="array" ref="R144">_xlfn.IFS(M144="M","Medium",M144="L","Light",M144="D","Dark")</f>
        <v>Light</v>
      </c>
    </row>
    <row r="145" spans="1:18">
      <c r="A145" s="2" t="s">
        <v>362</v>
      </c>
      <c r="B145" s="3">
        <v>44083</v>
      </c>
      <c r="C145" s="9">
        <f>YEAR(Orders_Table[[#This Row],[Order Date]])</f>
        <v>2020</v>
      </c>
      <c r="D145" s="9">
        <f>MONTH(Orders_Table[[#This Row],[Order Date]])</f>
        <v>9</v>
      </c>
      <c r="E145" s="9" t="str" cm="1">
        <f t="array" ref="E1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145" s="2" t="s">
        <v>363</v>
      </c>
      <c r="G145" t="s">
        <v>125</v>
      </c>
      <c r="H145" s="2">
        <v>2</v>
      </c>
      <c r="I145" s="2" t="str" cm="1">
        <f t="array" ref="I145">_xlfn.XLOOKUP(F145,Customers!A144:$A$1001,Customers!B144:$B$1001,"Not Found",0)</f>
        <v>Deana Staite</v>
      </c>
      <c r="J145" s="2" t="str" cm="1">
        <f t="array" ref="J145">IF(_xlfn.XLOOKUP(F145,Customers!A144:$A$1001,Customers!C144:$C$1001,"Not Found",0)=0,"",_xlfn.XLOOKUP(F145,Customers!A144:$A$1001,Customers!C144:$C$1001,"Not Found",0))</f>
        <v>dstaite3z@scientificamerican.com</v>
      </c>
      <c r="K145" s="2" t="str" cm="1">
        <f t="array" ref="K145">_xlfn.XLOOKUP(F145,Customers!A144:$A$1001,Customers!G144:$G$1001,"Not Found",0)</f>
        <v>United States</v>
      </c>
      <c r="L145" t="str">
        <f>INDEX(Products!$A$1:$G$49,MATCH(Orders!$G145,Products!$A$1:$A$49,0),MATCH(Orders!L$1,Products!$A$1:$G$1,0))</f>
        <v>Lib</v>
      </c>
      <c r="M145" t="str">
        <f>INDEX(Products!$A$1:$G$49,MATCH(Orders!$G145,Products!$A$1:$A$49,0),MATCH(Orders!M$1,Products!$A$1:$G$1,0))</f>
        <v>M</v>
      </c>
      <c r="N145" s="4">
        <f>INDEX(Products!$A$1:$G$49,MATCH(Orders!$G145,Products!$A$1:$A$49,0),MATCH(Orders!N$1,Products!$A$1:$G$1,0))</f>
        <v>0.5</v>
      </c>
      <c r="O145" s="7">
        <f>INDEX(Products!$A$1:$G$49,MATCH(Orders!$G145,Products!$A$1:$A$49,0),MATCH(Orders!O$1,Products!$A$1:$G$1,0))</f>
        <v>8.73</v>
      </c>
      <c r="P145" s="7">
        <f t="shared" si="2"/>
        <v>17.46</v>
      </c>
      <c r="Q145" t="str" cm="1">
        <f t="array" ref="Q145">_xlfn.IFS(L145="Rob","Robusta",L145="Exc", "Excelsa",L145="Ara", "Arabica",L145="Lib", "Liberica")</f>
        <v>Liberica</v>
      </c>
      <c r="R145" t="str" cm="1">
        <f t="array" ref="R145">_xlfn.IFS(M145="M","Medium",M145="L","Light",M145="D","Dark")</f>
        <v>Medium</v>
      </c>
    </row>
    <row r="146" spans="1:18">
      <c r="A146" s="2" t="s">
        <v>364</v>
      </c>
      <c r="B146" s="3">
        <v>44265</v>
      </c>
      <c r="C146" s="9">
        <f>YEAR(Orders_Table[[#This Row],[Order Date]])</f>
        <v>2021</v>
      </c>
      <c r="D146" s="9">
        <f>MONTH(Orders_Table[[#This Row],[Order Date]])</f>
        <v>3</v>
      </c>
      <c r="E146" s="9" t="str" cm="1">
        <f t="array" ref="E1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46" s="2" t="s">
        <v>365</v>
      </c>
      <c r="G146" t="s">
        <v>77</v>
      </c>
      <c r="H146" s="2">
        <v>2</v>
      </c>
      <c r="I146" s="2" t="str" cm="1">
        <f t="array" ref="I146">_xlfn.XLOOKUP(F146,Customers!A145:$A$1001,Customers!B145:$B$1001,"Not Found",0)</f>
        <v>Winn Keyse</v>
      </c>
      <c r="J146" s="2" t="str" cm="1">
        <f t="array" ref="J146">IF(_xlfn.XLOOKUP(F146,Customers!A145:$A$1001,Customers!C145:$C$1001,"Not Found",0)=0,"",_xlfn.XLOOKUP(F146,Customers!A145:$A$1001,Customers!C145:$C$1001,"Not Found",0))</f>
        <v>wkeyse40@apple.com</v>
      </c>
      <c r="K146" s="2" t="str" cm="1">
        <f t="array" ref="K146">_xlfn.XLOOKUP(F146,Customers!A145:$A$1001,Customers!G145:$G$1001,"Not Found",0)</f>
        <v>United States</v>
      </c>
      <c r="L146" t="str">
        <f>INDEX(Products!$A$1:$G$49,MATCH(Orders!$G146,Products!$A$1:$A$49,0),MATCH(Orders!L$1,Products!$A$1:$G$1,0))</f>
        <v>Exc</v>
      </c>
      <c r="M146" t="str">
        <f>INDEX(Products!$A$1:$G$49,MATCH(Orders!$G146,Products!$A$1:$A$49,0),MATCH(Orders!M$1,Products!$A$1:$G$1,0))</f>
        <v>L</v>
      </c>
      <c r="N146" s="4">
        <f>INDEX(Products!$A$1:$G$49,MATCH(Orders!$G146,Products!$A$1:$A$49,0),MATCH(Orders!N$1,Products!$A$1:$G$1,0))</f>
        <v>2.5</v>
      </c>
      <c r="O146" s="7">
        <f>INDEX(Products!$A$1:$G$49,MATCH(Orders!$G146,Products!$A$1:$A$49,0),MATCH(Orders!O$1,Products!$A$1:$G$1,0))</f>
        <v>34.154999999999994</v>
      </c>
      <c r="P146" s="7">
        <f t="shared" si="2"/>
        <v>68.309999999999988</v>
      </c>
      <c r="Q146" t="str" cm="1">
        <f t="array" ref="Q146">_xlfn.IFS(L146="Rob","Robusta",L146="Exc", "Excelsa",L146="Ara", "Arabica",L146="Lib", "Liberica")</f>
        <v>Excelsa</v>
      </c>
      <c r="R146" t="str" cm="1">
        <f t="array" ref="R146">_xlfn.IFS(M146="M","Medium",M146="L","Light",M146="D","Dark")</f>
        <v>Light</v>
      </c>
    </row>
    <row r="147" spans="1:18">
      <c r="A147" s="2" t="s">
        <v>366</v>
      </c>
      <c r="B147" s="3">
        <v>43562</v>
      </c>
      <c r="C147" s="9">
        <f>YEAR(Orders_Table[[#This Row],[Order Date]])</f>
        <v>2019</v>
      </c>
      <c r="D147" s="9">
        <f>MONTH(Orders_Table[[#This Row],[Order Date]])</f>
        <v>4</v>
      </c>
      <c r="E147" s="9" t="str" cm="1">
        <f t="array" ref="E1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47" s="2" t="s">
        <v>367</v>
      </c>
      <c r="G147" t="s">
        <v>124</v>
      </c>
      <c r="H147" s="2">
        <v>4</v>
      </c>
      <c r="I147" s="2" t="str" cm="1">
        <f t="array" ref="I147">_xlfn.XLOOKUP(F147,Customers!A146:$A$1001,Customers!B146:$B$1001,"Not Found",0)</f>
        <v>Osmund Clausen-Thue</v>
      </c>
      <c r="J147" s="2" t="str" cm="1">
        <f t="array" ref="J147">IF(_xlfn.XLOOKUP(F147,Customers!A146:$A$1001,Customers!C146:$C$1001,"Not Found",0)=0,"",_xlfn.XLOOKUP(F147,Customers!A146:$A$1001,Customers!C146:$C$1001,"Not Found",0))</f>
        <v>oclausenthue41@marriott.com</v>
      </c>
      <c r="K147" s="2" t="str" cm="1">
        <f t="array" ref="K147">_xlfn.XLOOKUP(F147,Customers!A146:$A$1001,Customers!G146:$G$1001,"Not Found",0)</f>
        <v>United States</v>
      </c>
      <c r="L147" t="str">
        <f>INDEX(Products!$A$1:$G$49,MATCH(Orders!$G147,Products!$A$1:$A$49,0),MATCH(Orders!L$1,Products!$A$1:$G$1,0))</f>
        <v>Lib</v>
      </c>
      <c r="M147" t="str">
        <f>INDEX(Products!$A$1:$G$49,MATCH(Orders!$G147,Products!$A$1:$A$49,0),MATCH(Orders!M$1,Products!$A$1:$G$1,0))</f>
        <v>M</v>
      </c>
      <c r="N147" s="4">
        <f>INDEX(Products!$A$1:$G$49,MATCH(Orders!$G147,Products!$A$1:$A$49,0),MATCH(Orders!N$1,Products!$A$1:$G$1,0))</f>
        <v>0.2</v>
      </c>
      <c r="O147" s="7">
        <f>INDEX(Products!$A$1:$G$49,MATCH(Orders!$G147,Products!$A$1:$A$49,0),MATCH(Orders!O$1,Products!$A$1:$G$1,0))</f>
        <v>4.3650000000000002</v>
      </c>
      <c r="P147" s="7">
        <f t="shared" si="2"/>
        <v>17.46</v>
      </c>
      <c r="Q147" t="str" cm="1">
        <f t="array" ref="Q147">_xlfn.IFS(L147="Rob","Robusta",L147="Exc", "Excelsa",L147="Ara", "Arabica",L147="Lib", "Liberica")</f>
        <v>Liberica</v>
      </c>
      <c r="R147" t="str" cm="1">
        <f t="array" ref="R147">_xlfn.IFS(M147="M","Medium",M147="L","Light",M147="D","Dark")</f>
        <v>Medium</v>
      </c>
    </row>
    <row r="148" spans="1:18">
      <c r="A148" s="2" t="s">
        <v>368</v>
      </c>
      <c r="B148" s="3">
        <v>44024</v>
      </c>
      <c r="C148" s="9">
        <f>YEAR(Orders_Table[[#This Row],[Order Date]])</f>
        <v>2020</v>
      </c>
      <c r="D148" s="9">
        <f>MONTH(Orders_Table[[#This Row],[Order Date]])</f>
        <v>7</v>
      </c>
      <c r="E148" s="9" t="str" cm="1">
        <f t="array" ref="E1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48" s="2" t="s">
        <v>369</v>
      </c>
      <c r="G148" t="s">
        <v>143</v>
      </c>
      <c r="H148" s="2">
        <v>3</v>
      </c>
      <c r="I148" s="2" t="str" cm="1">
        <f t="array" ref="I148">_xlfn.XLOOKUP(F148,Customers!A147:$A$1001,Customers!B147:$B$1001,"Not Found",0)</f>
        <v>Leonore Francisco</v>
      </c>
      <c r="J148" s="2" t="str" cm="1">
        <f t="array" ref="J148">IF(_xlfn.XLOOKUP(F148,Customers!A147:$A$1001,Customers!C147:$C$1001,"Not Found",0)=0,"",_xlfn.XLOOKUP(F148,Customers!A147:$A$1001,Customers!C147:$C$1001,"Not Found",0))</f>
        <v>lfrancisco42@fema.gov</v>
      </c>
      <c r="K148" s="2" t="str" cm="1">
        <f t="array" ref="K148">_xlfn.XLOOKUP(F148,Customers!A147:$A$1001,Customers!G147:$G$1001,"Not Found",0)</f>
        <v>United States</v>
      </c>
      <c r="L148" t="str">
        <f>INDEX(Products!$A$1:$G$49,MATCH(Orders!$G148,Products!$A$1:$A$49,0),MATCH(Orders!L$1,Products!$A$1:$G$1,0))</f>
        <v>Lib</v>
      </c>
      <c r="M148" t="str">
        <f>INDEX(Products!$A$1:$G$49,MATCH(Orders!$G148,Products!$A$1:$A$49,0),MATCH(Orders!M$1,Products!$A$1:$G$1,0))</f>
        <v>M</v>
      </c>
      <c r="N148" s="4">
        <f>INDEX(Products!$A$1:$G$49,MATCH(Orders!$G148,Products!$A$1:$A$49,0),MATCH(Orders!N$1,Products!$A$1:$G$1,0))</f>
        <v>1</v>
      </c>
      <c r="O148" s="7">
        <f>INDEX(Products!$A$1:$G$49,MATCH(Orders!$G148,Products!$A$1:$A$49,0),MATCH(Orders!O$1,Products!$A$1:$G$1,0))</f>
        <v>14.55</v>
      </c>
      <c r="P148" s="7">
        <f t="shared" si="2"/>
        <v>43.650000000000006</v>
      </c>
      <c r="Q148" t="str" cm="1">
        <f t="array" ref="Q148">_xlfn.IFS(L148="Rob","Robusta",L148="Exc", "Excelsa",L148="Ara", "Arabica",L148="Lib", "Liberica")</f>
        <v>Liberica</v>
      </c>
      <c r="R148" t="str" cm="1">
        <f t="array" ref="R148">_xlfn.IFS(M148="M","Medium",M148="L","Light",M148="D","Dark")</f>
        <v>Medium</v>
      </c>
    </row>
    <row r="149" spans="1:18">
      <c r="A149" s="2" t="s">
        <v>368</v>
      </c>
      <c r="B149" s="3">
        <v>44024</v>
      </c>
      <c r="C149" s="9">
        <f>YEAR(Orders_Table[[#This Row],[Order Date]])</f>
        <v>2020</v>
      </c>
      <c r="D149" s="9">
        <f>MONTH(Orders_Table[[#This Row],[Order Date]])</f>
        <v>7</v>
      </c>
      <c r="E149" s="9" t="str" cm="1">
        <f t="array" ref="E1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49" s="2" t="s">
        <v>369</v>
      </c>
      <c r="G149" t="s">
        <v>56</v>
      </c>
      <c r="H149" s="2">
        <v>2</v>
      </c>
      <c r="I149" s="2" t="str" cm="1">
        <f t="array" ref="I149">_xlfn.XLOOKUP(F149,Customers!A148:$A$1001,Customers!B148:$B$1001,"Not Found",0)</f>
        <v>Leonore Francisco</v>
      </c>
      <c r="J149" s="2" t="str" cm="1">
        <f t="array" ref="J149">IF(_xlfn.XLOOKUP(F149,Customers!A148:$A$1001,Customers!C148:$C$1001,"Not Found",0)=0,"",_xlfn.XLOOKUP(F149,Customers!A148:$A$1001,Customers!C148:$C$1001,"Not Found",0))</f>
        <v>lfrancisco42@fema.gov</v>
      </c>
      <c r="K149" s="2" t="str" cm="1">
        <f t="array" ref="K149">_xlfn.XLOOKUP(F149,Customers!A148:$A$1001,Customers!G148:$G$1001,"Not Found",0)</f>
        <v>United States</v>
      </c>
      <c r="L149" t="str">
        <f>INDEX(Products!$A$1:$G$49,MATCH(Orders!$G149,Products!$A$1:$A$49,0),MATCH(Orders!L$1,Products!$A$1:$G$1,0))</f>
        <v>Exc</v>
      </c>
      <c r="M149" t="str">
        <f>INDEX(Products!$A$1:$G$49,MATCH(Orders!$G149,Products!$A$1:$A$49,0),MATCH(Orders!M$1,Products!$A$1:$G$1,0))</f>
        <v>M</v>
      </c>
      <c r="N149" s="4">
        <f>INDEX(Products!$A$1:$G$49,MATCH(Orders!$G149,Products!$A$1:$A$49,0),MATCH(Orders!N$1,Products!$A$1:$G$1,0))</f>
        <v>1</v>
      </c>
      <c r="O149" s="7">
        <f>INDEX(Products!$A$1:$G$49,MATCH(Orders!$G149,Products!$A$1:$A$49,0),MATCH(Orders!O$1,Products!$A$1:$G$1,0))</f>
        <v>13.75</v>
      </c>
      <c r="P149" s="7">
        <f t="shared" si="2"/>
        <v>27.5</v>
      </c>
      <c r="Q149" t="str" cm="1">
        <f t="array" ref="Q149">_xlfn.IFS(L149="Rob","Robusta",L149="Exc", "Excelsa",L149="Ara", "Arabica",L149="Lib", "Liberica")</f>
        <v>Excelsa</v>
      </c>
      <c r="R149" t="str" cm="1">
        <f t="array" ref="R149">_xlfn.IFS(M149="M","Medium",M149="L","Light",M149="D","Dark")</f>
        <v>Medium</v>
      </c>
    </row>
    <row r="150" spans="1:18">
      <c r="A150" s="2" t="s">
        <v>370</v>
      </c>
      <c r="B150" s="3">
        <v>44551</v>
      </c>
      <c r="C150" s="9">
        <f>YEAR(Orders_Table[[#This Row],[Order Date]])</f>
        <v>2021</v>
      </c>
      <c r="D150" s="9">
        <f>MONTH(Orders_Table[[#This Row],[Order Date]])</f>
        <v>12</v>
      </c>
      <c r="E150" s="9" t="str" cm="1">
        <f t="array" ref="E1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50" s="2" t="s">
        <v>371</v>
      </c>
      <c r="G150" t="s">
        <v>98</v>
      </c>
      <c r="H150" s="2">
        <v>5</v>
      </c>
      <c r="I150" s="2" t="str" cm="1">
        <f t="array" ref="I150">_xlfn.XLOOKUP(F150,Customers!A149:$A$1001,Customers!B149:$B$1001,"Not Found",0)</f>
        <v>Giacobo Skingle</v>
      </c>
      <c r="J150" s="2" t="str" cm="1">
        <f t="array" ref="J150">IF(_xlfn.XLOOKUP(F150,Customers!A149:$A$1001,Customers!C149:$C$1001,"Not Found",0)=0,"",_xlfn.XLOOKUP(F150,Customers!A149:$A$1001,Customers!C149:$C$1001,"Not Found",0))</f>
        <v>gskingle44@clickbank.net</v>
      </c>
      <c r="K150" s="2" t="str" cm="1">
        <f t="array" ref="K150">_xlfn.XLOOKUP(F150,Customers!A149:$A$1001,Customers!G149:$G$1001,"Not Found",0)</f>
        <v>United States</v>
      </c>
      <c r="L150" t="str">
        <f>INDEX(Products!$A$1:$G$49,MATCH(Orders!$G150,Products!$A$1:$A$49,0),MATCH(Orders!L$1,Products!$A$1:$G$1,0))</f>
        <v>Exc</v>
      </c>
      <c r="M150" t="str">
        <f>INDEX(Products!$A$1:$G$49,MATCH(Orders!$G150,Products!$A$1:$A$49,0),MATCH(Orders!M$1,Products!$A$1:$G$1,0))</f>
        <v>D</v>
      </c>
      <c r="N150" s="4">
        <f>INDEX(Products!$A$1:$G$49,MATCH(Orders!$G150,Products!$A$1:$A$49,0),MATCH(Orders!N$1,Products!$A$1:$G$1,0))</f>
        <v>0.2</v>
      </c>
      <c r="O150" s="7">
        <f>INDEX(Products!$A$1:$G$49,MATCH(Orders!$G150,Products!$A$1:$A$49,0),MATCH(Orders!O$1,Products!$A$1:$G$1,0))</f>
        <v>3.645</v>
      </c>
      <c r="P150" s="7">
        <f t="shared" si="2"/>
        <v>18.225000000000001</v>
      </c>
      <c r="Q150" t="str" cm="1">
        <f t="array" ref="Q150">_xlfn.IFS(L150="Rob","Robusta",L150="Exc", "Excelsa",L150="Ara", "Arabica",L150="Lib", "Liberica")</f>
        <v>Excelsa</v>
      </c>
      <c r="R150" t="str" cm="1">
        <f t="array" ref="R150">_xlfn.IFS(M150="M","Medium",M150="L","Light",M150="D","Dark")</f>
        <v>Dark</v>
      </c>
    </row>
    <row r="151" spans="1:18">
      <c r="A151" s="2" t="s">
        <v>372</v>
      </c>
      <c r="B151" s="3">
        <v>44108</v>
      </c>
      <c r="C151" s="9">
        <f>YEAR(Orders_Table[[#This Row],[Order Date]])</f>
        <v>2020</v>
      </c>
      <c r="D151" s="9">
        <f>MONTH(Orders_Table[[#This Row],[Order Date]])</f>
        <v>10</v>
      </c>
      <c r="E151" s="9" t="str" cm="1">
        <f t="array" ref="E1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51" s="2" t="s">
        <v>373</v>
      </c>
      <c r="G151" t="s">
        <v>218</v>
      </c>
      <c r="H151" s="2">
        <v>2</v>
      </c>
      <c r="I151" s="2" t="str" cm="1">
        <f t="array" ref="I151">_xlfn.XLOOKUP(F151,Customers!A150:$A$1001,Customers!B150:$B$1001,"Not Found",0)</f>
        <v>Gerard Pirdy</v>
      </c>
      <c r="J151" s="2" t="str" cm="1">
        <f t="array" ref="J151">IF(_xlfn.XLOOKUP(F151,Customers!A150:$A$1001,Customers!C150:$C$1001,"Not Found",0)=0,"",_xlfn.XLOOKUP(F151,Customers!A150:$A$1001,Customers!C150:$C$1001,"Not Found",0))</f>
        <v/>
      </c>
      <c r="K151" s="2" t="str" cm="1">
        <f t="array" ref="K151">_xlfn.XLOOKUP(F151,Customers!A150:$A$1001,Customers!G150:$G$1001,"Not Found",0)</f>
        <v>United States</v>
      </c>
      <c r="L151" t="str">
        <f>INDEX(Products!$A$1:$G$49,MATCH(Orders!$G151,Products!$A$1:$A$49,0),MATCH(Orders!L$1,Products!$A$1:$G$1,0))</f>
        <v>Ara</v>
      </c>
      <c r="M151" t="str">
        <f>INDEX(Products!$A$1:$G$49,MATCH(Orders!$G151,Products!$A$1:$A$49,0),MATCH(Orders!M$1,Products!$A$1:$G$1,0))</f>
        <v>M</v>
      </c>
      <c r="N151" s="4">
        <f>INDEX(Products!$A$1:$G$49,MATCH(Orders!$G151,Products!$A$1:$A$49,0),MATCH(Orders!N$1,Products!$A$1:$G$1,0))</f>
        <v>2.5</v>
      </c>
      <c r="O151" s="7">
        <f>INDEX(Products!$A$1:$G$49,MATCH(Orders!$G151,Products!$A$1:$A$49,0),MATCH(Orders!O$1,Products!$A$1:$G$1,0))</f>
        <v>25.874999999999996</v>
      </c>
      <c r="P151" s="7">
        <f t="shared" si="2"/>
        <v>51.749999999999993</v>
      </c>
      <c r="Q151" t="str" cm="1">
        <f t="array" ref="Q151">_xlfn.IFS(L151="Rob","Robusta",L151="Exc", "Excelsa",L151="Ara", "Arabica",L151="Lib", "Liberica")</f>
        <v>Arabica</v>
      </c>
      <c r="R151" t="str" cm="1">
        <f t="array" ref="R151">_xlfn.IFS(M151="M","Medium",M151="L","Light",M151="D","Dark")</f>
        <v>Medium</v>
      </c>
    </row>
    <row r="152" spans="1:18">
      <c r="A152" s="2" t="s">
        <v>374</v>
      </c>
      <c r="B152" s="3">
        <v>44051</v>
      </c>
      <c r="C152" s="9">
        <f>YEAR(Orders_Table[[#This Row],[Order Date]])</f>
        <v>2020</v>
      </c>
      <c r="D152" s="9">
        <f>MONTH(Orders_Table[[#This Row],[Order Date]])</f>
        <v>8</v>
      </c>
      <c r="E152" s="9" t="str" cm="1">
        <f t="array" ref="E1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52" s="2" t="s">
        <v>375</v>
      </c>
      <c r="G152" t="s">
        <v>60</v>
      </c>
      <c r="H152" s="2">
        <v>1</v>
      </c>
      <c r="I152" s="2" t="str" cm="1">
        <f t="array" ref="I152">_xlfn.XLOOKUP(F152,Customers!A151:$A$1001,Customers!B151:$B$1001,"Not Found",0)</f>
        <v>Jacinthe Balsillie</v>
      </c>
      <c r="J152" s="2" t="str" cm="1">
        <f t="array" ref="J152">IF(_xlfn.XLOOKUP(F152,Customers!A151:$A$1001,Customers!C151:$C$1001,"Not Found",0)=0,"",_xlfn.XLOOKUP(F152,Customers!A151:$A$1001,Customers!C151:$C$1001,"Not Found",0))</f>
        <v>jbalsillie46@princeton.edu</v>
      </c>
      <c r="K152" s="2" t="str" cm="1">
        <f t="array" ref="K152">_xlfn.XLOOKUP(F152,Customers!A151:$A$1001,Customers!G151:$G$1001,"Not Found",0)</f>
        <v>United States</v>
      </c>
      <c r="L152" t="str">
        <f>INDEX(Products!$A$1:$G$49,MATCH(Orders!$G152,Products!$A$1:$A$49,0),MATCH(Orders!L$1,Products!$A$1:$G$1,0))</f>
        <v>Lib</v>
      </c>
      <c r="M152" t="str">
        <f>INDEX(Products!$A$1:$G$49,MATCH(Orders!$G152,Products!$A$1:$A$49,0),MATCH(Orders!M$1,Products!$A$1:$G$1,0))</f>
        <v>D</v>
      </c>
      <c r="N152" s="4">
        <f>INDEX(Products!$A$1:$G$49,MATCH(Orders!$G152,Products!$A$1:$A$49,0),MATCH(Orders!N$1,Products!$A$1:$G$1,0))</f>
        <v>1</v>
      </c>
      <c r="O152" s="7">
        <f>INDEX(Products!$A$1:$G$49,MATCH(Orders!$G152,Products!$A$1:$A$49,0),MATCH(Orders!O$1,Products!$A$1:$G$1,0))</f>
        <v>12.95</v>
      </c>
      <c r="P152" s="7">
        <f t="shared" si="2"/>
        <v>12.95</v>
      </c>
      <c r="Q152" t="str" cm="1">
        <f t="array" ref="Q152">_xlfn.IFS(L152="Rob","Robusta",L152="Exc", "Excelsa",L152="Ara", "Arabica",L152="Lib", "Liberica")</f>
        <v>Liberica</v>
      </c>
      <c r="R152" t="str" cm="1">
        <f t="array" ref="R152">_xlfn.IFS(M152="M","Medium",M152="L","Light",M152="D","Dark")</f>
        <v>Dark</v>
      </c>
    </row>
    <row r="153" spans="1:18">
      <c r="A153" s="2" t="s">
        <v>376</v>
      </c>
      <c r="B153" s="3">
        <v>44115</v>
      </c>
      <c r="C153" s="9">
        <f>YEAR(Orders_Table[[#This Row],[Order Date]])</f>
        <v>2020</v>
      </c>
      <c r="D153" s="9">
        <f>MONTH(Orders_Table[[#This Row],[Order Date]])</f>
        <v>10</v>
      </c>
      <c r="E153" s="9" t="str" cm="1">
        <f t="array" ref="E1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53" s="2" t="s">
        <v>377</v>
      </c>
      <c r="G153" t="s">
        <v>108</v>
      </c>
      <c r="H153" s="2">
        <v>3</v>
      </c>
      <c r="I153" s="2" t="str" cm="1">
        <f t="array" ref="I153">_xlfn.XLOOKUP(F153,Customers!A152:$A$1001,Customers!B152:$B$1001,"Not Found",0)</f>
        <v>Quinton Fouracres</v>
      </c>
      <c r="J153" s="2" t="str" cm="1">
        <f t="array" ref="J153">IF(_xlfn.XLOOKUP(F153,Customers!A152:$A$1001,Customers!C152:$C$1001,"Not Found",0)=0,"",_xlfn.XLOOKUP(F153,Customers!A152:$A$1001,Customers!C152:$C$1001,"Not Found",0))</f>
        <v/>
      </c>
      <c r="K153" s="2" t="str" cm="1">
        <f t="array" ref="K153">_xlfn.XLOOKUP(F153,Customers!A152:$A$1001,Customers!G152:$G$1001,"Not Found",0)</f>
        <v>United States</v>
      </c>
      <c r="L153" t="str">
        <f>INDEX(Products!$A$1:$G$49,MATCH(Orders!$G153,Products!$A$1:$A$49,0),MATCH(Orders!L$1,Products!$A$1:$G$1,0))</f>
        <v>Ara</v>
      </c>
      <c r="M153" t="str">
        <f>INDEX(Products!$A$1:$G$49,MATCH(Orders!$G153,Products!$A$1:$A$49,0),MATCH(Orders!M$1,Products!$A$1:$G$1,0))</f>
        <v>M</v>
      </c>
      <c r="N153" s="4">
        <f>INDEX(Products!$A$1:$G$49,MATCH(Orders!$G153,Products!$A$1:$A$49,0),MATCH(Orders!N$1,Products!$A$1:$G$1,0))</f>
        <v>1</v>
      </c>
      <c r="O153" s="7">
        <f>INDEX(Products!$A$1:$G$49,MATCH(Orders!$G153,Products!$A$1:$A$49,0),MATCH(Orders!O$1,Products!$A$1:$G$1,0))</f>
        <v>11.25</v>
      </c>
      <c r="P153" s="7">
        <f t="shared" si="2"/>
        <v>33.75</v>
      </c>
      <c r="Q153" t="str" cm="1">
        <f t="array" ref="Q153">_xlfn.IFS(L153="Rob","Robusta",L153="Exc", "Excelsa",L153="Ara", "Arabica",L153="Lib", "Liberica")</f>
        <v>Arabica</v>
      </c>
      <c r="R153" t="str" cm="1">
        <f t="array" ref="R153">_xlfn.IFS(M153="M","Medium",M153="L","Light",M153="D","Dark")</f>
        <v>Medium</v>
      </c>
    </row>
    <row r="154" spans="1:18">
      <c r="A154" s="2" t="s">
        <v>378</v>
      </c>
      <c r="B154" s="3">
        <v>44510</v>
      </c>
      <c r="C154" s="9">
        <f>YEAR(Orders_Table[[#This Row],[Order Date]])</f>
        <v>2021</v>
      </c>
      <c r="D154" s="9">
        <f>MONTH(Orders_Table[[#This Row],[Order Date]])</f>
        <v>11</v>
      </c>
      <c r="E154" s="9" t="str" cm="1">
        <f t="array" ref="E1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154" s="2" t="s">
        <v>379</v>
      </c>
      <c r="G154" t="s">
        <v>88</v>
      </c>
      <c r="H154" s="2">
        <v>3</v>
      </c>
      <c r="I154" s="2" t="str" cm="1">
        <f t="array" ref="I154">_xlfn.XLOOKUP(F154,Customers!A153:$A$1001,Customers!B153:$B$1001,"Not Found",0)</f>
        <v>Bettina Leffek</v>
      </c>
      <c r="J154" s="2" t="str" cm="1">
        <f t="array" ref="J154">IF(_xlfn.XLOOKUP(F154,Customers!A153:$A$1001,Customers!C153:$C$1001,"Not Found",0)=0,"",_xlfn.XLOOKUP(F154,Customers!A153:$A$1001,Customers!C153:$C$1001,"Not Found",0))</f>
        <v>bleffek48@ning.com</v>
      </c>
      <c r="K154" s="2" t="str" cm="1">
        <f t="array" ref="K154">_xlfn.XLOOKUP(F154,Customers!A153:$A$1001,Customers!G153:$G$1001,"Not Found",0)</f>
        <v>United States</v>
      </c>
      <c r="L154" t="str">
        <f>INDEX(Products!$A$1:$G$49,MATCH(Orders!$G154,Products!$A$1:$A$49,0),MATCH(Orders!L$1,Products!$A$1:$G$1,0))</f>
        <v>Rob</v>
      </c>
      <c r="M154" t="str">
        <f>INDEX(Products!$A$1:$G$49,MATCH(Orders!$G154,Products!$A$1:$A$49,0),MATCH(Orders!M$1,Products!$A$1:$G$1,0))</f>
        <v>M</v>
      </c>
      <c r="N154" s="4">
        <f>INDEX(Products!$A$1:$G$49,MATCH(Orders!$G154,Products!$A$1:$A$49,0),MATCH(Orders!N$1,Products!$A$1:$G$1,0))</f>
        <v>2.5</v>
      </c>
      <c r="O154" s="7">
        <f>INDEX(Products!$A$1:$G$49,MATCH(Orders!$G154,Products!$A$1:$A$49,0),MATCH(Orders!O$1,Products!$A$1:$G$1,0))</f>
        <v>22.884999999999998</v>
      </c>
      <c r="P154" s="7">
        <f t="shared" si="2"/>
        <v>68.655000000000001</v>
      </c>
      <c r="Q154" t="str" cm="1">
        <f t="array" ref="Q154">_xlfn.IFS(L154="Rob","Robusta",L154="Exc", "Excelsa",L154="Ara", "Arabica",L154="Lib", "Liberica")</f>
        <v>Robusta</v>
      </c>
      <c r="R154" t="str" cm="1">
        <f t="array" ref="R154">_xlfn.IFS(M154="M","Medium",M154="L","Light",M154="D","Dark")</f>
        <v>Medium</v>
      </c>
    </row>
    <row r="155" spans="1:18">
      <c r="A155" s="2" t="s">
        <v>380</v>
      </c>
      <c r="B155" s="3">
        <v>44367</v>
      </c>
      <c r="C155" s="9">
        <f>YEAR(Orders_Table[[#This Row],[Order Date]])</f>
        <v>2021</v>
      </c>
      <c r="D155" s="9">
        <f>MONTH(Orders_Table[[#This Row],[Order Date]])</f>
        <v>6</v>
      </c>
      <c r="E155" s="9" t="str" cm="1">
        <f t="array" ref="E1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55" s="2" t="s">
        <v>381</v>
      </c>
      <c r="G155" t="s">
        <v>148</v>
      </c>
      <c r="H155" s="2">
        <v>1</v>
      </c>
      <c r="I155" s="2" t="str" cm="1">
        <f t="array" ref="I155">_xlfn.XLOOKUP(F155,Customers!A154:$A$1001,Customers!B154:$B$1001,"Not Found",0)</f>
        <v>Hetti Penson</v>
      </c>
      <c r="J155" s="2" t="str" cm="1">
        <f t="array" ref="J155">IF(_xlfn.XLOOKUP(F155,Customers!A154:$A$1001,Customers!C154:$C$1001,"Not Found",0)=0,"",_xlfn.XLOOKUP(F155,Customers!A154:$A$1001,Customers!C154:$C$1001,"Not Found",0))</f>
        <v/>
      </c>
      <c r="K155" s="2" t="str" cm="1">
        <f t="array" ref="K155">_xlfn.XLOOKUP(F155,Customers!A154:$A$1001,Customers!G154:$G$1001,"Not Found",0)</f>
        <v>United States</v>
      </c>
      <c r="L155" t="str">
        <f>INDEX(Products!$A$1:$G$49,MATCH(Orders!$G155,Products!$A$1:$A$49,0),MATCH(Orders!L$1,Products!$A$1:$G$1,0))</f>
        <v>Rob</v>
      </c>
      <c r="M155" t="str">
        <f>INDEX(Products!$A$1:$G$49,MATCH(Orders!$G155,Products!$A$1:$A$49,0),MATCH(Orders!M$1,Products!$A$1:$G$1,0))</f>
        <v>D</v>
      </c>
      <c r="N155" s="4">
        <f>INDEX(Products!$A$1:$G$49,MATCH(Orders!$G155,Products!$A$1:$A$49,0),MATCH(Orders!N$1,Products!$A$1:$G$1,0))</f>
        <v>0.2</v>
      </c>
      <c r="O155" s="7">
        <f>INDEX(Products!$A$1:$G$49,MATCH(Orders!$G155,Products!$A$1:$A$49,0),MATCH(Orders!O$1,Products!$A$1:$G$1,0))</f>
        <v>2.6849999999999996</v>
      </c>
      <c r="P155" s="7">
        <f t="shared" si="2"/>
        <v>2.6849999999999996</v>
      </c>
      <c r="Q155" t="str" cm="1">
        <f t="array" ref="Q155">_xlfn.IFS(L155="Rob","Robusta",L155="Exc", "Excelsa",L155="Ara", "Arabica",L155="Lib", "Liberica")</f>
        <v>Robusta</v>
      </c>
      <c r="R155" t="str" cm="1">
        <f t="array" ref="R155">_xlfn.IFS(M155="M","Medium",M155="L","Light",M155="D","Dark")</f>
        <v>Dark</v>
      </c>
    </row>
    <row r="156" spans="1:18">
      <c r="A156" s="2" t="s">
        <v>382</v>
      </c>
      <c r="B156" s="3">
        <v>44473</v>
      </c>
      <c r="C156" s="9">
        <f>YEAR(Orders_Table[[#This Row],[Order Date]])</f>
        <v>2021</v>
      </c>
      <c r="D156" s="9">
        <f>MONTH(Orders_Table[[#This Row],[Order Date]])</f>
        <v>10</v>
      </c>
      <c r="E156" s="9" t="str" cm="1">
        <f t="array" ref="E1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56" s="2" t="s">
        <v>383</v>
      </c>
      <c r="G156" t="s">
        <v>165</v>
      </c>
      <c r="H156" s="2">
        <v>5</v>
      </c>
      <c r="I156" s="2" t="str" cm="1">
        <f t="array" ref="I156">_xlfn.XLOOKUP(F156,Customers!A155:$A$1001,Customers!B155:$B$1001,"Not Found",0)</f>
        <v>Jocko Pray</v>
      </c>
      <c r="J156" s="2" t="str" cm="1">
        <f t="array" ref="J156">IF(_xlfn.XLOOKUP(F156,Customers!A155:$A$1001,Customers!C155:$C$1001,"Not Found",0)=0,"",_xlfn.XLOOKUP(F156,Customers!A155:$A$1001,Customers!C155:$C$1001,"Not Found",0))</f>
        <v>jpray4a@youtube.com</v>
      </c>
      <c r="K156" s="2" t="str" cm="1">
        <f t="array" ref="K156">_xlfn.XLOOKUP(F156,Customers!A155:$A$1001,Customers!G155:$G$1001,"Not Found",0)</f>
        <v>United States</v>
      </c>
      <c r="L156" t="str">
        <f>INDEX(Products!$A$1:$G$49,MATCH(Orders!$G156,Products!$A$1:$A$49,0),MATCH(Orders!L$1,Products!$A$1:$G$1,0))</f>
        <v>Ara</v>
      </c>
      <c r="M156" t="str">
        <f>INDEX(Products!$A$1:$G$49,MATCH(Orders!$G156,Products!$A$1:$A$49,0),MATCH(Orders!M$1,Products!$A$1:$G$1,0))</f>
        <v>D</v>
      </c>
      <c r="N156" s="4">
        <f>INDEX(Products!$A$1:$G$49,MATCH(Orders!$G156,Products!$A$1:$A$49,0),MATCH(Orders!N$1,Products!$A$1:$G$1,0))</f>
        <v>2.5</v>
      </c>
      <c r="O156" s="7">
        <f>INDEX(Products!$A$1:$G$49,MATCH(Orders!$G156,Products!$A$1:$A$49,0),MATCH(Orders!O$1,Products!$A$1:$G$1,0))</f>
        <v>22.884999999999998</v>
      </c>
      <c r="P156" s="7">
        <f t="shared" si="2"/>
        <v>114.42499999999998</v>
      </c>
      <c r="Q156" t="str" cm="1">
        <f t="array" ref="Q156">_xlfn.IFS(L156="Rob","Robusta",L156="Exc", "Excelsa",L156="Ara", "Arabica",L156="Lib", "Liberica")</f>
        <v>Arabica</v>
      </c>
      <c r="R156" t="str" cm="1">
        <f t="array" ref="R156">_xlfn.IFS(M156="M","Medium",M156="L","Light",M156="D","Dark")</f>
        <v>Dark</v>
      </c>
    </row>
    <row r="157" spans="1:18">
      <c r="A157" s="2" t="s">
        <v>384</v>
      </c>
      <c r="B157" s="3">
        <v>43640</v>
      </c>
      <c r="C157" s="9">
        <f>YEAR(Orders_Table[[#This Row],[Order Date]])</f>
        <v>2019</v>
      </c>
      <c r="D157" s="9">
        <f>MONTH(Orders_Table[[#This Row],[Order Date]])</f>
        <v>6</v>
      </c>
      <c r="E157" s="9" t="str" cm="1">
        <f t="array" ref="E1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57" s="2" t="s">
        <v>385</v>
      </c>
      <c r="G157" t="s">
        <v>218</v>
      </c>
      <c r="H157" s="2">
        <v>6</v>
      </c>
      <c r="I157" s="2" t="str" cm="1">
        <f t="array" ref="I157">_xlfn.XLOOKUP(F157,Customers!A156:$A$1001,Customers!B156:$B$1001,"Not Found",0)</f>
        <v>Grete Holborn</v>
      </c>
      <c r="J157" s="2" t="str" cm="1">
        <f t="array" ref="J157">IF(_xlfn.XLOOKUP(F157,Customers!A156:$A$1001,Customers!C156:$C$1001,"Not Found",0)=0,"",_xlfn.XLOOKUP(F157,Customers!A156:$A$1001,Customers!C156:$C$1001,"Not Found",0))</f>
        <v>gholborn4b@ow.ly</v>
      </c>
      <c r="K157" s="2" t="str" cm="1">
        <f t="array" ref="K157">_xlfn.XLOOKUP(F157,Customers!A156:$A$1001,Customers!G156:$G$1001,"Not Found",0)</f>
        <v>United States</v>
      </c>
      <c r="L157" t="str">
        <f>INDEX(Products!$A$1:$G$49,MATCH(Orders!$G157,Products!$A$1:$A$49,0),MATCH(Orders!L$1,Products!$A$1:$G$1,0))</f>
        <v>Ara</v>
      </c>
      <c r="M157" t="str">
        <f>INDEX(Products!$A$1:$G$49,MATCH(Orders!$G157,Products!$A$1:$A$49,0),MATCH(Orders!M$1,Products!$A$1:$G$1,0))</f>
        <v>M</v>
      </c>
      <c r="N157" s="4">
        <f>INDEX(Products!$A$1:$G$49,MATCH(Orders!$G157,Products!$A$1:$A$49,0),MATCH(Orders!N$1,Products!$A$1:$G$1,0))</f>
        <v>2.5</v>
      </c>
      <c r="O157" s="7">
        <f>INDEX(Products!$A$1:$G$49,MATCH(Orders!$G157,Products!$A$1:$A$49,0),MATCH(Orders!O$1,Products!$A$1:$G$1,0))</f>
        <v>25.874999999999996</v>
      </c>
      <c r="P157" s="7">
        <f t="shared" si="2"/>
        <v>155.24999999999997</v>
      </c>
      <c r="Q157" t="str" cm="1">
        <f t="array" ref="Q157">_xlfn.IFS(L157="Rob","Robusta",L157="Exc", "Excelsa",L157="Ara", "Arabica",L157="Lib", "Liberica")</f>
        <v>Arabica</v>
      </c>
      <c r="R157" t="str" cm="1">
        <f t="array" ref="R157">_xlfn.IFS(M157="M","Medium",M157="L","Light",M157="D","Dark")</f>
        <v>Medium</v>
      </c>
    </row>
    <row r="158" spans="1:18">
      <c r="A158" s="2" t="s">
        <v>386</v>
      </c>
      <c r="B158" s="3">
        <v>43764</v>
      </c>
      <c r="C158" s="9">
        <f>YEAR(Orders_Table[[#This Row],[Order Date]])</f>
        <v>2019</v>
      </c>
      <c r="D158" s="9">
        <f>MONTH(Orders_Table[[#This Row],[Order Date]])</f>
        <v>10</v>
      </c>
      <c r="E158" s="9" t="str" cm="1">
        <f t="array" ref="E1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58" s="2" t="s">
        <v>387</v>
      </c>
      <c r="G158" t="s">
        <v>218</v>
      </c>
      <c r="H158" s="2">
        <v>3</v>
      </c>
      <c r="I158" s="2" t="str" cm="1">
        <f t="array" ref="I158">_xlfn.XLOOKUP(F158,Customers!A157:$A$1001,Customers!B157:$B$1001,"Not Found",0)</f>
        <v>Fielding Keinrat</v>
      </c>
      <c r="J158" s="2" t="str" cm="1">
        <f t="array" ref="J158">IF(_xlfn.XLOOKUP(F158,Customers!A157:$A$1001,Customers!C157:$C$1001,"Not Found",0)=0,"",_xlfn.XLOOKUP(F158,Customers!A157:$A$1001,Customers!C157:$C$1001,"Not Found",0))</f>
        <v>fkeinrat4c@dailymail.co.uk</v>
      </c>
      <c r="K158" s="2" t="str" cm="1">
        <f t="array" ref="K158">_xlfn.XLOOKUP(F158,Customers!A157:$A$1001,Customers!G157:$G$1001,"Not Found",0)</f>
        <v>United States</v>
      </c>
      <c r="L158" t="str">
        <f>INDEX(Products!$A$1:$G$49,MATCH(Orders!$G158,Products!$A$1:$A$49,0),MATCH(Orders!L$1,Products!$A$1:$G$1,0))</f>
        <v>Ara</v>
      </c>
      <c r="M158" t="str">
        <f>INDEX(Products!$A$1:$G$49,MATCH(Orders!$G158,Products!$A$1:$A$49,0),MATCH(Orders!M$1,Products!$A$1:$G$1,0))</f>
        <v>M</v>
      </c>
      <c r="N158" s="4">
        <f>INDEX(Products!$A$1:$G$49,MATCH(Orders!$G158,Products!$A$1:$A$49,0),MATCH(Orders!N$1,Products!$A$1:$G$1,0))</f>
        <v>2.5</v>
      </c>
      <c r="O158" s="7">
        <f>INDEX(Products!$A$1:$G$49,MATCH(Orders!$G158,Products!$A$1:$A$49,0),MATCH(Orders!O$1,Products!$A$1:$G$1,0))</f>
        <v>25.874999999999996</v>
      </c>
      <c r="P158" s="7">
        <f t="shared" si="2"/>
        <v>77.624999999999986</v>
      </c>
      <c r="Q158" t="str" cm="1">
        <f t="array" ref="Q158">_xlfn.IFS(L158="Rob","Robusta",L158="Exc", "Excelsa",L158="Ara", "Arabica",L158="Lib", "Liberica")</f>
        <v>Arabica</v>
      </c>
      <c r="R158" t="str" cm="1">
        <f t="array" ref="R158">_xlfn.IFS(M158="M","Medium",M158="L","Light",M158="D","Dark")</f>
        <v>Medium</v>
      </c>
    </row>
    <row r="159" spans="1:18">
      <c r="A159" s="2" t="s">
        <v>388</v>
      </c>
      <c r="B159" s="3">
        <v>44374</v>
      </c>
      <c r="C159" s="9">
        <f>YEAR(Orders_Table[[#This Row],[Order Date]])</f>
        <v>2021</v>
      </c>
      <c r="D159" s="9">
        <f>MONTH(Orders_Table[[#This Row],[Order Date]])</f>
        <v>6</v>
      </c>
      <c r="E159" s="9" t="str" cm="1">
        <f t="array" ref="E1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59" s="2" t="s">
        <v>389</v>
      </c>
      <c r="G159" t="s">
        <v>82</v>
      </c>
      <c r="H159" s="2">
        <v>3</v>
      </c>
      <c r="I159" s="2" t="str" cm="1">
        <f t="array" ref="I159">_xlfn.XLOOKUP(F159,Customers!A158:$A$1001,Customers!B158:$B$1001,"Not Found",0)</f>
        <v>Paulo Yea</v>
      </c>
      <c r="J159" s="2" t="str" cm="1">
        <f t="array" ref="J159">IF(_xlfn.XLOOKUP(F159,Customers!A158:$A$1001,Customers!C158:$C$1001,"Not Found",0)=0,"",_xlfn.XLOOKUP(F159,Customers!A158:$A$1001,Customers!C158:$C$1001,"Not Found",0))</f>
        <v>pyea4d@aol.com</v>
      </c>
      <c r="K159" s="2" t="str" cm="1">
        <f t="array" ref="K159">_xlfn.XLOOKUP(F159,Customers!A158:$A$1001,Customers!G158:$G$1001,"Not Found",0)</f>
        <v>Ireland</v>
      </c>
      <c r="L159" t="str">
        <f>INDEX(Products!$A$1:$G$49,MATCH(Orders!$G159,Products!$A$1:$A$49,0),MATCH(Orders!L$1,Products!$A$1:$G$1,0))</f>
        <v>Rob</v>
      </c>
      <c r="M159" t="str">
        <f>INDEX(Products!$A$1:$G$49,MATCH(Orders!$G159,Products!$A$1:$A$49,0),MATCH(Orders!M$1,Products!$A$1:$G$1,0))</f>
        <v>D</v>
      </c>
      <c r="N159" s="4">
        <f>INDEX(Products!$A$1:$G$49,MATCH(Orders!$G159,Products!$A$1:$A$49,0),MATCH(Orders!N$1,Products!$A$1:$G$1,0))</f>
        <v>2.5</v>
      </c>
      <c r="O159" s="7">
        <f>INDEX(Products!$A$1:$G$49,MATCH(Orders!$G159,Products!$A$1:$A$49,0),MATCH(Orders!O$1,Products!$A$1:$G$1,0))</f>
        <v>20.584999999999997</v>
      </c>
      <c r="P159" s="7">
        <f t="shared" si="2"/>
        <v>61.754999999999995</v>
      </c>
      <c r="Q159" t="str" cm="1">
        <f t="array" ref="Q159">_xlfn.IFS(L159="Rob","Robusta",L159="Exc", "Excelsa",L159="Ara", "Arabica",L159="Lib", "Liberica")</f>
        <v>Robusta</v>
      </c>
      <c r="R159" t="str" cm="1">
        <f t="array" ref="R159">_xlfn.IFS(M159="M","Medium",M159="L","Light",M159="D","Dark")</f>
        <v>Dark</v>
      </c>
    </row>
    <row r="160" spans="1:18">
      <c r="A160" s="2" t="s">
        <v>390</v>
      </c>
      <c r="B160" s="3">
        <v>43714</v>
      </c>
      <c r="C160" s="9">
        <f>YEAR(Orders_Table[[#This Row],[Order Date]])</f>
        <v>2019</v>
      </c>
      <c r="D160" s="9">
        <f>MONTH(Orders_Table[[#This Row],[Order Date]])</f>
        <v>9</v>
      </c>
      <c r="E160" s="9" t="str" cm="1">
        <f t="array" ref="E1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160" s="2" t="s">
        <v>391</v>
      </c>
      <c r="G160" t="s">
        <v>82</v>
      </c>
      <c r="H160" s="2">
        <v>6</v>
      </c>
      <c r="I160" s="2" t="str" cm="1">
        <f t="array" ref="I160">_xlfn.XLOOKUP(F160,Customers!A159:$A$1001,Customers!B159:$B$1001,"Not Found",0)</f>
        <v>Say Risborough</v>
      </c>
      <c r="J160" s="2" t="str" cm="1">
        <f t="array" ref="J160">IF(_xlfn.XLOOKUP(F160,Customers!A159:$A$1001,Customers!C159:$C$1001,"Not Found",0)=0,"",_xlfn.XLOOKUP(F160,Customers!A159:$A$1001,Customers!C159:$C$1001,"Not Found",0))</f>
        <v/>
      </c>
      <c r="K160" s="2" t="str" cm="1">
        <f t="array" ref="K160">_xlfn.XLOOKUP(F160,Customers!A159:$A$1001,Customers!G159:$G$1001,"Not Found",0)</f>
        <v>United States</v>
      </c>
      <c r="L160" t="str">
        <f>INDEX(Products!$A$1:$G$49,MATCH(Orders!$G160,Products!$A$1:$A$49,0),MATCH(Orders!L$1,Products!$A$1:$G$1,0))</f>
        <v>Rob</v>
      </c>
      <c r="M160" t="str">
        <f>INDEX(Products!$A$1:$G$49,MATCH(Orders!$G160,Products!$A$1:$A$49,0),MATCH(Orders!M$1,Products!$A$1:$G$1,0))</f>
        <v>D</v>
      </c>
      <c r="N160" s="4">
        <f>INDEX(Products!$A$1:$G$49,MATCH(Orders!$G160,Products!$A$1:$A$49,0),MATCH(Orders!N$1,Products!$A$1:$G$1,0))</f>
        <v>2.5</v>
      </c>
      <c r="O160" s="7">
        <f>INDEX(Products!$A$1:$G$49,MATCH(Orders!$G160,Products!$A$1:$A$49,0),MATCH(Orders!O$1,Products!$A$1:$G$1,0))</f>
        <v>20.584999999999997</v>
      </c>
      <c r="P160" s="7">
        <f t="shared" si="2"/>
        <v>123.50999999999999</v>
      </c>
      <c r="Q160" t="str" cm="1">
        <f t="array" ref="Q160">_xlfn.IFS(L160="Rob","Robusta",L160="Exc", "Excelsa",L160="Ara", "Arabica",L160="Lib", "Liberica")</f>
        <v>Robusta</v>
      </c>
      <c r="R160" t="str" cm="1">
        <f t="array" ref="R160">_xlfn.IFS(M160="M","Medium",M160="L","Light",M160="D","Dark")</f>
        <v>Dark</v>
      </c>
    </row>
    <row r="161" spans="1:18">
      <c r="A161" s="2" t="s">
        <v>392</v>
      </c>
      <c r="B161" s="3">
        <v>44316</v>
      </c>
      <c r="C161" s="9">
        <f>YEAR(Orders_Table[[#This Row],[Order Date]])</f>
        <v>2021</v>
      </c>
      <c r="D161" s="9">
        <f>MONTH(Orders_Table[[#This Row],[Order Date]])</f>
        <v>4</v>
      </c>
      <c r="E161" s="9" t="str" cm="1">
        <f t="array" ref="E1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61" s="2" t="s">
        <v>393</v>
      </c>
      <c r="G161" t="s">
        <v>151</v>
      </c>
      <c r="H161" s="2">
        <v>6</v>
      </c>
      <c r="I161" s="2" t="str" cm="1">
        <f t="array" ref="I161">_xlfn.XLOOKUP(F161,Customers!A160:$A$1001,Customers!B160:$B$1001,"Not Found",0)</f>
        <v>Alexa Sizey</v>
      </c>
      <c r="J161" s="2" t="str" cm="1">
        <f t="array" ref="J161">IF(_xlfn.XLOOKUP(F161,Customers!A160:$A$1001,Customers!C160:$C$1001,"Not Found",0)=0,"",_xlfn.XLOOKUP(F161,Customers!A160:$A$1001,Customers!C160:$C$1001,"Not Found",0))</f>
        <v/>
      </c>
      <c r="K161" s="2" t="str" cm="1">
        <f t="array" ref="K161">_xlfn.XLOOKUP(F161,Customers!A160:$A$1001,Customers!G160:$G$1001,"Not Found",0)</f>
        <v>United States</v>
      </c>
      <c r="L161" t="str">
        <f>INDEX(Products!$A$1:$G$49,MATCH(Orders!$G161,Products!$A$1:$A$49,0),MATCH(Orders!L$1,Products!$A$1:$G$1,0))</f>
        <v>Lib</v>
      </c>
      <c r="M161" t="str">
        <f>INDEX(Products!$A$1:$G$49,MATCH(Orders!$G161,Products!$A$1:$A$49,0),MATCH(Orders!M$1,Products!$A$1:$G$1,0))</f>
        <v>L</v>
      </c>
      <c r="N161" s="4">
        <f>INDEX(Products!$A$1:$G$49,MATCH(Orders!$G161,Products!$A$1:$A$49,0),MATCH(Orders!N$1,Products!$A$1:$G$1,0))</f>
        <v>2.5</v>
      </c>
      <c r="O161" s="7">
        <f>INDEX(Products!$A$1:$G$49,MATCH(Orders!$G161,Products!$A$1:$A$49,0),MATCH(Orders!O$1,Products!$A$1:$G$1,0))</f>
        <v>36.454999999999998</v>
      </c>
      <c r="P161" s="7">
        <f t="shared" si="2"/>
        <v>218.73</v>
      </c>
      <c r="Q161" t="str" cm="1">
        <f t="array" ref="Q161">_xlfn.IFS(L161="Rob","Robusta",L161="Exc", "Excelsa",L161="Ara", "Arabica",L161="Lib", "Liberica")</f>
        <v>Liberica</v>
      </c>
      <c r="R161" t="str" cm="1">
        <f t="array" ref="R161">_xlfn.IFS(M161="M","Medium",M161="L","Light",M161="D","Dark")</f>
        <v>Light</v>
      </c>
    </row>
    <row r="162" spans="1:18">
      <c r="A162" s="2" t="s">
        <v>394</v>
      </c>
      <c r="B162" s="3">
        <v>43837</v>
      </c>
      <c r="C162" s="9">
        <f>YEAR(Orders_Table[[#This Row],[Order Date]])</f>
        <v>2020</v>
      </c>
      <c r="D162" s="9">
        <f>MONTH(Orders_Table[[#This Row],[Order Date]])</f>
        <v>1</v>
      </c>
      <c r="E162" s="9" t="str" cm="1">
        <f t="array" ref="E1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162" s="2" t="s">
        <v>395</v>
      </c>
      <c r="G162" t="s">
        <v>50</v>
      </c>
      <c r="H162" s="2">
        <v>4</v>
      </c>
      <c r="I162" s="2" t="str" cm="1">
        <f t="array" ref="I162">_xlfn.XLOOKUP(F162,Customers!A161:$A$1001,Customers!B161:$B$1001,"Not Found",0)</f>
        <v>Kari Swede</v>
      </c>
      <c r="J162" s="2" t="str" cm="1">
        <f t="array" ref="J162">IF(_xlfn.XLOOKUP(F162,Customers!A161:$A$1001,Customers!C161:$C$1001,"Not Found",0)=0,"",_xlfn.XLOOKUP(F162,Customers!A161:$A$1001,Customers!C161:$C$1001,"Not Found",0))</f>
        <v>kswede4g@addthis.com</v>
      </c>
      <c r="K162" s="2" t="str" cm="1">
        <f t="array" ref="K162">_xlfn.XLOOKUP(F162,Customers!A161:$A$1001,Customers!G161:$G$1001,"Not Found",0)</f>
        <v>United States</v>
      </c>
      <c r="L162" t="str">
        <f>INDEX(Products!$A$1:$G$49,MATCH(Orders!$G162,Products!$A$1:$A$49,0),MATCH(Orders!L$1,Products!$A$1:$G$1,0))</f>
        <v>Exc</v>
      </c>
      <c r="M162" t="str">
        <f>INDEX(Products!$A$1:$G$49,MATCH(Orders!$G162,Products!$A$1:$A$49,0),MATCH(Orders!M$1,Products!$A$1:$G$1,0))</f>
        <v>M</v>
      </c>
      <c r="N162" s="4">
        <f>INDEX(Products!$A$1:$G$49,MATCH(Orders!$G162,Products!$A$1:$A$49,0),MATCH(Orders!N$1,Products!$A$1:$G$1,0))</f>
        <v>0.5</v>
      </c>
      <c r="O162" s="7">
        <f>INDEX(Products!$A$1:$G$49,MATCH(Orders!$G162,Products!$A$1:$A$49,0),MATCH(Orders!O$1,Products!$A$1:$G$1,0))</f>
        <v>8.25</v>
      </c>
      <c r="P162" s="7">
        <f t="shared" si="2"/>
        <v>33</v>
      </c>
      <c r="Q162" t="str" cm="1">
        <f t="array" ref="Q162">_xlfn.IFS(L162="Rob","Robusta",L162="Exc", "Excelsa",L162="Ara", "Arabica",L162="Lib", "Liberica")</f>
        <v>Excelsa</v>
      </c>
      <c r="R162" t="str" cm="1">
        <f t="array" ref="R162">_xlfn.IFS(M162="M","Medium",M162="L","Light",M162="D","Dark")</f>
        <v>Medium</v>
      </c>
    </row>
    <row r="163" spans="1:18">
      <c r="A163" s="2" t="s">
        <v>396</v>
      </c>
      <c r="B163" s="3">
        <v>44207</v>
      </c>
      <c r="C163" s="9">
        <f>YEAR(Orders_Table[[#This Row],[Order Date]])</f>
        <v>2021</v>
      </c>
      <c r="D163" s="9">
        <f>MONTH(Orders_Table[[#This Row],[Order Date]])</f>
        <v>1</v>
      </c>
      <c r="E163" s="9" t="str" cm="1">
        <f t="array" ref="E1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163" s="2" t="s">
        <v>397</v>
      </c>
      <c r="G163" t="s">
        <v>239</v>
      </c>
      <c r="H163" s="2">
        <v>3</v>
      </c>
      <c r="I163" s="2" t="str" cm="1">
        <f t="array" ref="I163">_xlfn.XLOOKUP(F163,Customers!A162:$A$1001,Customers!B162:$B$1001,"Not Found",0)</f>
        <v>Leontine Rubrow</v>
      </c>
      <c r="J163" s="2" t="str" cm="1">
        <f t="array" ref="J163">IF(_xlfn.XLOOKUP(F163,Customers!A162:$A$1001,Customers!C162:$C$1001,"Not Found",0)=0,"",_xlfn.XLOOKUP(F163,Customers!A162:$A$1001,Customers!C162:$C$1001,"Not Found",0))</f>
        <v>lrubrow4h@microsoft.com</v>
      </c>
      <c r="K163" s="2" t="str" cm="1">
        <f t="array" ref="K163">_xlfn.XLOOKUP(F163,Customers!A162:$A$1001,Customers!G162:$G$1001,"Not Found",0)</f>
        <v>United States</v>
      </c>
      <c r="L163" t="str">
        <f>INDEX(Products!$A$1:$G$49,MATCH(Orders!$G163,Products!$A$1:$A$49,0),MATCH(Orders!L$1,Products!$A$1:$G$1,0))</f>
        <v>Ara</v>
      </c>
      <c r="M163" t="str">
        <f>INDEX(Products!$A$1:$G$49,MATCH(Orders!$G163,Products!$A$1:$A$49,0),MATCH(Orders!M$1,Products!$A$1:$G$1,0))</f>
        <v>L</v>
      </c>
      <c r="N163" s="4">
        <f>INDEX(Products!$A$1:$G$49,MATCH(Orders!$G163,Products!$A$1:$A$49,0),MATCH(Orders!N$1,Products!$A$1:$G$1,0))</f>
        <v>0.5</v>
      </c>
      <c r="O163" s="7">
        <f>INDEX(Products!$A$1:$G$49,MATCH(Orders!$G163,Products!$A$1:$A$49,0),MATCH(Orders!O$1,Products!$A$1:$G$1,0))</f>
        <v>7.77</v>
      </c>
      <c r="P163" s="7">
        <f t="shared" si="2"/>
        <v>23.31</v>
      </c>
      <c r="Q163" t="str" cm="1">
        <f t="array" ref="Q163">_xlfn.IFS(L163="Rob","Robusta",L163="Exc", "Excelsa",L163="Ara", "Arabica",L163="Lib", "Liberica")</f>
        <v>Arabica</v>
      </c>
      <c r="R163" t="str" cm="1">
        <f t="array" ref="R163">_xlfn.IFS(M163="M","Medium",M163="L","Light",M163="D","Dark")</f>
        <v>Light</v>
      </c>
    </row>
    <row r="164" spans="1:18">
      <c r="A164" s="2" t="s">
        <v>398</v>
      </c>
      <c r="B164" s="3">
        <v>44515</v>
      </c>
      <c r="C164" s="9">
        <f>YEAR(Orders_Table[[#This Row],[Order Date]])</f>
        <v>2021</v>
      </c>
      <c r="D164" s="9">
        <f>MONTH(Orders_Table[[#This Row],[Order Date]])</f>
        <v>11</v>
      </c>
      <c r="E164" s="9" t="str" cm="1">
        <f t="array" ref="E1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164" s="2" t="s">
        <v>399</v>
      </c>
      <c r="G164" t="s">
        <v>63</v>
      </c>
      <c r="H164" s="2">
        <v>3</v>
      </c>
      <c r="I164" s="2" t="str" cm="1">
        <f t="array" ref="I164">_xlfn.XLOOKUP(F164,Customers!A163:$A$1001,Customers!B163:$B$1001,"Not Found",0)</f>
        <v>Dottie Tift</v>
      </c>
      <c r="J164" s="2" t="str" cm="1">
        <f t="array" ref="J164">IF(_xlfn.XLOOKUP(F164,Customers!A163:$A$1001,Customers!C163:$C$1001,"Not Found",0)=0,"",_xlfn.XLOOKUP(F164,Customers!A163:$A$1001,Customers!C163:$C$1001,"Not Found",0))</f>
        <v>dtift4i@netvibes.com</v>
      </c>
      <c r="K164" s="2" t="str" cm="1">
        <f t="array" ref="K164">_xlfn.XLOOKUP(F164,Customers!A163:$A$1001,Customers!G163:$G$1001,"Not Found",0)</f>
        <v>United States</v>
      </c>
      <c r="L164" t="str">
        <f>INDEX(Products!$A$1:$G$49,MATCH(Orders!$G164,Products!$A$1:$A$49,0),MATCH(Orders!L$1,Products!$A$1:$G$1,0))</f>
        <v>Exc</v>
      </c>
      <c r="M164" t="str">
        <f>INDEX(Products!$A$1:$G$49,MATCH(Orders!$G164,Products!$A$1:$A$49,0),MATCH(Orders!M$1,Products!$A$1:$G$1,0))</f>
        <v>D</v>
      </c>
      <c r="N164" s="4">
        <f>INDEX(Products!$A$1:$G$49,MATCH(Orders!$G164,Products!$A$1:$A$49,0),MATCH(Orders!N$1,Products!$A$1:$G$1,0))</f>
        <v>0.5</v>
      </c>
      <c r="O164" s="7">
        <f>INDEX(Products!$A$1:$G$49,MATCH(Orders!$G164,Products!$A$1:$A$49,0),MATCH(Orders!O$1,Products!$A$1:$G$1,0))</f>
        <v>7.29</v>
      </c>
      <c r="P164" s="7">
        <f t="shared" si="2"/>
        <v>21.87</v>
      </c>
      <c r="Q164" t="str" cm="1">
        <f t="array" ref="Q164">_xlfn.IFS(L164="Rob","Robusta",L164="Exc", "Excelsa",L164="Ara", "Arabica",L164="Lib", "Liberica")</f>
        <v>Excelsa</v>
      </c>
      <c r="R164" t="str" cm="1">
        <f t="array" ref="R164">_xlfn.IFS(M164="M","Medium",M164="L","Light",M164="D","Dark")</f>
        <v>Dark</v>
      </c>
    </row>
    <row r="165" spans="1:18">
      <c r="A165" s="2" t="s">
        <v>400</v>
      </c>
      <c r="B165" s="3">
        <v>43619</v>
      </c>
      <c r="C165" s="9">
        <f>YEAR(Orders_Table[[#This Row],[Order Date]])</f>
        <v>2019</v>
      </c>
      <c r="D165" s="9">
        <f>MONTH(Orders_Table[[#This Row],[Order Date]])</f>
        <v>6</v>
      </c>
      <c r="E165" s="9" t="str" cm="1">
        <f t="array" ref="E1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65" s="2" t="s">
        <v>401</v>
      </c>
      <c r="G165" t="s">
        <v>148</v>
      </c>
      <c r="H165" s="2">
        <v>6</v>
      </c>
      <c r="I165" s="2" t="str" cm="1">
        <f t="array" ref="I165">_xlfn.XLOOKUP(F165,Customers!A164:$A$1001,Customers!B164:$B$1001,"Not Found",0)</f>
        <v>Gerardo Schonfeld</v>
      </c>
      <c r="J165" s="2" t="str" cm="1">
        <f t="array" ref="J165">IF(_xlfn.XLOOKUP(F165,Customers!A164:$A$1001,Customers!C164:$C$1001,"Not Found",0)=0,"",_xlfn.XLOOKUP(F165,Customers!A164:$A$1001,Customers!C164:$C$1001,"Not Found",0))</f>
        <v>gschonfeld4j@oracle.com</v>
      </c>
      <c r="K165" s="2" t="str" cm="1">
        <f t="array" ref="K165">_xlfn.XLOOKUP(F165,Customers!A164:$A$1001,Customers!G164:$G$1001,"Not Found",0)</f>
        <v>United States</v>
      </c>
      <c r="L165" t="str">
        <f>INDEX(Products!$A$1:$G$49,MATCH(Orders!$G165,Products!$A$1:$A$49,0),MATCH(Orders!L$1,Products!$A$1:$G$1,0))</f>
        <v>Rob</v>
      </c>
      <c r="M165" t="str">
        <f>INDEX(Products!$A$1:$G$49,MATCH(Orders!$G165,Products!$A$1:$A$49,0),MATCH(Orders!M$1,Products!$A$1:$G$1,0))</f>
        <v>D</v>
      </c>
      <c r="N165" s="4">
        <f>INDEX(Products!$A$1:$G$49,MATCH(Orders!$G165,Products!$A$1:$A$49,0),MATCH(Orders!N$1,Products!$A$1:$G$1,0))</f>
        <v>0.2</v>
      </c>
      <c r="O165" s="7">
        <f>INDEX(Products!$A$1:$G$49,MATCH(Orders!$G165,Products!$A$1:$A$49,0),MATCH(Orders!O$1,Products!$A$1:$G$1,0))</f>
        <v>2.6849999999999996</v>
      </c>
      <c r="P165" s="7">
        <f t="shared" si="2"/>
        <v>16.11</v>
      </c>
      <c r="Q165" t="str" cm="1">
        <f t="array" ref="Q165">_xlfn.IFS(L165="Rob","Robusta",L165="Exc", "Excelsa",L165="Ara", "Arabica",L165="Lib", "Liberica")</f>
        <v>Robusta</v>
      </c>
      <c r="R165" t="str" cm="1">
        <f t="array" ref="R165">_xlfn.IFS(M165="M","Medium",M165="L","Light",M165="D","Dark")</f>
        <v>Dark</v>
      </c>
    </row>
    <row r="166" spans="1:18">
      <c r="A166" s="2" t="s">
        <v>402</v>
      </c>
      <c r="B166" s="3">
        <v>44182</v>
      </c>
      <c r="C166" s="9">
        <f>YEAR(Orders_Table[[#This Row],[Order Date]])</f>
        <v>2020</v>
      </c>
      <c r="D166" s="9">
        <f>MONTH(Orders_Table[[#This Row],[Order Date]])</f>
        <v>12</v>
      </c>
      <c r="E166" s="9" t="str" cm="1">
        <f t="array" ref="E1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66" s="2" t="s">
        <v>403</v>
      </c>
      <c r="G166" t="s">
        <v>63</v>
      </c>
      <c r="H166" s="2">
        <v>4</v>
      </c>
      <c r="I166" s="2" t="str" cm="1">
        <f t="array" ref="I166">_xlfn.XLOOKUP(F166,Customers!A165:$A$1001,Customers!B165:$B$1001,"Not Found",0)</f>
        <v>Claiborne Feye</v>
      </c>
      <c r="J166" s="2" t="str" cm="1">
        <f t="array" ref="J166">IF(_xlfn.XLOOKUP(F166,Customers!A165:$A$1001,Customers!C165:$C$1001,"Not Found",0)=0,"",_xlfn.XLOOKUP(F166,Customers!A165:$A$1001,Customers!C165:$C$1001,"Not Found",0))</f>
        <v>cfeye4k@google.co.jp</v>
      </c>
      <c r="K166" s="2" t="str" cm="1">
        <f t="array" ref="K166">_xlfn.XLOOKUP(F166,Customers!A165:$A$1001,Customers!G165:$G$1001,"Not Found",0)</f>
        <v>Ireland</v>
      </c>
      <c r="L166" t="str">
        <f>INDEX(Products!$A$1:$G$49,MATCH(Orders!$G166,Products!$A$1:$A$49,0),MATCH(Orders!L$1,Products!$A$1:$G$1,0))</f>
        <v>Exc</v>
      </c>
      <c r="M166" t="str">
        <f>INDEX(Products!$A$1:$G$49,MATCH(Orders!$G166,Products!$A$1:$A$49,0),MATCH(Orders!M$1,Products!$A$1:$G$1,0))</f>
        <v>D</v>
      </c>
      <c r="N166" s="4">
        <f>INDEX(Products!$A$1:$G$49,MATCH(Orders!$G166,Products!$A$1:$A$49,0),MATCH(Orders!N$1,Products!$A$1:$G$1,0))</f>
        <v>0.5</v>
      </c>
      <c r="O166" s="7">
        <f>INDEX(Products!$A$1:$G$49,MATCH(Orders!$G166,Products!$A$1:$A$49,0),MATCH(Orders!O$1,Products!$A$1:$G$1,0))</f>
        <v>7.29</v>
      </c>
      <c r="P166" s="7">
        <f t="shared" si="2"/>
        <v>29.16</v>
      </c>
      <c r="Q166" t="str" cm="1">
        <f t="array" ref="Q166">_xlfn.IFS(L166="Rob","Robusta",L166="Exc", "Excelsa",L166="Ara", "Arabica",L166="Lib", "Liberica")</f>
        <v>Excelsa</v>
      </c>
      <c r="R166" t="str" cm="1">
        <f t="array" ref="R166">_xlfn.IFS(M166="M","Medium",M166="L","Light",M166="D","Dark")</f>
        <v>Dark</v>
      </c>
    </row>
    <row r="167" spans="1:18">
      <c r="A167" s="2" t="s">
        <v>404</v>
      </c>
      <c r="B167" s="3">
        <v>44234</v>
      </c>
      <c r="C167" s="9">
        <f>YEAR(Orders_Table[[#This Row],[Order Date]])</f>
        <v>2021</v>
      </c>
      <c r="D167" s="9">
        <f>MONTH(Orders_Table[[#This Row],[Order Date]])</f>
        <v>2</v>
      </c>
      <c r="E167" s="9" t="str" cm="1">
        <f t="array" ref="E1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167" s="2" t="s">
        <v>405</v>
      </c>
      <c r="G167" t="s">
        <v>226</v>
      </c>
      <c r="H167" s="2">
        <v>6</v>
      </c>
      <c r="I167" s="2" t="str" cm="1">
        <f t="array" ref="I167">_xlfn.XLOOKUP(F167,Customers!A166:$A$1001,Customers!B166:$B$1001,"Not Found",0)</f>
        <v>Mina Elstone</v>
      </c>
      <c r="J167" s="2" t="str" cm="1">
        <f t="array" ref="J167">IF(_xlfn.XLOOKUP(F167,Customers!A166:$A$1001,Customers!C166:$C$1001,"Not Found",0)=0,"",_xlfn.XLOOKUP(F167,Customers!A166:$A$1001,Customers!C166:$C$1001,"Not Found",0))</f>
        <v/>
      </c>
      <c r="K167" s="2" t="str" cm="1">
        <f t="array" ref="K167">_xlfn.XLOOKUP(F167,Customers!A166:$A$1001,Customers!G166:$G$1001,"Not Found",0)</f>
        <v>United States</v>
      </c>
      <c r="L167" t="str">
        <f>INDEX(Products!$A$1:$G$49,MATCH(Orders!$G167,Products!$A$1:$A$49,0),MATCH(Orders!L$1,Products!$A$1:$G$1,0))</f>
        <v>Rob</v>
      </c>
      <c r="M167" t="str">
        <f>INDEX(Products!$A$1:$G$49,MATCH(Orders!$G167,Products!$A$1:$A$49,0),MATCH(Orders!M$1,Products!$A$1:$G$1,0))</f>
        <v>D</v>
      </c>
      <c r="N167" s="4">
        <f>INDEX(Products!$A$1:$G$49,MATCH(Orders!$G167,Products!$A$1:$A$49,0),MATCH(Orders!N$1,Products!$A$1:$G$1,0))</f>
        <v>1</v>
      </c>
      <c r="O167" s="7">
        <f>INDEX(Products!$A$1:$G$49,MATCH(Orders!$G167,Products!$A$1:$A$49,0),MATCH(Orders!O$1,Products!$A$1:$G$1,0))</f>
        <v>8.9499999999999993</v>
      </c>
      <c r="P167" s="7">
        <f t="shared" si="2"/>
        <v>53.699999999999996</v>
      </c>
      <c r="Q167" t="str" cm="1">
        <f t="array" ref="Q167">_xlfn.IFS(L167="Rob","Robusta",L167="Exc", "Excelsa",L167="Ara", "Arabica",L167="Lib", "Liberica")</f>
        <v>Robusta</v>
      </c>
      <c r="R167" t="str" cm="1">
        <f t="array" ref="R167">_xlfn.IFS(M167="M","Medium",M167="L","Light",M167="D","Dark")</f>
        <v>Dark</v>
      </c>
    </row>
    <row r="168" spans="1:18">
      <c r="A168" s="2" t="s">
        <v>406</v>
      </c>
      <c r="B168" s="3">
        <v>44270</v>
      </c>
      <c r="C168" s="9">
        <f>YEAR(Orders_Table[[#This Row],[Order Date]])</f>
        <v>2021</v>
      </c>
      <c r="D168" s="9">
        <f>MONTH(Orders_Table[[#This Row],[Order Date]])</f>
        <v>3</v>
      </c>
      <c r="E168" s="9" t="str" cm="1">
        <f t="array" ref="E1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68" s="2" t="s">
        <v>407</v>
      </c>
      <c r="G168" t="s">
        <v>193</v>
      </c>
      <c r="H168" s="2">
        <v>5</v>
      </c>
      <c r="I168" s="2" t="str" cm="1">
        <f t="array" ref="I168">_xlfn.XLOOKUP(F168,Customers!A167:$A$1001,Customers!B167:$B$1001,"Not Found",0)</f>
        <v>Sherman Mewrcik</v>
      </c>
      <c r="J168" s="2" t="str" cm="1">
        <f t="array" ref="J168">IF(_xlfn.XLOOKUP(F168,Customers!A167:$A$1001,Customers!C167:$C$1001,"Not Found",0)=0,"",_xlfn.XLOOKUP(F168,Customers!A167:$A$1001,Customers!C167:$C$1001,"Not Found",0))</f>
        <v/>
      </c>
      <c r="K168" s="2" t="str" cm="1">
        <f t="array" ref="K168">_xlfn.XLOOKUP(F168,Customers!A167:$A$1001,Customers!G167:$G$1001,"Not Found",0)</f>
        <v>United States</v>
      </c>
      <c r="L168" t="str">
        <f>INDEX(Products!$A$1:$G$49,MATCH(Orders!$G168,Products!$A$1:$A$49,0),MATCH(Orders!L$1,Products!$A$1:$G$1,0))</f>
        <v>Rob</v>
      </c>
      <c r="M168" t="str">
        <f>INDEX(Products!$A$1:$G$49,MATCH(Orders!$G168,Products!$A$1:$A$49,0),MATCH(Orders!M$1,Products!$A$1:$G$1,0))</f>
        <v>D</v>
      </c>
      <c r="N168" s="4">
        <f>INDEX(Products!$A$1:$G$49,MATCH(Orders!$G168,Products!$A$1:$A$49,0),MATCH(Orders!N$1,Products!$A$1:$G$1,0))</f>
        <v>0.5</v>
      </c>
      <c r="O168" s="7">
        <f>INDEX(Products!$A$1:$G$49,MATCH(Orders!$G168,Products!$A$1:$A$49,0),MATCH(Orders!O$1,Products!$A$1:$G$1,0))</f>
        <v>5.3699999999999992</v>
      </c>
      <c r="P168" s="7">
        <f t="shared" si="2"/>
        <v>26.849999999999994</v>
      </c>
      <c r="Q168" t="str" cm="1">
        <f t="array" ref="Q168">_xlfn.IFS(L168="Rob","Robusta",L168="Exc", "Excelsa",L168="Ara", "Arabica",L168="Lib", "Liberica")</f>
        <v>Robusta</v>
      </c>
      <c r="R168" t="str" cm="1">
        <f t="array" ref="R168">_xlfn.IFS(M168="M","Medium",M168="L","Light",M168="D","Dark")</f>
        <v>Dark</v>
      </c>
    </row>
    <row r="169" spans="1:18">
      <c r="A169" s="2" t="s">
        <v>408</v>
      </c>
      <c r="B169" s="3">
        <v>44777</v>
      </c>
      <c r="C169" s="9">
        <f>YEAR(Orders_Table[[#This Row],[Order Date]])</f>
        <v>2022</v>
      </c>
      <c r="D169" s="9">
        <f>MONTH(Orders_Table[[#This Row],[Order Date]])</f>
        <v>8</v>
      </c>
      <c r="E169" s="9" t="str" cm="1">
        <f t="array" ref="E1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69" s="2" t="s">
        <v>409</v>
      </c>
      <c r="G169" t="s">
        <v>50</v>
      </c>
      <c r="H169" s="2">
        <v>5</v>
      </c>
      <c r="I169" s="2" t="str" cm="1">
        <f t="array" ref="I169">_xlfn.XLOOKUP(F169,Customers!A168:$A$1001,Customers!B168:$B$1001,"Not Found",0)</f>
        <v>Tamarah Fero</v>
      </c>
      <c r="J169" s="2" t="str" cm="1">
        <f t="array" ref="J169">IF(_xlfn.XLOOKUP(F169,Customers!A168:$A$1001,Customers!C168:$C$1001,"Not Found",0)=0,"",_xlfn.XLOOKUP(F169,Customers!A168:$A$1001,Customers!C168:$C$1001,"Not Found",0))</f>
        <v>tfero4n@comsenz.com</v>
      </c>
      <c r="K169" s="2" t="str" cm="1">
        <f t="array" ref="K169">_xlfn.XLOOKUP(F169,Customers!A168:$A$1001,Customers!G168:$G$1001,"Not Found",0)</f>
        <v>United States</v>
      </c>
      <c r="L169" t="str">
        <f>INDEX(Products!$A$1:$G$49,MATCH(Orders!$G169,Products!$A$1:$A$49,0),MATCH(Orders!L$1,Products!$A$1:$G$1,0))</f>
        <v>Exc</v>
      </c>
      <c r="M169" t="str">
        <f>INDEX(Products!$A$1:$G$49,MATCH(Orders!$G169,Products!$A$1:$A$49,0),MATCH(Orders!M$1,Products!$A$1:$G$1,0))</f>
        <v>M</v>
      </c>
      <c r="N169" s="4">
        <f>INDEX(Products!$A$1:$G$49,MATCH(Orders!$G169,Products!$A$1:$A$49,0),MATCH(Orders!N$1,Products!$A$1:$G$1,0))</f>
        <v>0.5</v>
      </c>
      <c r="O169" s="7">
        <f>INDEX(Products!$A$1:$G$49,MATCH(Orders!$G169,Products!$A$1:$A$49,0),MATCH(Orders!O$1,Products!$A$1:$G$1,0))</f>
        <v>8.25</v>
      </c>
      <c r="P169" s="7">
        <f t="shared" si="2"/>
        <v>41.25</v>
      </c>
      <c r="Q169" t="str" cm="1">
        <f t="array" ref="Q169">_xlfn.IFS(L169="Rob","Robusta",L169="Exc", "Excelsa",L169="Ara", "Arabica",L169="Lib", "Liberica")</f>
        <v>Excelsa</v>
      </c>
      <c r="R169" t="str" cm="1">
        <f t="array" ref="R169">_xlfn.IFS(M169="M","Medium",M169="L","Light",M169="D","Dark")</f>
        <v>Medium</v>
      </c>
    </row>
    <row r="170" spans="1:18">
      <c r="A170" s="2" t="s">
        <v>410</v>
      </c>
      <c r="B170" s="3">
        <v>43484</v>
      </c>
      <c r="C170" s="9">
        <f>YEAR(Orders_Table[[#This Row],[Order Date]])</f>
        <v>2019</v>
      </c>
      <c r="D170" s="9">
        <f>MONTH(Orders_Table[[#This Row],[Order Date]])</f>
        <v>1</v>
      </c>
      <c r="E170" s="9" t="str" cm="1">
        <f t="array" ref="E1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170" s="2" t="s">
        <v>411</v>
      </c>
      <c r="G170" t="s">
        <v>114</v>
      </c>
      <c r="H170" s="2">
        <v>6</v>
      </c>
      <c r="I170" s="2" t="str" cm="1">
        <f t="array" ref="I170">_xlfn.XLOOKUP(F170,Customers!A169:$A$1001,Customers!B169:$B$1001,"Not Found",0)</f>
        <v>Stanislaus Valsler</v>
      </c>
      <c r="J170" s="2" t="str" cm="1">
        <f t="array" ref="J170">IF(_xlfn.XLOOKUP(F170,Customers!A169:$A$1001,Customers!C169:$C$1001,"Not Found",0)=0,"",_xlfn.XLOOKUP(F170,Customers!A169:$A$1001,Customers!C169:$C$1001,"Not Found",0))</f>
        <v/>
      </c>
      <c r="K170" s="2" t="str" cm="1">
        <f t="array" ref="K170">_xlfn.XLOOKUP(F170,Customers!A169:$A$1001,Customers!G169:$G$1001,"Not Found",0)</f>
        <v>Ireland</v>
      </c>
      <c r="L170" t="str">
        <f>INDEX(Products!$A$1:$G$49,MATCH(Orders!$G170,Products!$A$1:$A$49,0),MATCH(Orders!L$1,Products!$A$1:$G$1,0))</f>
        <v>Ara</v>
      </c>
      <c r="M170" t="str">
        <f>INDEX(Products!$A$1:$G$49,MATCH(Orders!$G170,Products!$A$1:$A$49,0),MATCH(Orders!M$1,Products!$A$1:$G$1,0))</f>
        <v>M</v>
      </c>
      <c r="N170" s="4">
        <f>INDEX(Products!$A$1:$G$49,MATCH(Orders!$G170,Products!$A$1:$A$49,0),MATCH(Orders!N$1,Products!$A$1:$G$1,0))</f>
        <v>0.5</v>
      </c>
      <c r="O170" s="7">
        <f>INDEX(Products!$A$1:$G$49,MATCH(Orders!$G170,Products!$A$1:$A$49,0),MATCH(Orders!O$1,Products!$A$1:$G$1,0))</f>
        <v>6.75</v>
      </c>
      <c r="P170" s="7">
        <f t="shared" si="2"/>
        <v>40.5</v>
      </c>
      <c r="Q170" t="str" cm="1">
        <f t="array" ref="Q170">_xlfn.IFS(L170="Rob","Robusta",L170="Exc", "Excelsa",L170="Ara", "Arabica",L170="Lib", "Liberica")</f>
        <v>Arabica</v>
      </c>
      <c r="R170" t="str" cm="1">
        <f t="array" ref="R170">_xlfn.IFS(M170="M","Medium",M170="L","Light",M170="D","Dark")</f>
        <v>Medium</v>
      </c>
    </row>
    <row r="171" spans="1:18">
      <c r="A171" s="2" t="s">
        <v>412</v>
      </c>
      <c r="B171" s="3">
        <v>44643</v>
      </c>
      <c r="C171" s="9">
        <f>YEAR(Orders_Table[[#This Row],[Order Date]])</f>
        <v>2022</v>
      </c>
      <c r="D171" s="9">
        <f>MONTH(Orders_Table[[#This Row],[Order Date]])</f>
        <v>3</v>
      </c>
      <c r="E171" s="9" t="str" cm="1">
        <f t="array" ref="E1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71" s="2" t="s">
        <v>413</v>
      </c>
      <c r="G171" t="s">
        <v>226</v>
      </c>
      <c r="H171" s="2">
        <v>2</v>
      </c>
      <c r="I171" s="2" t="str" cm="1">
        <f t="array" ref="I171">_xlfn.XLOOKUP(F171,Customers!A170:$A$1001,Customers!B170:$B$1001,"Not Found",0)</f>
        <v>Felita Dauney</v>
      </c>
      <c r="J171" s="2" t="str" cm="1">
        <f t="array" ref="J171">IF(_xlfn.XLOOKUP(F171,Customers!A170:$A$1001,Customers!C170:$C$1001,"Not Found",0)=0,"",_xlfn.XLOOKUP(F171,Customers!A170:$A$1001,Customers!C170:$C$1001,"Not Found",0))</f>
        <v>fdauney4p@sphinn.com</v>
      </c>
      <c r="K171" s="2" t="str" cm="1">
        <f t="array" ref="K171">_xlfn.XLOOKUP(F171,Customers!A170:$A$1001,Customers!G170:$G$1001,"Not Found",0)</f>
        <v>Ireland</v>
      </c>
      <c r="L171" t="str">
        <f>INDEX(Products!$A$1:$G$49,MATCH(Orders!$G171,Products!$A$1:$A$49,0),MATCH(Orders!L$1,Products!$A$1:$G$1,0))</f>
        <v>Rob</v>
      </c>
      <c r="M171" t="str">
        <f>INDEX(Products!$A$1:$G$49,MATCH(Orders!$G171,Products!$A$1:$A$49,0),MATCH(Orders!M$1,Products!$A$1:$G$1,0))</f>
        <v>D</v>
      </c>
      <c r="N171" s="4">
        <f>INDEX(Products!$A$1:$G$49,MATCH(Orders!$G171,Products!$A$1:$A$49,0),MATCH(Orders!N$1,Products!$A$1:$G$1,0))</f>
        <v>1</v>
      </c>
      <c r="O171" s="7">
        <f>INDEX(Products!$A$1:$G$49,MATCH(Orders!$G171,Products!$A$1:$A$49,0),MATCH(Orders!O$1,Products!$A$1:$G$1,0))</f>
        <v>8.9499999999999993</v>
      </c>
      <c r="P171" s="7">
        <f t="shared" si="2"/>
        <v>17.899999999999999</v>
      </c>
      <c r="Q171" t="str" cm="1">
        <f t="array" ref="Q171">_xlfn.IFS(L171="Rob","Robusta",L171="Exc", "Excelsa",L171="Ara", "Arabica",L171="Lib", "Liberica")</f>
        <v>Robusta</v>
      </c>
      <c r="R171" t="str" cm="1">
        <f t="array" ref="R171">_xlfn.IFS(M171="M","Medium",M171="L","Light",M171="D","Dark")</f>
        <v>Dark</v>
      </c>
    </row>
    <row r="172" spans="1:18">
      <c r="A172" s="2" t="s">
        <v>414</v>
      </c>
      <c r="B172" s="3">
        <v>44476</v>
      </c>
      <c r="C172" s="9">
        <f>YEAR(Orders_Table[[#This Row],[Order Date]])</f>
        <v>2021</v>
      </c>
      <c r="D172" s="9">
        <f>MONTH(Orders_Table[[#This Row],[Order Date]])</f>
        <v>10</v>
      </c>
      <c r="E172" s="9" t="str" cm="1">
        <f t="array" ref="E1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72" s="2" t="s">
        <v>415</v>
      </c>
      <c r="G172" t="s">
        <v>77</v>
      </c>
      <c r="H172" s="2">
        <v>2</v>
      </c>
      <c r="I172" s="2" t="str" cm="1">
        <f t="array" ref="I172">_xlfn.XLOOKUP(F172,Customers!A171:$A$1001,Customers!B171:$B$1001,"Not Found",0)</f>
        <v>Serena Earley</v>
      </c>
      <c r="J172" s="2" t="str" cm="1">
        <f t="array" ref="J172">IF(_xlfn.XLOOKUP(F172,Customers!A171:$A$1001,Customers!C171:$C$1001,"Not Found",0)=0,"",_xlfn.XLOOKUP(F172,Customers!A171:$A$1001,Customers!C171:$C$1001,"Not Found",0))</f>
        <v>searley4q@youku.com</v>
      </c>
      <c r="K172" s="2" t="str" cm="1">
        <f t="array" ref="K172">_xlfn.XLOOKUP(F172,Customers!A171:$A$1001,Customers!G171:$G$1001,"Not Found",0)</f>
        <v>United Kingdom</v>
      </c>
      <c r="L172" t="str">
        <f>INDEX(Products!$A$1:$G$49,MATCH(Orders!$G172,Products!$A$1:$A$49,0),MATCH(Orders!L$1,Products!$A$1:$G$1,0))</f>
        <v>Exc</v>
      </c>
      <c r="M172" t="str">
        <f>INDEX(Products!$A$1:$G$49,MATCH(Orders!$G172,Products!$A$1:$A$49,0),MATCH(Orders!M$1,Products!$A$1:$G$1,0))</f>
        <v>L</v>
      </c>
      <c r="N172" s="4">
        <f>INDEX(Products!$A$1:$G$49,MATCH(Orders!$G172,Products!$A$1:$A$49,0),MATCH(Orders!N$1,Products!$A$1:$G$1,0))</f>
        <v>2.5</v>
      </c>
      <c r="O172" s="7">
        <f>INDEX(Products!$A$1:$G$49,MATCH(Orders!$G172,Products!$A$1:$A$49,0),MATCH(Orders!O$1,Products!$A$1:$G$1,0))</f>
        <v>34.154999999999994</v>
      </c>
      <c r="P172" s="7">
        <f t="shared" si="2"/>
        <v>68.309999999999988</v>
      </c>
      <c r="Q172" t="str" cm="1">
        <f t="array" ref="Q172">_xlfn.IFS(L172="Rob","Robusta",L172="Exc", "Excelsa",L172="Ara", "Arabica",L172="Lib", "Liberica")</f>
        <v>Excelsa</v>
      </c>
      <c r="R172" t="str" cm="1">
        <f t="array" ref="R172">_xlfn.IFS(M172="M","Medium",M172="L","Light",M172="D","Dark")</f>
        <v>Light</v>
      </c>
    </row>
    <row r="173" spans="1:18">
      <c r="A173" s="2" t="s">
        <v>416</v>
      </c>
      <c r="B173" s="3">
        <v>43544</v>
      </c>
      <c r="C173" s="9">
        <f>YEAR(Orders_Table[[#This Row],[Order Date]])</f>
        <v>2019</v>
      </c>
      <c r="D173" s="9">
        <f>MONTH(Orders_Table[[#This Row],[Order Date]])</f>
        <v>3</v>
      </c>
      <c r="E173" s="9" t="str" cm="1">
        <f t="array" ref="E1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73" s="2" t="s">
        <v>417</v>
      </c>
      <c r="G173" t="s">
        <v>159</v>
      </c>
      <c r="H173" s="2">
        <v>2</v>
      </c>
      <c r="I173" s="2" t="str" cm="1">
        <f t="array" ref="I173">_xlfn.XLOOKUP(F173,Customers!A172:$A$1001,Customers!B172:$B$1001,"Not Found",0)</f>
        <v>Minny Chamberlayne</v>
      </c>
      <c r="J173" s="2" t="str" cm="1">
        <f t="array" ref="J173">IF(_xlfn.XLOOKUP(F173,Customers!A172:$A$1001,Customers!C172:$C$1001,"Not Found",0)=0,"",_xlfn.XLOOKUP(F173,Customers!A172:$A$1001,Customers!C172:$C$1001,"Not Found",0))</f>
        <v>mchamberlayne4r@bigcartel.com</v>
      </c>
      <c r="K173" s="2" t="str" cm="1">
        <f t="array" ref="K173">_xlfn.XLOOKUP(F173,Customers!A172:$A$1001,Customers!G172:$G$1001,"Not Found",0)</f>
        <v>United States</v>
      </c>
      <c r="L173" t="str">
        <f>INDEX(Products!$A$1:$G$49,MATCH(Orders!$G173,Products!$A$1:$A$49,0),MATCH(Orders!L$1,Products!$A$1:$G$1,0))</f>
        <v>Exc</v>
      </c>
      <c r="M173" t="str">
        <f>INDEX(Products!$A$1:$G$49,MATCH(Orders!$G173,Products!$A$1:$A$49,0),MATCH(Orders!M$1,Products!$A$1:$G$1,0))</f>
        <v>M</v>
      </c>
      <c r="N173" s="4">
        <f>INDEX(Products!$A$1:$G$49,MATCH(Orders!$G173,Products!$A$1:$A$49,0),MATCH(Orders!N$1,Products!$A$1:$G$1,0))</f>
        <v>2.5</v>
      </c>
      <c r="O173" s="7">
        <f>INDEX(Products!$A$1:$G$49,MATCH(Orders!$G173,Products!$A$1:$A$49,0),MATCH(Orders!O$1,Products!$A$1:$G$1,0))</f>
        <v>31.624999999999996</v>
      </c>
      <c r="P173" s="7">
        <f t="shared" si="2"/>
        <v>63.249999999999993</v>
      </c>
      <c r="Q173" t="str" cm="1">
        <f t="array" ref="Q173">_xlfn.IFS(L173="Rob","Robusta",L173="Exc", "Excelsa",L173="Ara", "Arabica",L173="Lib", "Liberica")</f>
        <v>Excelsa</v>
      </c>
      <c r="R173" t="str" cm="1">
        <f t="array" ref="R173">_xlfn.IFS(M173="M","Medium",M173="L","Light",M173="D","Dark")</f>
        <v>Medium</v>
      </c>
    </row>
    <row r="174" spans="1:18">
      <c r="A174" s="2" t="s">
        <v>418</v>
      </c>
      <c r="B174" s="3">
        <v>44545</v>
      </c>
      <c r="C174" s="9">
        <f>YEAR(Orders_Table[[#This Row],[Order Date]])</f>
        <v>2021</v>
      </c>
      <c r="D174" s="9">
        <f>MONTH(Orders_Table[[#This Row],[Order Date]])</f>
        <v>12</v>
      </c>
      <c r="E174" s="9" t="str" cm="1">
        <f t="array" ref="E1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74" s="2" t="s">
        <v>419</v>
      </c>
      <c r="G174" t="s">
        <v>63</v>
      </c>
      <c r="H174" s="2">
        <v>3</v>
      </c>
      <c r="I174" s="2" t="str" cm="1">
        <f t="array" ref="I174">_xlfn.XLOOKUP(F174,Customers!A173:$A$1001,Customers!B173:$B$1001,"Not Found",0)</f>
        <v>Bartholemy Flaherty</v>
      </c>
      <c r="J174" s="2" t="str" cm="1">
        <f t="array" ref="J174">IF(_xlfn.XLOOKUP(F174,Customers!A173:$A$1001,Customers!C173:$C$1001,"Not Found",0)=0,"",_xlfn.XLOOKUP(F174,Customers!A173:$A$1001,Customers!C173:$C$1001,"Not Found",0))</f>
        <v>bflaherty4s@moonfruit.com</v>
      </c>
      <c r="K174" s="2" t="str" cm="1">
        <f t="array" ref="K174">_xlfn.XLOOKUP(F174,Customers!A173:$A$1001,Customers!G173:$G$1001,"Not Found",0)</f>
        <v>Ireland</v>
      </c>
      <c r="L174" t="str">
        <f>INDEX(Products!$A$1:$G$49,MATCH(Orders!$G174,Products!$A$1:$A$49,0),MATCH(Orders!L$1,Products!$A$1:$G$1,0))</f>
        <v>Exc</v>
      </c>
      <c r="M174" t="str">
        <f>INDEX(Products!$A$1:$G$49,MATCH(Orders!$G174,Products!$A$1:$A$49,0),MATCH(Orders!M$1,Products!$A$1:$G$1,0))</f>
        <v>D</v>
      </c>
      <c r="N174" s="4">
        <f>INDEX(Products!$A$1:$G$49,MATCH(Orders!$G174,Products!$A$1:$A$49,0),MATCH(Orders!N$1,Products!$A$1:$G$1,0))</f>
        <v>0.5</v>
      </c>
      <c r="O174" s="7">
        <f>INDEX(Products!$A$1:$G$49,MATCH(Orders!$G174,Products!$A$1:$A$49,0),MATCH(Orders!O$1,Products!$A$1:$G$1,0))</f>
        <v>7.29</v>
      </c>
      <c r="P174" s="7">
        <f t="shared" si="2"/>
        <v>21.87</v>
      </c>
      <c r="Q174" t="str" cm="1">
        <f t="array" ref="Q174">_xlfn.IFS(L174="Rob","Robusta",L174="Exc", "Excelsa",L174="Ara", "Arabica",L174="Lib", "Liberica")</f>
        <v>Excelsa</v>
      </c>
      <c r="R174" t="str" cm="1">
        <f t="array" ref="R174">_xlfn.IFS(M174="M","Medium",M174="L","Light",M174="D","Dark")</f>
        <v>Dark</v>
      </c>
    </row>
    <row r="175" spans="1:18">
      <c r="A175" s="2" t="s">
        <v>420</v>
      </c>
      <c r="B175" s="3">
        <v>44720</v>
      </c>
      <c r="C175" s="9">
        <f>YEAR(Orders_Table[[#This Row],[Order Date]])</f>
        <v>2022</v>
      </c>
      <c r="D175" s="9">
        <f>MONTH(Orders_Table[[#This Row],[Order Date]])</f>
        <v>6</v>
      </c>
      <c r="E175" s="9" t="str" cm="1">
        <f t="array" ref="E1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175" s="2" t="s">
        <v>421</v>
      </c>
      <c r="G175" t="s">
        <v>88</v>
      </c>
      <c r="H175" s="2">
        <v>4</v>
      </c>
      <c r="I175" s="2" t="str" cm="1">
        <f t="array" ref="I175">_xlfn.XLOOKUP(F175,Customers!A174:$A$1001,Customers!B174:$B$1001,"Not Found",0)</f>
        <v>Oran Colbeck</v>
      </c>
      <c r="J175" s="2" t="str" cm="1">
        <f t="array" ref="J175">IF(_xlfn.XLOOKUP(F175,Customers!A174:$A$1001,Customers!C174:$C$1001,"Not Found",0)=0,"",_xlfn.XLOOKUP(F175,Customers!A174:$A$1001,Customers!C174:$C$1001,"Not Found",0))</f>
        <v>ocolbeck4t@sina.com.cn</v>
      </c>
      <c r="K175" s="2" t="str" cm="1">
        <f t="array" ref="K175">_xlfn.XLOOKUP(F175,Customers!A174:$A$1001,Customers!G174:$G$1001,"Not Found",0)</f>
        <v>United States</v>
      </c>
      <c r="L175" t="str">
        <f>INDEX(Products!$A$1:$G$49,MATCH(Orders!$G175,Products!$A$1:$A$49,0),MATCH(Orders!L$1,Products!$A$1:$G$1,0))</f>
        <v>Rob</v>
      </c>
      <c r="M175" t="str">
        <f>INDEX(Products!$A$1:$G$49,MATCH(Orders!$G175,Products!$A$1:$A$49,0),MATCH(Orders!M$1,Products!$A$1:$G$1,0))</f>
        <v>M</v>
      </c>
      <c r="N175" s="4">
        <f>INDEX(Products!$A$1:$G$49,MATCH(Orders!$G175,Products!$A$1:$A$49,0),MATCH(Orders!N$1,Products!$A$1:$G$1,0))</f>
        <v>2.5</v>
      </c>
      <c r="O175" s="7">
        <f>INDEX(Products!$A$1:$G$49,MATCH(Orders!$G175,Products!$A$1:$A$49,0),MATCH(Orders!O$1,Products!$A$1:$G$1,0))</f>
        <v>22.884999999999998</v>
      </c>
      <c r="P175" s="7">
        <f t="shared" si="2"/>
        <v>91.539999999999992</v>
      </c>
      <c r="Q175" t="str" cm="1">
        <f t="array" ref="Q175">_xlfn.IFS(L175="Rob","Robusta",L175="Exc", "Excelsa",L175="Ara", "Arabica",L175="Lib", "Liberica")</f>
        <v>Robusta</v>
      </c>
      <c r="R175" t="str" cm="1">
        <f t="array" ref="R175">_xlfn.IFS(M175="M","Medium",M175="L","Light",M175="D","Dark")</f>
        <v>Medium</v>
      </c>
    </row>
    <row r="176" spans="1:18">
      <c r="A176" s="2" t="s">
        <v>422</v>
      </c>
      <c r="B176" s="3">
        <v>43813</v>
      </c>
      <c r="C176" s="9">
        <f>YEAR(Orders_Table[[#This Row],[Order Date]])</f>
        <v>2019</v>
      </c>
      <c r="D176" s="9">
        <f>MONTH(Orders_Table[[#This Row],[Order Date]])</f>
        <v>12</v>
      </c>
      <c r="E176" s="9" t="str" cm="1">
        <f t="array" ref="E1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76" s="2" t="s">
        <v>423</v>
      </c>
      <c r="G176" t="s">
        <v>77</v>
      </c>
      <c r="H176" s="2">
        <v>6</v>
      </c>
      <c r="I176" s="2" t="str" cm="1">
        <f t="array" ref="I176">_xlfn.XLOOKUP(F176,Customers!A175:$A$1001,Customers!B175:$B$1001,"Not Found",0)</f>
        <v>Elysee Sketch</v>
      </c>
      <c r="J176" s="2" t="str" cm="1">
        <f t="array" ref="J176">IF(_xlfn.XLOOKUP(F176,Customers!A175:$A$1001,Customers!C175:$C$1001,"Not Found",0)=0,"",_xlfn.XLOOKUP(F176,Customers!A175:$A$1001,Customers!C175:$C$1001,"Not Found",0))</f>
        <v/>
      </c>
      <c r="K176" s="2" t="str" cm="1">
        <f t="array" ref="K176">_xlfn.XLOOKUP(F176,Customers!A175:$A$1001,Customers!G175:$G$1001,"Not Found",0)</f>
        <v>United States</v>
      </c>
      <c r="L176" t="str">
        <f>INDEX(Products!$A$1:$G$49,MATCH(Orders!$G176,Products!$A$1:$A$49,0),MATCH(Orders!L$1,Products!$A$1:$G$1,0))</f>
        <v>Exc</v>
      </c>
      <c r="M176" t="str">
        <f>INDEX(Products!$A$1:$G$49,MATCH(Orders!$G176,Products!$A$1:$A$49,0),MATCH(Orders!M$1,Products!$A$1:$G$1,0))</f>
        <v>L</v>
      </c>
      <c r="N176" s="4">
        <f>INDEX(Products!$A$1:$G$49,MATCH(Orders!$G176,Products!$A$1:$A$49,0),MATCH(Orders!N$1,Products!$A$1:$G$1,0))</f>
        <v>2.5</v>
      </c>
      <c r="O176" s="7">
        <f>INDEX(Products!$A$1:$G$49,MATCH(Orders!$G176,Products!$A$1:$A$49,0),MATCH(Orders!O$1,Products!$A$1:$G$1,0))</f>
        <v>34.154999999999994</v>
      </c>
      <c r="P176" s="7">
        <f t="shared" si="2"/>
        <v>204.92999999999995</v>
      </c>
      <c r="Q176" t="str" cm="1">
        <f t="array" ref="Q176">_xlfn.IFS(L176="Rob","Robusta",L176="Exc", "Excelsa",L176="Ara", "Arabica",L176="Lib", "Liberica")</f>
        <v>Excelsa</v>
      </c>
      <c r="R176" t="str" cm="1">
        <f t="array" ref="R176">_xlfn.IFS(M176="M","Medium",M176="L","Light",M176="D","Dark")</f>
        <v>Light</v>
      </c>
    </row>
    <row r="177" spans="1:18">
      <c r="A177" s="2" t="s">
        <v>424</v>
      </c>
      <c r="B177" s="3">
        <v>44296</v>
      </c>
      <c r="C177" s="9">
        <f>YEAR(Orders_Table[[#This Row],[Order Date]])</f>
        <v>2021</v>
      </c>
      <c r="D177" s="9">
        <f>MONTH(Orders_Table[[#This Row],[Order Date]])</f>
        <v>4</v>
      </c>
      <c r="E177" s="9" t="str" cm="1">
        <f t="array" ref="E1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77" s="2" t="s">
        <v>425</v>
      </c>
      <c r="G177" t="s">
        <v>159</v>
      </c>
      <c r="H177" s="2">
        <v>2</v>
      </c>
      <c r="I177" s="2" t="str" cm="1">
        <f t="array" ref="I177">_xlfn.XLOOKUP(F177,Customers!A176:$A$1001,Customers!B176:$B$1001,"Not Found",0)</f>
        <v>Ethelda Hobbing</v>
      </c>
      <c r="J177" s="2" t="str" cm="1">
        <f t="array" ref="J177">IF(_xlfn.XLOOKUP(F177,Customers!A176:$A$1001,Customers!C176:$C$1001,"Not Found",0)=0,"",_xlfn.XLOOKUP(F177,Customers!A176:$A$1001,Customers!C176:$C$1001,"Not Found",0))</f>
        <v>ehobbing4v@nsw.gov.au</v>
      </c>
      <c r="K177" s="2" t="str" cm="1">
        <f t="array" ref="K177">_xlfn.XLOOKUP(F177,Customers!A176:$A$1001,Customers!G176:$G$1001,"Not Found",0)</f>
        <v>United States</v>
      </c>
      <c r="L177" t="str">
        <f>INDEX(Products!$A$1:$G$49,MATCH(Orders!$G177,Products!$A$1:$A$49,0),MATCH(Orders!L$1,Products!$A$1:$G$1,0))</f>
        <v>Exc</v>
      </c>
      <c r="M177" t="str">
        <f>INDEX(Products!$A$1:$G$49,MATCH(Orders!$G177,Products!$A$1:$A$49,0),MATCH(Orders!M$1,Products!$A$1:$G$1,0))</f>
        <v>M</v>
      </c>
      <c r="N177" s="4">
        <f>INDEX(Products!$A$1:$G$49,MATCH(Orders!$G177,Products!$A$1:$A$49,0),MATCH(Orders!N$1,Products!$A$1:$G$1,0))</f>
        <v>2.5</v>
      </c>
      <c r="O177" s="7">
        <f>INDEX(Products!$A$1:$G$49,MATCH(Orders!$G177,Products!$A$1:$A$49,0),MATCH(Orders!O$1,Products!$A$1:$G$1,0))</f>
        <v>31.624999999999996</v>
      </c>
      <c r="P177" s="7">
        <f t="shared" si="2"/>
        <v>63.249999999999993</v>
      </c>
      <c r="Q177" t="str" cm="1">
        <f t="array" ref="Q177">_xlfn.IFS(L177="Rob","Robusta",L177="Exc", "Excelsa",L177="Ara", "Arabica",L177="Lib", "Liberica")</f>
        <v>Excelsa</v>
      </c>
      <c r="R177" t="str" cm="1">
        <f t="array" ref="R177">_xlfn.IFS(M177="M","Medium",M177="L","Light",M177="D","Dark")</f>
        <v>Medium</v>
      </c>
    </row>
    <row r="178" spans="1:18">
      <c r="A178" s="2" t="s">
        <v>426</v>
      </c>
      <c r="B178" s="3">
        <v>43900</v>
      </c>
      <c r="C178" s="9">
        <f>YEAR(Orders_Table[[#This Row],[Order Date]])</f>
        <v>2020</v>
      </c>
      <c r="D178" s="9">
        <f>MONTH(Orders_Table[[#This Row],[Order Date]])</f>
        <v>3</v>
      </c>
      <c r="E178" s="9" t="str" cm="1">
        <f t="array" ref="E1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78" s="2" t="s">
        <v>427</v>
      </c>
      <c r="G178" t="s">
        <v>77</v>
      </c>
      <c r="H178" s="2">
        <v>1</v>
      </c>
      <c r="I178" s="2" t="str" cm="1">
        <f t="array" ref="I178">_xlfn.XLOOKUP(F178,Customers!A177:$A$1001,Customers!B177:$B$1001,"Not Found",0)</f>
        <v>Odille Thynne</v>
      </c>
      <c r="J178" s="2" t="str" cm="1">
        <f t="array" ref="J178">IF(_xlfn.XLOOKUP(F178,Customers!A177:$A$1001,Customers!C177:$C$1001,"Not Found",0)=0,"",_xlfn.XLOOKUP(F178,Customers!A177:$A$1001,Customers!C177:$C$1001,"Not Found",0))</f>
        <v>othynne4w@auda.org.au</v>
      </c>
      <c r="K178" s="2" t="str" cm="1">
        <f t="array" ref="K178">_xlfn.XLOOKUP(F178,Customers!A177:$A$1001,Customers!G177:$G$1001,"Not Found",0)</f>
        <v>United States</v>
      </c>
      <c r="L178" t="str">
        <f>INDEX(Products!$A$1:$G$49,MATCH(Orders!$G178,Products!$A$1:$A$49,0),MATCH(Orders!L$1,Products!$A$1:$G$1,0))</f>
        <v>Exc</v>
      </c>
      <c r="M178" t="str">
        <f>INDEX(Products!$A$1:$G$49,MATCH(Orders!$G178,Products!$A$1:$A$49,0),MATCH(Orders!M$1,Products!$A$1:$G$1,0))</f>
        <v>L</v>
      </c>
      <c r="N178" s="4">
        <f>INDEX(Products!$A$1:$G$49,MATCH(Orders!$G178,Products!$A$1:$A$49,0),MATCH(Orders!N$1,Products!$A$1:$G$1,0))</f>
        <v>2.5</v>
      </c>
      <c r="O178" s="7">
        <f>INDEX(Products!$A$1:$G$49,MATCH(Orders!$G178,Products!$A$1:$A$49,0),MATCH(Orders!O$1,Products!$A$1:$G$1,0))</f>
        <v>34.154999999999994</v>
      </c>
      <c r="P178" s="7">
        <f t="shared" si="2"/>
        <v>34.154999999999994</v>
      </c>
      <c r="Q178" t="str" cm="1">
        <f t="array" ref="Q178">_xlfn.IFS(L178="Rob","Robusta",L178="Exc", "Excelsa",L178="Ara", "Arabica",L178="Lib", "Liberica")</f>
        <v>Excelsa</v>
      </c>
      <c r="R178" t="str" cm="1">
        <f t="array" ref="R178">_xlfn.IFS(M178="M","Medium",M178="L","Light",M178="D","Dark")</f>
        <v>Light</v>
      </c>
    </row>
    <row r="179" spans="1:18">
      <c r="A179" s="2" t="s">
        <v>428</v>
      </c>
      <c r="B179" s="3">
        <v>44120</v>
      </c>
      <c r="C179" s="9">
        <f>YEAR(Orders_Table[[#This Row],[Order Date]])</f>
        <v>2020</v>
      </c>
      <c r="D179" s="9">
        <f>MONTH(Orders_Table[[#This Row],[Order Date]])</f>
        <v>10</v>
      </c>
      <c r="E179" s="9" t="str" cm="1">
        <f t="array" ref="E1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79" s="2" t="s">
        <v>429</v>
      </c>
      <c r="G179" t="s">
        <v>57</v>
      </c>
      <c r="H179" s="2">
        <v>4</v>
      </c>
      <c r="I179" s="2" t="str" cm="1">
        <f t="array" ref="I179">_xlfn.XLOOKUP(F179,Customers!A178:$A$1001,Customers!B178:$B$1001,"Not Found",0)</f>
        <v>Emlynne Heining</v>
      </c>
      <c r="J179" s="2" t="str" cm="1">
        <f t="array" ref="J179">IF(_xlfn.XLOOKUP(F179,Customers!A178:$A$1001,Customers!C178:$C$1001,"Not Found",0)=0,"",_xlfn.XLOOKUP(F179,Customers!A178:$A$1001,Customers!C178:$C$1001,"Not Found",0))</f>
        <v>eheining4x@flickr.com</v>
      </c>
      <c r="K179" s="2" t="str" cm="1">
        <f t="array" ref="K179">_xlfn.XLOOKUP(F179,Customers!A178:$A$1001,Customers!G178:$G$1001,"Not Found",0)</f>
        <v>United States</v>
      </c>
      <c r="L179" t="str">
        <f>INDEX(Products!$A$1:$G$49,MATCH(Orders!$G179,Products!$A$1:$A$49,0),MATCH(Orders!L$1,Products!$A$1:$G$1,0))</f>
        <v>Rob</v>
      </c>
      <c r="M179" t="str">
        <f>INDEX(Products!$A$1:$G$49,MATCH(Orders!$G179,Products!$A$1:$A$49,0),MATCH(Orders!M$1,Products!$A$1:$G$1,0))</f>
        <v>L</v>
      </c>
      <c r="N179" s="4">
        <f>INDEX(Products!$A$1:$G$49,MATCH(Orders!$G179,Products!$A$1:$A$49,0),MATCH(Orders!N$1,Products!$A$1:$G$1,0))</f>
        <v>2.5</v>
      </c>
      <c r="O179" s="7">
        <f>INDEX(Products!$A$1:$G$49,MATCH(Orders!$G179,Products!$A$1:$A$49,0),MATCH(Orders!O$1,Products!$A$1:$G$1,0))</f>
        <v>27.484999999999996</v>
      </c>
      <c r="P179" s="7">
        <f t="shared" si="2"/>
        <v>109.93999999999998</v>
      </c>
      <c r="Q179" t="str" cm="1">
        <f t="array" ref="Q179">_xlfn.IFS(L179="Rob","Robusta",L179="Exc", "Excelsa",L179="Ara", "Arabica",L179="Lib", "Liberica")</f>
        <v>Robusta</v>
      </c>
      <c r="R179" t="str" cm="1">
        <f t="array" ref="R179">_xlfn.IFS(M179="M","Medium",M179="L","Light",M179="D","Dark")</f>
        <v>Light</v>
      </c>
    </row>
    <row r="180" spans="1:18">
      <c r="A180" s="2" t="s">
        <v>430</v>
      </c>
      <c r="B180" s="3">
        <v>43746</v>
      </c>
      <c r="C180" s="9">
        <f>YEAR(Orders_Table[[#This Row],[Order Date]])</f>
        <v>2019</v>
      </c>
      <c r="D180" s="9">
        <f>MONTH(Orders_Table[[#This Row],[Order Date]])</f>
        <v>10</v>
      </c>
      <c r="E180" s="9" t="str" cm="1">
        <f t="array" ref="E1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80" s="2" t="s">
        <v>431</v>
      </c>
      <c r="G180" t="s">
        <v>53</v>
      </c>
      <c r="H180" s="2">
        <v>2</v>
      </c>
      <c r="I180" s="2" t="str" cm="1">
        <f t="array" ref="I180">_xlfn.XLOOKUP(F180,Customers!A179:$A$1001,Customers!B179:$B$1001,"Not Found",0)</f>
        <v>Katerina Melloi</v>
      </c>
      <c r="J180" s="2" t="str" cm="1">
        <f t="array" ref="J180">IF(_xlfn.XLOOKUP(F180,Customers!A179:$A$1001,Customers!C179:$C$1001,"Not Found",0)=0,"",_xlfn.XLOOKUP(F180,Customers!A179:$A$1001,Customers!C179:$C$1001,"Not Found",0))</f>
        <v>kmelloi4y@imdb.com</v>
      </c>
      <c r="K180" s="2" t="str" cm="1">
        <f t="array" ref="K180">_xlfn.XLOOKUP(F180,Customers!A179:$A$1001,Customers!G179:$G$1001,"Not Found",0)</f>
        <v>United States</v>
      </c>
      <c r="L180" t="str">
        <f>INDEX(Products!$A$1:$G$49,MATCH(Orders!$G180,Products!$A$1:$A$49,0),MATCH(Orders!L$1,Products!$A$1:$G$1,0))</f>
        <v>Ara</v>
      </c>
      <c r="M180" t="str">
        <f>INDEX(Products!$A$1:$G$49,MATCH(Orders!$G180,Products!$A$1:$A$49,0),MATCH(Orders!M$1,Products!$A$1:$G$1,0))</f>
        <v>L</v>
      </c>
      <c r="N180" s="4">
        <f>INDEX(Products!$A$1:$G$49,MATCH(Orders!$G180,Products!$A$1:$A$49,0),MATCH(Orders!N$1,Products!$A$1:$G$1,0))</f>
        <v>1</v>
      </c>
      <c r="O180" s="7">
        <f>INDEX(Products!$A$1:$G$49,MATCH(Orders!$G180,Products!$A$1:$A$49,0),MATCH(Orders!O$1,Products!$A$1:$G$1,0))</f>
        <v>12.95</v>
      </c>
      <c r="P180" s="7">
        <f t="shared" si="2"/>
        <v>25.9</v>
      </c>
      <c r="Q180" t="str" cm="1">
        <f t="array" ref="Q180">_xlfn.IFS(L180="Rob","Robusta",L180="Exc", "Excelsa",L180="Ara", "Arabica",L180="Lib", "Liberica")</f>
        <v>Arabica</v>
      </c>
      <c r="R180" t="str" cm="1">
        <f t="array" ref="R180">_xlfn.IFS(M180="M","Medium",M180="L","Light",M180="D","Dark")</f>
        <v>Light</v>
      </c>
    </row>
    <row r="181" spans="1:18">
      <c r="A181" s="2" t="s">
        <v>432</v>
      </c>
      <c r="B181" s="3">
        <v>43830</v>
      </c>
      <c r="C181" s="9">
        <f>YEAR(Orders_Table[[#This Row],[Order Date]])</f>
        <v>2019</v>
      </c>
      <c r="D181" s="9">
        <f>MONTH(Orders_Table[[#This Row],[Order Date]])</f>
        <v>12</v>
      </c>
      <c r="E181" s="9" t="str" cm="1">
        <f t="array" ref="E1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81" s="2" t="s">
        <v>433</v>
      </c>
      <c r="G181" t="s">
        <v>101</v>
      </c>
      <c r="H181" s="2">
        <v>1</v>
      </c>
      <c r="I181" s="2" t="str" cm="1">
        <f t="array" ref="I181">_xlfn.XLOOKUP(F181,Customers!A180:$A$1001,Customers!B180:$B$1001,"Not Found",0)</f>
        <v>Tiffany Scardafield</v>
      </c>
      <c r="J181" s="2" t="str" cm="1">
        <f t="array" ref="J181">IF(_xlfn.XLOOKUP(F181,Customers!A180:$A$1001,Customers!C180:$C$1001,"Not Found",0)=0,"",_xlfn.XLOOKUP(F181,Customers!A180:$A$1001,Customers!C180:$C$1001,"Not Found",0))</f>
        <v/>
      </c>
      <c r="K181" s="2" t="str" cm="1">
        <f t="array" ref="K181">_xlfn.XLOOKUP(F181,Customers!A180:$A$1001,Customers!G180:$G$1001,"Not Found",0)</f>
        <v>Ireland</v>
      </c>
      <c r="L181" t="str">
        <f>INDEX(Products!$A$1:$G$49,MATCH(Orders!$G181,Products!$A$1:$A$49,0),MATCH(Orders!L$1,Products!$A$1:$G$1,0))</f>
        <v>Ara</v>
      </c>
      <c r="M181" t="str">
        <f>INDEX(Products!$A$1:$G$49,MATCH(Orders!$G181,Products!$A$1:$A$49,0),MATCH(Orders!M$1,Products!$A$1:$G$1,0))</f>
        <v>D</v>
      </c>
      <c r="N181" s="4">
        <f>INDEX(Products!$A$1:$G$49,MATCH(Orders!$G181,Products!$A$1:$A$49,0),MATCH(Orders!N$1,Products!$A$1:$G$1,0))</f>
        <v>0.2</v>
      </c>
      <c r="O181" s="7">
        <f>INDEX(Products!$A$1:$G$49,MATCH(Orders!$G181,Products!$A$1:$A$49,0),MATCH(Orders!O$1,Products!$A$1:$G$1,0))</f>
        <v>2.9849999999999999</v>
      </c>
      <c r="P181" s="7">
        <f t="shared" si="2"/>
        <v>2.9849999999999999</v>
      </c>
      <c r="Q181" t="str" cm="1">
        <f t="array" ref="Q181">_xlfn.IFS(L181="Rob","Robusta",L181="Exc", "Excelsa",L181="Ara", "Arabica",L181="Lib", "Liberica")</f>
        <v>Arabica</v>
      </c>
      <c r="R181" t="str" cm="1">
        <f t="array" ref="R181">_xlfn.IFS(M181="M","Medium",M181="L","Light",M181="D","Dark")</f>
        <v>Dark</v>
      </c>
    </row>
    <row r="182" spans="1:18">
      <c r="A182" s="2" t="s">
        <v>434</v>
      </c>
      <c r="B182" s="3">
        <v>43910</v>
      </c>
      <c r="C182" s="9">
        <f>YEAR(Orders_Table[[#This Row],[Order Date]])</f>
        <v>2020</v>
      </c>
      <c r="D182" s="9">
        <f>MONTH(Orders_Table[[#This Row],[Order Date]])</f>
        <v>3</v>
      </c>
      <c r="E182" s="9" t="str" cm="1">
        <f t="array" ref="E1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82" s="2" t="s">
        <v>435</v>
      </c>
      <c r="G182" t="s">
        <v>301</v>
      </c>
      <c r="H182" s="2">
        <v>5</v>
      </c>
      <c r="I182" s="2" t="str" cm="1">
        <f t="array" ref="I182">_xlfn.XLOOKUP(F182,Customers!A181:$A$1001,Customers!B181:$B$1001,"Not Found",0)</f>
        <v>Abrahan Mussen</v>
      </c>
      <c r="J182" s="2" t="str" cm="1">
        <f t="array" ref="J182">IF(_xlfn.XLOOKUP(F182,Customers!A181:$A$1001,Customers!C181:$C$1001,"Not Found",0)=0,"",_xlfn.XLOOKUP(F182,Customers!A181:$A$1001,Customers!C181:$C$1001,"Not Found",0))</f>
        <v>amussen50@51.la</v>
      </c>
      <c r="K182" s="2" t="str" cm="1">
        <f t="array" ref="K182">_xlfn.XLOOKUP(F182,Customers!A181:$A$1001,Customers!G181:$G$1001,"Not Found",0)</f>
        <v>United States</v>
      </c>
      <c r="L182" t="str">
        <f>INDEX(Products!$A$1:$G$49,MATCH(Orders!$G182,Products!$A$1:$A$49,0),MATCH(Orders!L$1,Products!$A$1:$G$1,0))</f>
        <v>Exc</v>
      </c>
      <c r="M182" t="str">
        <f>INDEX(Products!$A$1:$G$49,MATCH(Orders!$G182,Products!$A$1:$A$49,0),MATCH(Orders!M$1,Products!$A$1:$G$1,0))</f>
        <v>L</v>
      </c>
      <c r="N182" s="4">
        <f>INDEX(Products!$A$1:$G$49,MATCH(Orders!$G182,Products!$A$1:$A$49,0),MATCH(Orders!N$1,Products!$A$1:$G$1,0))</f>
        <v>0.2</v>
      </c>
      <c r="O182" s="7">
        <f>INDEX(Products!$A$1:$G$49,MATCH(Orders!$G182,Products!$A$1:$A$49,0),MATCH(Orders!O$1,Products!$A$1:$G$1,0))</f>
        <v>4.4550000000000001</v>
      </c>
      <c r="P182" s="7">
        <f t="shared" si="2"/>
        <v>22.274999999999999</v>
      </c>
      <c r="Q182" t="str" cm="1">
        <f t="array" ref="Q182">_xlfn.IFS(L182="Rob","Robusta",L182="Exc", "Excelsa",L182="Ara", "Arabica",L182="Lib", "Liberica")</f>
        <v>Excelsa</v>
      </c>
      <c r="R182" t="str" cm="1">
        <f t="array" ref="R182">_xlfn.IFS(M182="M","Medium",M182="L","Light",M182="D","Dark")</f>
        <v>Light</v>
      </c>
    </row>
    <row r="183" spans="1:18">
      <c r="A183" s="2" t="s">
        <v>434</v>
      </c>
      <c r="B183" s="3">
        <v>43910</v>
      </c>
      <c r="C183" s="9">
        <f>YEAR(Orders_Table[[#This Row],[Order Date]])</f>
        <v>2020</v>
      </c>
      <c r="D183" s="9">
        <f>MONTH(Orders_Table[[#This Row],[Order Date]])</f>
        <v>3</v>
      </c>
      <c r="E183" s="9" t="str" cm="1">
        <f t="array" ref="E1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83" s="2" t="s">
        <v>435</v>
      </c>
      <c r="G183" t="s">
        <v>119</v>
      </c>
      <c r="H183" s="2">
        <v>5</v>
      </c>
      <c r="I183" s="2" t="str" cm="1">
        <f t="array" ref="I183">_xlfn.XLOOKUP(F183,Customers!A182:$A$1001,Customers!B182:$B$1001,"Not Found",0)</f>
        <v>Abrahan Mussen</v>
      </c>
      <c r="J183" s="2" t="str" cm="1">
        <f t="array" ref="J183">IF(_xlfn.XLOOKUP(F183,Customers!A182:$A$1001,Customers!C182:$C$1001,"Not Found",0)=0,"",_xlfn.XLOOKUP(F183,Customers!A182:$A$1001,Customers!C182:$C$1001,"Not Found",0))</f>
        <v>amussen50@51.la</v>
      </c>
      <c r="K183" s="2" t="str" cm="1">
        <f t="array" ref="K183">_xlfn.XLOOKUP(F183,Customers!A182:$A$1001,Customers!G182:$G$1001,"Not Found",0)</f>
        <v>United States</v>
      </c>
      <c r="L183" t="str">
        <f>INDEX(Products!$A$1:$G$49,MATCH(Orders!$G183,Products!$A$1:$A$49,0),MATCH(Orders!L$1,Products!$A$1:$G$1,0))</f>
        <v>Ara</v>
      </c>
      <c r="M183" t="str">
        <f>INDEX(Products!$A$1:$G$49,MATCH(Orders!$G183,Products!$A$1:$A$49,0),MATCH(Orders!M$1,Products!$A$1:$G$1,0))</f>
        <v>D</v>
      </c>
      <c r="N183" s="4">
        <f>INDEX(Products!$A$1:$G$49,MATCH(Orders!$G183,Products!$A$1:$A$49,0),MATCH(Orders!N$1,Products!$A$1:$G$1,0))</f>
        <v>0.5</v>
      </c>
      <c r="O183" s="7">
        <f>INDEX(Products!$A$1:$G$49,MATCH(Orders!$G183,Products!$A$1:$A$49,0),MATCH(Orders!O$1,Products!$A$1:$G$1,0))</f>
        <v>5.97</v>
      </c>
      <c r="P183" s="7">
        <f t="shared" si="2"/>
        <v>29.849999999999998</v>
      </c>
      <c r="Q183" t="str" cm="1">
        <f t="array" ref="Q183">_xlfn.IFS(L183="Rob","Robusta",L183="Exc", "Excelsa",L183="Ara", "Arabica",L183="Lib", "Liberica")</f>
        <v>Arabica</v>
      </c>
      <c r="R183" t="str" cm="1">
        <f t="array" ref="R183">_xlfn.IFS(M183="M","Medium",M183="L","Light",M183="D","Dark")</f>
        <v>Dark</v>
      </c>
    </row>
    <row r="184" spans="1:18">
      <c r="A184" s="2" t="s">
        <v>436</v>
      </c>
      <c r="B184" s="3">
        <v>44284</v>
      </c>
      <c r="C184" s="9">
        <f>YEAR(Orders_Table[[#This Row],[Order Date]])</f>
        <v>2021</v>
      </c>
      <c r="D184" s="9">
        <f>MONTH(Orders_Table[[#This Row],[Order Date]])</f>
        <v>3</v>
      </c>
      <c r="E184" s="9" t="str" cm="1">
        <f t="array" ref="E1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84" s="2" t="s">
        <v>437</v>
      </c>
      <c r="G184" t="s">
        <v>193</v>
      </c>
      <c r="H184" s="2">
        <v>6</v>
      </c>
      <c r="I184" s="2" t="str" cm="1">
        <f t="array" ref="I184">_xlfn.XLOOKUP(F184,Customers!A183:$A$1001,Customers!B183:$B$1001,"Not Found",0)</f>
        <v>Anny Mundford</v>
      </c>
      <c r="J184" s="2" t="str" cm="1">
        <f t="array" ref="J184">IF(_xlfn.XLOOKUP(F184,Customers!A183:$A$1001,Customers!C183:$C$1001,"Not Found",0)=0,"",_xlfn.XLOOKUP(F184,Customers!A183:$A$1001,Customers!C183:$C$1001,"Not Found",0))</f>
        <v>amundford52@nbcnews.com</v>
      </c>
      <c r="K184" s="2" t="str" cm="1">
        <f t="array" ref="K184">_xlfn.XLOOKUP(F184,Customers!A183:$A$1001,Customers!G183:$G$1001,"Not Found",0)</f>
        <v>United States</v>
      </c>
      <c r="L184" t="str">
        <f>INDEX(Products!$A$1:$G$49,MATCH(Orders!$G184,Products!$A$1:$A$49,0),MATCH(Orders!L$1,Products!$A$1:$G$1,0))</f>
        <v>Rob</v>
      </c>
      <c r="M184" t="str">
        <f>INDEX(Products!$A$1:$G$49,MATCH(Orders!$G184,Products!$A$1:$A$49,0),MATCH(Orders!M$1,Products!$A$1:$G$1,0))</f>
        <v>D</v>
      </c>
      <c r="N184" s="4">
        <f>INDEX(Products!$A$1:$G$49,MATCH(Orders!$G184,Products!$A$1:$A$49,0),MATCH(Orders!N$1,Products!$A$1:$G$1,0))</f>
        <v>0.5</v>
      </c>
      <c r="O184" s="7">
        <f>INDEX(Products!$A$1:$G$49,MATCH(Orders!$G184,Products!$A$1:$A$49,0),MATCH(Orders!O$1,Products!$A$1:$G$1,0))</f>
        <v>5.3699999999999992</v>
      </c>
      <c r="P184" s="7">
        <f t="shared" si="2"/>
        <v>32.22</v>
      </c>
      <c r="Q184" t="str" cm="1">
        <f t="array" ref="Q184">_xlfn.IFS(L184="Rob","Robusta",L184="Exc", "Excelsa",L184="Ara", "Arabica",L184="Lib", "Liberica")</f>
        <v>Robusta</v>
      </c>
      <c r="R184" t="str" cm="1">
        <f t="array" ref="R184">_xlfn.IFS(M184="M","Medium",M184="L","Light",M184="D","Dark")</f>
        <v>Dark</v>
      </c>
    </row>
    <row r="185" spans="1:18">
      <c r="A185" s="2" t="s">
        <v>438</v>
      </c>
      <c r="B185" s="3">
        <v>44512</v>
      </c>
      <c r="C185" s="9">
        <f>YEAR(Orders_Table[[#This Row],[Order Date]])</f>
        <v>2021</v>
      </c>
      <c r="D185" s="9">
        <f>MONTH(Orders_Table[[#This Row],[Order Date]])</f>
        <v>11</v>
      </c>
      <c r="E185" s="9" t="str" cm="1">
        <f t="array" ref="E1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185" s="2" t="s">
        <v>439</v>
      </c>
      <c r="G185" t="s">
        <v>111</v>
      </c>
      <c r="H185" s="2">
        <v>2</v>
      </c>
      <c r="I185" s="2" t="str" cm="1">
        <f t="array" ref="I185">_xlfn.XLOOKUP(F185,Customers!A184:$A$1001,Customers!B184:$B$1001,"Not Found",0)</f>
        <v>Tory Walas</v>
      </c>
      <c r="J185" s="2" t="str" cm="1">
        <f t="array" ref="J185">IF(_xlfn.XLOOKUP(F185,Customers!A184:$A$1001,Customers!C184:$C$1001,"Not Found",0)=0,"",_xlfn.XLOOKUP(F185,Customers!A184:$A$1001,Customers!C184:$C$1001,"Not Found",0))</f>
        <v>twalas53@google.ca</v>
      </c>
      <c r="K185" s="2" t="str" cm="1">
        <f t="array" ref="K185">_xlfn.XLOOKUP(F185,Customers!A184:$A$1001,Customers!G184:$G$1001,"Not Found",0)</f>
        <v>United States</v>
      </c>
      <c r="L185" t="str">
        <f>INDEX(Products!$A$1:$G$49,MATCH(Orders!$G185,Products!$A$1:$A$49,0),MATCH(Orders!L$1,Products!$A$1:$G$1,0))</f>
        <v>Exc</v>
      </c>
      <c r="M185" t="str">
        <f>INDEX(Products!$A$1:$G$49,MATCH(Orders!$G185,Products!$A$1:$A$49,0),MATCH(Orders!M$1,Products!$A$1:$G$1,0))</f>
        <v>M</v>
      </c>
      <c r="N185" s="4">
        <f>INDEX(Products!$A$1:$G$49,MATCH(Orders!$G185,Products!$A$1:$A$49,0),MATCH(Orders!N$1,Products!$A$1:$G$1,0))</f>
        <v>0.2</v>
      </c>
      <c r="O185" s="7">
        <f>INDEX(Products!$A$1:$G$49,MATCH(Orders!$G185,Products!$A$1:$A$49,0),MATCH(Orders!O$1,Products!$A$1:$G$1,0))</f>
        <v>4.125</v>
      </c>
      <c r="P185" s="7">
        <f t="shared" si="2"/>
        <v>8.25</v>
      </c>
      <c r="Q185" t="str" cm="1">
        <f t="array" ref="Q185">_xlfn.IFS(L185="Rob","Robusta",L185="Exc", "Excelsa",L185="Ara", "Arabica",L185="Lib", "Liberica")</f>
        <v>Excelsa</v>
      </c>
      <c r="R185" t="str" cm="1">
        <f t="array" ref="R185">_xlfn.IFS(M185="M","Medium",M185="L","Light",M185="D","Dark")</f>
        <v>Medium</v>
      </c>
    </row>
    <row r="186" spans="1:18">
      <c r="A186" s="2" t="s">
        <v>440</v>
      </c>
      <c r="B186" s="3">
        <v>44397</v>
      </c>
      <c r="C186" s="9">
        <f>YEAR(Orders_Table[[#This Row],[Order Date]])</f>
        <v>2021</v>
      </c>
      <c r="D186" s="9">
        <f>MONTH(Orders_Table[[#This Row],[Order Date]])</f>
        <v>7</v>
      </c>
      <c r="E186" s="9" t="str" cm="1">
        <f t="array" ref="E1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86" s="2" t="s">
        <v>441</v>
      </c>
      <c r="G186" t="s">
        <v>239</v>
      </c>
      <c r="H186" s="2">
        <v>4</v>
      </c>
      <c r="I186" s="2" t="str" cm="1">
        <f t="array" ref="I186">_xlfn.XLOOKUP(F186,Customers!A185:$A$1001,Customers!B185:$B$1001,"Not Found",0)</f>
        <v>Isa Blazewicz</v>
      </c>
      <c r="J186" s="2" t="str" cm="1">
        <f t="array" ref="J186">IF(_xlfn.XLOOKUP(F186,Customers!A185:$A$1001,Customers!C185:$C$1001,"Not Found",0)=0,"",_xlfn.XLOOKUP(F186,Customers!A185:$A$1001,Customers!C185:$C$1001,"Not Found",0))</f>
        <v>iblazewicz54@thetimes.co.uk</v>
      </c>
      <c r="K186" s="2" t="str" cm="1">
        <f t="array" ref="K186">_xlfn.XLOOKUP(F186,Customers!A185:$A$1001,Customers!G185:$G$1001,"Not Found",0)</f>
        <v>United States</v>
      </c>
      <c r="L186" t="str">
        <f>INDEX(Products!$A$1:$G$49,MATCH(Orders!$G186,Products!$A$1:$A$49,0),MATCH(Orders!L$1,Products!$A$1:$G$1,0))</f>
        <v>Ara</v>
      </c>
      <c r="M186" t="str">
        <f>INDEX(Products!$A$1:$G$49,MATCH(Orders!$G186,Products!$A$1:$A$49,0),MATCH(Orders!M$1,Products!$A$1:$G$1,0))</f>
        <v>L</v>
      </c>
      <c r="N186" s="4">
        <f>INDEX(Products!$A$1:$G$49,MATCH(Orders!$G186,Products!$A$1:$A$49,0),MATCH(Orders!N$1,Products!$A$1:$G$1,0))</f>
        <v>0.5</v>
      </c>
      <c r="O186" s="7">
        <f>INDEX(Products!$A$1:$G$49,MATCH(Orders!$G186,Products!$A$1:$A$49,0),MATCH(Orders!O$1,Products!$A$1:$G$1,0))</f>
        <v>7.77</v>
      </c>
      <c r="P186" s="7">
        <f t="shared" si="2"/>
        <v>31.08</v>
      </c>
      <c r="Q186" t="str" cm="1">
        <f t="array" ref="Q186">_xlfn.IFS(L186="Rob","Robusta",L186="Exc", "Excelsa",L186="Ara", "Arabica",L186="Lib", "Liberica")</f>
        <v>Arabica</v>
      </c>
      <c r="R186" t="str" cm="1">
        <f t="array" ref="R186">_xlfn.IFS(M186="M","Medium",M186="L","Light",M186="D","Dark")</f>
        <v>Light</v>
      </c>
    </row>
    <row r="187" spans="1:18">
      <c r="A187" s="2" t="s">
        <v>442</v>
      </c>
      <c r="B187" s="3">
        <v>43483</v>
      </c>
      <c r="C187" s="9">
        <f>YEAR(Orders_Table[[#This Row],[Order Date]])</f>
        <v>2019</v>
      </c>
      <c r="D187" s="9">
        <f>MONTH(Orders_Table[[#This Row],[Order Date]])</f>
        <v>1</v>
      </c>
      <c r="E187" s="9" t="str" cm="1">
        <f t="array" ref="E1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187" s="2" t="s">
        <v>443</v>
      </c>
      <c r="G187" t="s">
        <v>63</v>
      </c>
      <c r="H187" s="2">
        <v>5</v>
      </c>
      <c r="I187" s="2" t="str" cm="1">
        <f t="array" ref="I187">_xlfn.XLOOKUP(F187,Customers!A186:$A$1001,Customers!B186:$B$1001,"Not Found",0)</f>
        <v>Angie Rizzetti</v>
      </c>
      <c r="J187" s="2" t="str" cm="1">
        <f t="array" ref="J187">IF(_xlfn.XLOOKUP(F187,Customers!A186:$A$1001,Customers!C186:$C$1001,"Not Found",0)=0,"",_xlfn.XLOOKUP(F187,Customers!A186:$A$1001,Customers!C186:$C$1001,"Not Found",0))</f>
        <v>arizzetti55@naver.com</v>
      </c>
      <c r="K187" s="2" t="str" cm="1">
        <f t="array" ref="K187">_xlfn.XLOOKUP(F187,Customers!A186:$A$1001,Customers!G186:$G$1001,"Not Found",0)</f>
        <v>United States</v>
      </c>
      <c r="L187" t="str">
        <f>INDEX(Products!$A$1:$G$49,MATCH(Orders!$G187,Products!$A$1:$A$49,0),MATCH(Orders!L$1,Products!$A$1:$G$1,0))</f>
        <v>Exc</v>
      </c>
      <c r="M187" t="str">
        <f>INDEX(Products!$A$1:$G$49,MATCH(Orders!$G187,Products!$A$1:$A$49,0),MATCH(Orders!M$1,Products!$A$1:$G$1,0))</f>
        <v>D</v>
      </c>
      <c r="N187" s="4">
        <f>INDEX(Products!$A$1:$G$49,MATCH(Orders!$G187,Products!$A$1:$A$49,0),MATCH(Orders!N$1,Products!$A$1:$G$1,0))</f>
        <v>0.5</v>
      </c>
      <c r="O187" s="7">
        <f>INDEX(Products!$A$1:$G$49,MATCH(Orders!$G187,Products!$A$1:$A$49,0),MATCH(Orders!O$1,Products!$A$1:$G$1,0))</f>
        <v>7.29</v>
      </c>
      <c r="P187" s="7">
        <f t="shared" si="2"/>
        <v>36.450000000000003</v>
      </c>
      <c r="Q187" t="str" cm="1">
        <f t="array" ref="Q187">_xlfn.IFS(L187="Rob","Robusta",L187="Exc", "Excelsa",L187="Ara", "Arabica",L187="Lib", "Liberica")</f>
        <v>Excelsa</v>
      </c>
      <c r="R187" t="str" cm="1">
        <f t="array" ref="R187">_xlfn.IFS(M187="M","Medium",M187="L","Light",M187="D","Dark")</f>
        <v>Dark</v>
      </c>
    </row>
    <row r="188" spans="1:18">
      <c r="A188" s="2" t="s">
        <v>444</v>
      </c>
      <c r="B188" s="3">
        <v>43684</v>
      </c>
      <c r="C188" s="9">
        <f>YEAR(Orders_Table[[#This Row],[Order Date]])</f>
        <v>2019</v>
      </c>
      <c r="D188" s="9">
        <f>MONTH(Orders_Table[[#This Row],[Order Date]])</f>
        <v>8</v>
      </c>
      <c r="E188" s="9" t="str" cm="1">
        <f t="array" ref="E1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88" s="2" t="s">
        <v>445</v>
      </c>
      <c r="G188" t="s">
        <v>88</v>
      </c>
      <c r="H188" s="2">
        <v>3</v>
      </c>
      <c r="I188" s="2" t="str" cm="1">
        <f t="array" ref="I188">_xlfn.XLOOKUP(F188,Customers!A187:$A$1001,Customers!B187:$B$1001,"Not Found",0)</f>
        <v>Mord Meriet</v>
      </c>
      <c r="J188" s="2" t="str" cm="1">
        <f t="array" ref="J188">IF(_xlfn.XLOOKUP(F188,Customers!A187:$A$1001,Customers!C187:$C$1001,"Not Found",0)=0,"",_xlfn.XLOOKUP(F188,Customers!A187:$A$1001,Customers!C187:$C$1001,"Not Found",0))</f>
        <v>mmeriet56@noaa.gov</v>
      </c>
      <c r="K188" s="2" t="str" cm="1">
        <f t="array" ref="K188">_xlfn.XLOOKUP(F188,Customers!A187:$A$1001,Customers!G187:$G$1001,"Not Found",0)</f>
        <v>United States</v>
      </c>
      <c r="L188" t="str">
        <f>INDEX(Products!$A$1:$G$49,MATCH(Orders!$G188,Products!$A$1:$A$49,0),MATCH(Orders!L$1,Products!$A$1:$G$1,0))</f>
        <v>Rob</v>
      </c>
      <c r="M188" t="str">
        <f>INDEX(Products!$A$1:$G$49,MATCH(Orders!$G188,Products!$A$1:$A$49,0),MATCH(Orders!M$1,Products!$A$1:$G$1,0))</f>
        <v>M</v>
      </c>
      <c r="N188" s="4">
        <f>INDEX(Products!$A$1:$G$49,MATCH(Orders!$G188,Products!$A$1:$A$49,0),MATCH(Orders!N$1,Products!$A$1:$G$1,0))</f>
        <v>2.5</v>
      </c>
      <c r="O188" s="7">
        <f>INDEX(Products!$A$1:$G$49,MATCH(Orders!$G188,Products!$A$1:$A$49,0),MATCH(Orders!O$1,Products!$A$1:$G$1,0))</f>
        <v>22.884999999999998</v>
      </c>
      <c r="P188" s="7">
        <f t="shared" si="2"/>
        <v>68.655000000000001</v>
      </c>
      <c r="Q188" t="str" cm="1">
        <f t="array" ref="Q188">_xlfn.IFS(L188="Rob","Robusta",L188="Exc", "Excelsa",L188="Ara", "Arabica",L188="Lib", "Liberica")</f>
        <v>Robusta</v>
      </c>
      <c r="R188" t="str" cm="1">
        <f t="array" ref="R188">_xlfn.IFS(M188="M","Medium",M188="L","Light",M188="D","Dark")</f>
        <v>Medium</v>
      </c>
    </row>
    <row r="189" spans="1:18">
      <c r="A189" s="2" t="s">
        <v>446</v>
      </c>
      <c r="B189" s="3">
        <v>44633</v>
      </c>
      <c r="C189" s="9">
        <f>YEAR(Orders_Table[[#This Row],[Order Date]])</f>
        <v>2022</v>
      </c>
      <c r="D189" s="9">
        <f>MONTH(Orders_Table[[#This Row],[Order Date]])</f>
        <v>3</v>
      </c>
      <c r="E189" s="9" t="str" cm="1">
        <f t="array" ref="E1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89" s="2" t="s">
        <v>447</v>
      </c>
      <c r="G189" t="s">
        <v>125</v>
      </c>
      <c r="H189" s="2">
        <v>5</v>
      </c>
      <c r="I189" s="2" t="str" cm="1">
        <f t="array" ref="I189">_xlfn.XLOOKUP(F189,Customers!A188:$A$1001,Customers!B188:$B$1001,"Not Found",0)</f>
        <v>Lawrence Pratt</v>
      </c>
      <c r="J189" s="2" t="str" cm="1">
        <f t="array" ref="J189">IF(_xlfn.XLOOKUP(F189,Customers!A188:$A$1001,Customers!C188:$C$1001,"Not Found",0)=0,"",_xlfn.XLOOKUP(F189,Customers!A188:$A$1001,Customers!C188:$C$1001,"Not Found",0))</f>
        <v>lpratt57@netvibes.com</v>
      </c>
      <c r="K189" s="2" t="str" cm="1">
        <f t="array" ref="K189">_xlfn.XLOOKUP(F189,Customers!A188:$A$1001,Customers!G188:$G$1001,"Not Found",0)</f>
        <v>United States</v>
      </c>
      <c r="L189" t="str">
        <f>INDEX(Products!$A$1:$G$49,MATCH(Orders!$G189,Products!$A$1:$A$49,0),MATCH(Orders!L$1,Products!$A$1:$G$1,0))</f>
        <v>Lib</v>
      </c>
      <c r="M189" t="str">
        <f>INDEX(Products!$A$1:$G$49,MATCH(Orders!$G189,Products!$A$1:$A$49,0),MATCH(Orders!M$1,Products!$A$1:$G$1,0))</f>
        <v>M</v>
      </c>
      <c r="N189" s="4">
        <f>INDEX(Products!$A$1:$G$49,MATCH(Orders!$G189,Products!$A$1:$A$49,0),MATCH(Orders!N$1,Products!$A$1:$G$1,0))</f>
        <v>0.5</v>
      </c>
      <c r="O189" s="7">
        <f>INDEX(Products!$A$1:$G$49,MATCH(Orders!$G189,Products!$A$1:$A$49,0),MATCH(Orders!O$1,Products!$A$1:$G$1,0))</f>
        <v>8.73</v>
      </c>
      <c r="P189" s="7">
        <f t="shared" si="2"/>
        <v>43.650000000000006</v>
      </c>
      <c r="Q189" t="str" cm="1">
        <f t="array" ref="Q189">_xlfn.IFS(L189="Rob","Robusta",L189="Exc", "Excelsa",L189="Ara", "Arabica",L189="Lib", "Liberica")</f>
        <v>Liberica</v>
      </c>
      <c r="R189" t="str" cm="1">
        <f t="array" ref="R189">_xlfn.IFS(M189="M","Medium",M189="L","Light",M189="D","Dark")</f>
        <v>Medium</v>
      </c>
    </row>
    <row r="190" spans="1:18">
      <c r="A190" s="2" t="s">
        <v>448</v>
      </c>
      <c r="B190" s="3">
        <v>44698</v>
      </c>
      <c r="C190" s="9">
        <f>YEAR(Orders_Table[[#This Row],[Order Date]])</f>
        <v>2022</v>
      </c>
      <c r="D190" s="9">
        <f>MONTH(Orders_Table[[#This Row],[Order Date]])</f>
        <v>5</v>
      </c>
      <c r="E190" s="9" t="str" cm="1">
        <f t="array" ref="E1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90" s="2" t="s">
        <v>449</v>
      </c>
      <c r="G190" t="s">
        <v>301</v>
      </c>
      <c r="H190" s="2">
        <v>1</v>
      </c>
      <c r="I190" s="2" t="str" cm="1">
        <f t="array" ref="I190">_xlfn.XLOOKUP(F190,Customers!A189:$A$1001,Customers!B189:$B$1001,"Not Found",0)</f>
        <v>Astrix Kitchingham</v>
      </c>
      <c r="J190" s="2" t="str" cm="1">
        <f t="array" ref="J190">IF(_xlfn.XLOOKUP(F190,Customers!A189:$A$1001,Customers!C189:$C$1001,"Not Found",0)=0,"",_xlfn.XLOOKUP(F190,Customers!A189:$A$1001,Customers!C189:$C$1001,"Not Found",0))</f>
        <v>akitchingham58@com.com</v>
      </c>
      <c r="K190" s="2" t="str" cm="1">
        <f t="array" ref="K190">_xlfn.XLOOKUP(F190,Customers!A189:$A$1001,Customers!G189:$G$1001,"Not Found",0)</f>
        <v>United States</v>
      </c>
      <c r="L190" t="str">
        <f>INDEX(Products!$A$1:$G$49,MATCH(Orders!$G190,Products!$A$1:$A$49,0),MATCH(Orders!L$1,Products!$A$1:$G$1,0))</f>
        <v>Exc</v>
      </c>
      <c r="M190" t="str">
        <f>INDEX(Products!$A$1:$G$49,MATCH(Orders!$G190,Products!$A$1:$A$49,0),MATCH(Orders!M$1,Products!$A$1:$G$1,0))</f>
        <v>L</v>
      </c>
      <c r="N190" s="4">
        <f>INDEX(Products!$A$1:$G$49,MATCH(Orders!$G190,Products!$A$1:$A$49,0),MATCH(Orders!N$1,Products!$A$1:$G$1,0))</f>
        <v>0.2</v>
      </c>
      <c r="O190" s="7">
        <f>INDEX(Products!$A$1:$G$49,MATCH(Orders!$G190,Products!$A$1:$A$49,0),MATCH(Orders!O$1,Products!$A$1:$G$1,0))</f>
        <v>4.4550000000000001</v>
      </c>
      <c r="P190" s="7">
        <f t="shared" si="2"/>
        <v>4.4550000000000001</v>
      </c>
      <c r="Q190" t="str" cm="1">
        <f t="array" ref="Q190">_xlfn.IFS(L190="Rob","Robusta",L190="Exc", "Excelsa",L190="Ara", "Arabica",L190="Lib", "Liberica")</f>
        <v>Excelsa</v>
      </c>
      <c r="R190" t="str" cm="1">
        <f t="array" ref="R190">_xlfn.IFS(M190="M","Medium",M190="L","Light",M190="D","Dark")</f>
        <v>Light</v>
      </c>
    </row>
    <row r="191" spans="1:18">
      <c r="A191" s="2" t="s">
        <v>450</v>
      </c>
      <c r="B191" s="3">
        <v>43813</v>
      </c>
      <c r="C191" s="9">
        <f>YEAR(Orders_Table[[#This Row],[Order Date]])</f>
        <v>2019</v>
      </c>
      <c r="D191" s="9">
        <f>MONTH(Orders_Table[[#This Row],[Order Date]])</f>
        <v>12</v>
      </c>
      <c r="E191" s="9" t="str" cm="1">
        <f t="array" ref="E1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191" s="2" t="s">
        <v>451</v>
      </c>
      <c r="G191" t="s">
        <v>143</v>
      </c>
      <c r="H191" s="2">
        <v>3</v>
      </c>
      <c r="I191" s="2" t="str" cm="1">
        <f t="array" ref="I191">_xlfn.XLOOKUP(F191,Customers!A190:$A$1001,Customers!B190:$B$1001,"Not Found",0)</f>
        <v>Burnard Bartholin</v>
      </c>
      <c r="J191" s="2" t="str" cm="1">
        <f t="array" ref="J191">IF(_xlfn.XLOOKUP(F191,Customers!A190:$A$1001,Customers!C190:$C$1001,"Not Found",0)=0,"",_xlfn.XLOOKUP(F191,Customers!A190:$A$1001,Customers!C190:$C$1001,"Not Found",0))</f>
        <v>bbartholin59@xinhuanet.com</v>
      </c>
      <c r="K191" s="2" t="str" cm="1">
        <f t="array" ref="K191">_xlfn.XLOOKUP(F191,Customers!A190:$A$1001,Customers!G190:$G$1001,"Not Found",0)</f>
        <v>United States</v>
      </c>
      <c r="L191" t="str">
        <f>INDEX(Products!$A$1:$G$49,MATCH(Orders!$G191,Products!$A$1:$A$49,0),MATCH(Orders!L$1,Products!$A$1:$G$1,0))</f>
        <v>Lib</v>
      </c>
      <c r="M191" t="str">
        <f>INDEX(Products!$A$1:$G$49,MATCH(Orders!$G191,Products!$A$1:$A$49,0),MATCH(Orders!M$1,Products!$A$1:$G$1,0))</f>
        <v>M</v>
      </c>
      <c r="N191" s="4">
        <f>INDEX(Products!$A$1:$G$49,MATCH(Orders!$G191,Products!$A$1:$A$49,0),MATCH(Orders!N$1,Products!$A$1:$G$1,0))</f>
        <v>1</v>
      </c>
      <c r="O191" s="7">
        <f>INDEX(Products!$A$1:$G$49,MATCH(Orders!$G191,Products!$A$1:$A$49,0),MATCH(Orders!O$1,Products!$A$1:$G$1,0))</f>
        <v>14.55</v>
      </c>
      <c r="P191" s="7">
        <f t="shared" si="2"/>
        <v>43.650000000000006</v>
      </c>
      <c r="Q191" t="str" cm="1">
        <f t="array" ref="Q191">_xlfn.IFS(L191="Rob","Robusta",L191="Exc", "Excelsa",L191="Ara", "Arabica",L191="Lib", "Liberica")</f>
        <v>Liberica</v>
      </c>
      <c r="R191" t="str" cm="1">
        <f t="array" ref="R191">_xlfn.IFS(M191="M","Medium",M191="L","Light",M191="D","Dark")</f>
        <v>Medium</v>
      </c>
    </row>
    <row r="192" spans="1:18">
      <c r="A192" s="2" t="s">
        <v>452</v>
      </c>
      <c r="B192" s="3">
        <v>43845</v>
      </c>
      <c r="C192" s="9">
        <f>YEAR(Orders_Table[[#This Row],[Order Date]])</f>
        <v>2020</v>
      </c>
      <c r="D192" s="9">
        <f>MONTH(Orders_Table[[#This Row],[Order Date]])</f>
        <v>1</v>
      </c>
      <c r="E192" s="9" t="str" cm="1">
        <f t="array" ref="E1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192" s="2" t="s">
        <v>453</v>
      </c>
      <c r="G192" t="s">
        <v>244</v>
      </c>
      <c r="H192" s="2">
        <v>1</v>
      </c>
      <c r="I192" s="2" t="str" cm="1">
        <f t="array" ref="I192">_xlfn.XLOOKUP(F192,Customers!A191:$A$1001,Customers!B191:$B$1001,"Not Found",0)</f>
        <v>Madelene Prinn</v>
      </c>
      <c r="J192" s="2" t="str" cm="1">
        <f t="array" ref="J192">IF(_xlfn.XLOOKUP(F192,Customers!A191:$A$1001,Customers!C191:$C$1001,"Not Found",0)=0,"",_xlfn.XLOOKUP(F192,Customers!A191:$A$1001,Customers!C191:$C$1001,"Not Found",0))</f>
        <v>mprinn5a@usa.gov</v>
      </c>
      <c r="K192" s="2" t="str" cm="1">
        <f t="array" ref="K192">_xlfn.XLOOKUP(F192,Customers!A191:$A$1001,Customers!G191:$G$1001,"Not Found",0)</f>
        <v>United States</v>
      </c>
      <c r="L192" t="str">
        <f>INDEX(Products!$A$1:$G$49,MATCH(Orders!$G192,Products!$A$1:$A$49,0),MATCH(Orders!L$1,Products!$A$1:$G$1,0))</f>
        <v>Lib</v>
      </c>
      <c r="M192" t="str">
        <f>INDEX(Products!$A$1:$G$49,MATCH(Orders!$G192,Products!$A$1:$A$49,0),MATCH(Orders!M$1,Products!$A$1:$G$1,0))</f>
        <v>M</v>
      </c>
      <c r="N192" s="4">
        <f>INDEX(Products!$A$1:$G$49,MATCH(Orders!$G192,Products!$A$1:$A$49,0),MATCH(Orders!N$1,Products!$A$1:$G$1,0))</f>
        <v>2.5</v>
      </c>
      <c r="O192" s="7">
        <f>INDEX(Products!$A$1:$G$49,MATCH(Orders!$G192,Products!$A$1:$A$49,0),MATCH(Orders!O$1,Products!$A$1:$G$1,0))</f>
        <v>33.464999999999996</v>
      </c>
      <c r="P192" s="7">
        <f t="shared" si="2"/>
        <v>33.464999999999996</v>
      </c>
      <c r="Q192" t="str" cm="1">
        <f t="array" ref="Q192">_xlfn.IFS(L192="Rob","Robusta",L192="Exc", "Excelsa",L192="Ara", "Arabica",L192="Lib", "Liberica")</f>
        <v>Liberica</v>
      </c>
      <c r="R192" t="str" cm="1">
        <f t="array" ref="R192">_xlfn.IFS(M192="M","Medium",M192="L","Light",M192="D","Dark")</f>
        <v>Medium</v>
      </c>
    </row>
    <row r="193" spans="1:18">
      <c r="A193" s="2" t="s">
        <v>454</v>
      </c>
      <c r="B193" s="3">
        <v>43567</v>
      </c>
      <c r="C193" s="9">
        <f>YEAR(Orders_Table[[#This Row],[Order Date]])</f>
        <v>2019</v>
      </c>
      <c r="D193" s="9">
        <f>MONTH(Orders_Table[[#This Row],[Order Date]])</f>
        <v>4</v>
      </c>
      <c r="E193" s="9" t="str" cm="1">
        <f t="array" ref="E1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193" s="2" t="s">
        <v>455</v>
      </c>
      <c r="G193" t="s">
        <v>85</v>
      </c>
      <c r="H193" s="2">
        <v>5</v>
      </c>
      <c r="I193" s="2" t="str" cm="1">
        <f t="array" ref="I193">_xlfn.XLOOKUP(F193,Customers!A192:$A$1001,Customers!B192:$B$1001,"Not Found",0)</f>
        <v>Alisun Baudino</v>
      </c>
      <c r="J193" s="2" t="str" cm="1">
        <f t="array" ref="J193">IF(_xlfn.XLOOKUP(F193,Customers!A192:$A$1001,Customers!C192:$C$1001,"Not Found",0)=0,"",_xlfn.XLOOKUP(F193,Customers!A192:$A$1001,Customers!C192:$C$1001,"Not Found",0))</f>
        <v>abaudino5b@netvibes.com</v>
      </c>
      <c r="K193" s="2" t="str" cm="1">
        <f t="array" ref="K193">_xlfn.XLOOKUP(F193,Customers!A192:$A$1001,Customers!G192:$G$1001,"Not Found",0)</f>
        <v>United States</v>
      </c>
      <c r="L193" t="str">
        <f>INDEX(Products!$A$1:$G$49,MATCH(Orders!$G193,Products!$A$1:$A$49,0),MATCH(Orders!L$1,Products!$A$1:$G$1,0))</f>
        <v>Lib</v>
      </c>
      <c r="M193" t="str">
        <f>INDEX(Products!$A$1:$G$49,MATCH(Orders!$G193,Products!$A$1:$A$49,0),MATCH(Orders!M$1,Products!$A$1:$G$1,0))</f>
        <v>D</v>
      </c>
      <c r="N193" s="4">
        <f>INDEX(Products!$A$1:$G$49,MATCH(Orders!$G193,Products!$A$1:$A$49,0),MATCH(Orders!N$1,Products!$A$1:$G$1,0))</f>
        <v>0.2</v>
      </c>
      <c r="O193" s="7">
        <f>INDEX(Products!$A$1:$G$49,MATCH(Orders!$G193,Products!$A$1:$A$49,0),MATCH(Orders!O$1,Products!$A$1:$G$1,0))</f>
        <v>3.8849999999999998</v>
      </c>
      <c r="P193" s="7">
        <f t="shared" si="2"/>
        <v>19.424999999999997</v>
      </c>
      <c r="Q193" t="str" cm="1">
        <f t="array" ref="Q193">_xlfn.IFS(L193="Rob","Robusta",L193="Exc", "Excelsa",L193="Ara", "Arabica",L193="Lib", "Liberica")</f>
        <v>Liberica</v>
      </c>
      <c r="R193" t="str" cm="1">
        <f t="array" ref="R193">_xlfn.IFS(M193="M","Medium",M193="L","Light",M193="D","Dark")</f>
        <v>Dark</v>
      </c>
    </row>
    <row r="194" spans="1:18">
      <c r="A194" s="2" t="s">
        <v>456</v>
      </c>
      <c r="B194" s="3">
        <v>43919</v>
      </c>
      <c r="C194" s="9">
        <f>YEAR(Orders_Table[[#This Row],[Order Date]])</f>
        <v>2020</v>
      </c>
      <c r="D194" s="9">
        <f>MONTH(Orders_Table[[#This Row],[Order Date]])</f>
        <v>3</v>
      </c>
      <c r="E194" s="9" t="str" cm="1">
        <f t="array" ref="E1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94" s="2" t="s">
        <v>457</v>
      </c>
      <c r="G194" t="s">
        <v>292</v>
      </c>
      <c r="H194" s="2">
        <v>6</v>
      </c>
      <c r="I194" s="2" t="str" cm="1">
        <f t="array" ref="I194">_xlfn.XLOOKUP(F194,Customers!A193:$A$1001,Customers!B193:$B$1001,"Not Found",0)</f>
        <v>Philipa Petrushanko</v>
      </c>
      <c r="J194" s="2" t="str" cm="1">
        <f t="array" ref="J194">IF(_xlfn.XLOOKUP(F194,Customers!A193:$A$1001,Customers!C193:$C$1001,"Not Found",0)=0,"",_xlfn.XLOOKUP(F194,Customers!A193:$A$1001,Customers!C193:$C$1001,"Not Found",0))</f>
        <v>ppetrushanko5c@blinklist.com</v>
      </c>
      <c r="K194" s="2" t="str" cm="1">
        <f t="array" ref="K194">_xlfn.XLOOKUP(F194,Customers!A193:$A$1001,Customers!G193:$G$1001,"Not Found",0)</f>
        <v>Ireland</v>
      </c>
      <c r="L194" t="str">
        <f>INDEX(Products!$A$1:$G$49,MATCH(Orders!$G194,Products!$A$1:$A$49,0),MATCH(Orders!L$1,Products!$A$1:$G$1,0))</f>
        <v>Exc</v>
      </c>
      <c r="M194" t="str">
        <f>INDEX(Products!$A$1:$G$49,MATCH(Orders!$G194,Products!$A$1:$A$49,0),MATCH(Orders!M$1,Products!$A$1:$G$1,0))</f>
        <v>D</v>
      </c>
      <c r="N194" s="4">
        <f>INDEX(Products!$A$1:$G$49,MATCH(Orders!$G194,Products!$A$1:$A$49,0),MATCH(Orders!N$1,Products!$A$1:$G$1,0))</f>
        <v>1</v>
      </c>
      <c r="O194" s="7">
        <f>INDEX(Products!$A$1:$G$49,MATCH(Orders!$G194,Products!$A$1:$A$49,0),MATCH(Orders!O$1,Products!$A$1:$G$1,0))</f>
        <v>12.15</v>
      </c>
      <c r="P194" s="7">
        <f t="shared" si="2"/>
        <v>72.900000000000006</v>
      </c>
      <c r="Q194" t="str" cm="1">
        <f t="array" ref="Q194">_xlfn.IFS(L194="Rob","Robusta",L194="Exc", "Excelsa",L194="Ara", "Arabica",L194="Lib", "Liberica")</f>
        <v>Excelsa</v>
      </c>
      <c r="R194" t="str" cm="1">
        <f t="array" ref="R194">_xlfn.IFS(M194="M","Medium",M194="L","Light",M194="D","Dark")</f>
        <v>Dark</v>
      </c>
    </row>
    <row r="195" spans="1:18">
      <c r="A195" s="2" t="s">
        <v>458</v>
      </c>
      <c r="B195" s="3">
        <v>44644</v>
      </c>
      <c r="C195" s="9">
        <f>YEAR(Orders_Table[[#This Row],[Order Date]])</f>
        <v>2022</v>
      </c>
      <c r="D195" s="9">
        <f>MONTH(Orders_Table[[#This Row],[Order Date]])</f>
        <v>3</v>
      </c>
      <c r="E195" s="9" t="str" cm="1">
        <f t="array" ref="E1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195" s="2" t="s">
        <v>459</v>
      </c>
      <c r="G195" t="s">
        <v>184</v>
      </c>
      <c r="H195" s="2">
        <v>3</v>
      </c>
      <c r="I195" s="2" t="str" cm="1">
        <f t="array" ref="I195">_xlfn.XLOOKUP(F195,Customers!A194:$A$1001,Customers!B194:$B$1001,"Not Found",0)</f>
        <v>Kimberli Mustchin</v>
      </c>
      <c r="J195" s="2" t="str" cm="1">
        <f t="array" ref="J195">IF(_xlfn.XLOOKUP(F195,Customers!A194:$A$1001,Customers!C194:$C$1001,"Not Found",0)=0,"",_xlfn.XLOOKUP(F195,Customers!A194:$A$1001,Customers!C194:$C$1001,"Not Found",0))</f>
        <v/>
      </c>
      <c r="K195" s="2" t="str" cm="1">
        <f t="array" ref="K195">_xlfn.XLOOKUP(F195,Customers!A194:$A$1001,Customers!G194:$G$1001,"Not Found",0)</f>
        <v>United States</v>
      </c>
      <c r="L195" t="str">
        <f>INDEX(Products!$A$1:$G$49,MATCH(Orders!$G195,Products!$A$1:$A$49,0),MATCH(Orders!L$1,Products!$A$1:$G$1,0))</f>
        <v>Exc</v>
      </c>
      <c r="M195" t="str">
        <f>INDEX(Products!$A$1:$G$49,MATCH(Orders!$G195,Products!$A$1:$A$49,0),MATCH(Orders!M$1,Products!$A$1:$G$1,0))</f>
        <v>L</v>
      </c>
      <c r="N195" s="4">
        <f>INDEX(Products!$A$1:$G$49,MATCH(Orders!$G195,Products!$A$1:$A$49,0),MATCH(Orders!N$1,Products!$A$1:$G$1,0))</f>
        <v>1</v>
      </c>
      <c r="O195" s="7">
        <f>INDEX(Products!$A$1:$G$49,MATCH(Orders!$G195,Products!$A$1:$A$49,0),MATCH(Orders!O$1,Products!$A$1:$G$1,0))</f>
        <v>14.85</v>
      </c>
      <c r="P195" s="7">
        <f t="shared" ref="P195:P258" si="3">O195*H195</f>
        <v>44.55</v>
      </c>
      <c r="Q195" t="str" cm="1">
        <f t="array" ref="Q195">_xlfn.IFS(L195="Rob","Robusta",L195="Exc", "Excelsa",L195="Ara", "Arabica",L195="Lib", "Liberica")</f>
        <v>Excelsa</v>
      </c>
      <c r="R195" t="str" cm="1">
        <f t="array" ref="R195">_xlfn.IFS(M195="M","Medium",M195="L","Light",M195="D","Dark")</f>
        <v>Light</v>
      </c>
    </row>
    <row r="196" spans="1:18">
      <c r="A196" s="2" t="s">
        <v>460</v>
      </c>
      <c r="B196" s="3">
        <v>44398</v>
      </c>
      <c r="C196" s="9">
        <f>YEAR(Orders_Table[[#This Row],[Order Date]])</f>
        <v>2021</v>
      </c>
      <c r="D196" s="9">
        <f>MONTH(Orders_Table[[#This Row],[Order Date]])</f>
        <v>7</v>
      </c>
      <c r="E196" s="9" t="str" cm="1">
        <f t="array" ref="E1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196" s="2" t="s">
        <v>461</v>
      </c>
      <c r="G196" t="s">
        <v>63</v>
      </c>
      <c r="H196" s="2">
        <v>5</v>
      </c>
      <c r="I196" s="2" t="str" cm="1">
        <f t="array" ref="I196">_xlfn.XLOOKUP(F196,Customers!A195:$A$1001,Customers!B195:$B$1001,"Not Found",0)</f>
        <v>Emlynne Laird</v>
      </c>
      <c r="J196" s="2" t="str" cm="1">
        <f t="array" ref="J196">IF(_xlfn.XLOOKUP(F196,Customers!A195:$A$1001,Customers!C195:$C$1001,"Not Found",0)=0,"",_xlfn.XLOOKUP(F196,Customers!A195:$A$1001,Customers!C195:$C$1001,"Not Found",0))</f>
        <v>elaird5e@bing.com</v>
      </c>
      <c r="K196" s="2" t="str" cm="1">
        <f t="array" ref="K196">_xlfn.XLOOKUP(F196,Customers!A195:$A$1001,Customers!G195:$G$1001,"Not Found",0)</f>
        <v>United States</v>
      </c>
      <c r="L196" t="str">
        <f>INDEX(Products!$A$1:$G$49,MATCH(Orders!$G196,Products!$A$1:$A$49,0),MATCH(Orders!L$1,Products!$A$1:$G$1,0))</f>
        <v>Exc</v>
      </c>
      <c r="M196" t="str">
        <f>INDEX(Products!$A$1:$G$49,MATCH(Orders!$G196,Products!$A$1:$A$49,0),MATCH(Orders!M$1,Products!$A$1:$G$1,0))</f>
        <v>D</v>
      </c>
      <c r="N196" s="4">
        <f>INDEX(Products!$A$1:$G$49,MATCH(Orders!$G196,Products!$A$1:$A$49,0),MATCH(Orders!N$1,Products!$A$1:$G$1,0))</f>
        <v>0.5</v>
      </c>
      <c r="O196" s="7">
        <f>INDEX(Products!$A$1:$G$49,MATCH(Orders!$G196,Products!$A$1:$A$49,0),MATCH(Orders!O$1,Products!$A$1:$G$1,0))</f>
        <v>7.29</v>
      </c>
      <c r="P196" s="7">
        <f t="shared" si="3"/>
        <v>36.450000000000003</v>
      </c>
      <c r="Q196" t="str" cm="1">
        <f t="array" ref="Q196">_xlfn.IFS(L196="Rob","Robusta",L196="Exc", "Excelsa",L196="Ara", "Arabica",L196="Lib", "Liberica")</f>
        <v>Excelsa</v>
      </c>
      <c r="R196" t="str" cm="1">
        <f t="array" ref="R196">_xlfn.IFS(M196="M","Medium",M196="L","Light",M196="D","Dark")</f>
        <v>Dark</v>
      </c>
    </row>
    <row r="197" spans="1:18">
      <c r="A197" s="2" t="s">
        <v>462</v>
      </c>
      <c r="B197" s="3">
        <v>43683</v>
      </c>
      <c r="C197" s="9">
        <f>YEAR(Orders_Table[[#This Row],[Order Date]])</f>
        <v>2019</v>
      </c>
      <c r="D197" s="9">
        <f>MONTH(Orders_Table[[#This Row],[Order Date]])</f>
        <v>8</v>
      </c>
      <c r="E197" s="9" t="str" cm="1">
        <f t="array" ref="E1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97" s="2" t="s">
        <v>463</v>
      </c>
      <c r="G197" t="s">
        <v>53</v>
      </c>
      <c r="H197" s="2">
        <v>3</v>
      </c>
      <c r="I197" s="2" t="str" cm="1">
        <f t="array" ref="I197">_xlfn.XLOOKUP(F197,Customers!A196:$A$1001,Customers!B196:$B$1001,"Not Found",0)</f>
        <v>Marlena Howsden</v>
      </c>
      <c r="J197" s="2" t="str" cm="1">
        <f t="array" ref="J197">IF(_xlfn.XLOOKUP(F197,Customers!A196:$A$1001,Customers!C196:$C$1001,"Not Found",0)=0,"",_xlfn.XLOOKUP(F197,Customers!A196:$A$1001,Customers!C196:$C$1001,"Not Found",0))</f>
        <v>mhowsden5f@infoseek.co.jp</v>
      </c>
      <c r="K197" s="2" t="str" cm="1">
        <f t="array" ref="K197">_xlfn.XLOOKUP(F197,Customers!A196:$A$1001,Customers!G196:$G$1001,"Not Found",0)</f>
        <v>United States</v>
      </c>
      <c r="L197" t="str">
        <f>INDEX(Products!$A$1:$G$49,MATCH(Orders!$G197,Products!$A$1:$A$49,0),MATCH(Orders!L$1,Products!$A$1:$G$1,0))</f>
        <v>Ara</v>
      </c>
      <c r="M197" t="str">
        <f>INDEX(Products!$A$1:$G$49,MATCH(Orders!$G197,Products!$A$1:$A$49,0),MATCH(Orders!M$1,Products!$A$1:$G$1,0))</f>
        <v>L</v>
      </c>
      <c r="N197" s="4">
        <f>INDEX(Products!$A$1:$G$49,MATCH(Orders!$G197,Products!$A$1:$A$49,0),MATCH(Orders!N$1,Products!$A$1:$G$1,0))</f>
        <v>1</v>
      </c>
      <c r="O197" s="7">
        <f>INDEX(Products!$A$1:$G$49,MATCH(Orders!$G197,Products!$A$1:$A$49,0),MATCH(Orders!O$1,Products!$A$1:$G$1,0))</f>
        <v>12.95</v>
      </c>
      <c r="P197" s="7">
        <f t="shared" si="3"/>
        <v>38.849999999999994</v>
      </c>
      <c r="Q197" t="str" cm="1">
        <f t="array" ref="Q197">_xlfn.IFS(L197="Rob","Robusta",L197="Exc", "Excelsa",L197="Ara", "Arabica",L197="Lib", "Liberica")</f>
        <v>Arabica</v>
      </c>
      <c r="R197" t="str" cm="1">
        <f t="array" ref="R197">_xlfn.IFS(M197="M","Medium",M197="L","Light",M197="D","Dark")</f>
        <v>Light</v>
      </c>
    </row>
    <row r="198" spans="1:18">
      <c r="A198" s="2" t="s">
        <v>464</v>
      </c>
      <c r="B198" s="3">
        <v>44339</v>
      </c>
      <c r="C198" s="9">
        <f>YEAR(Orders_Table[[#This Row],[Order Date]])</f>
        <v>2021</v>
      </c>
      <c r="D198" s="9">
        <f>MONTH(Orders_Table[[#This Row],[Order Date]])</f>
        <v>5</v>
      </c>
      <c r="E198" s="9" t="str" cm="1">
        <f t="array" ref="E1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98" s="2" t="s">
        <v>465</v>
      </c>
      <c r="G198" t="s">
        <v>223</v>
      </c>
      <c r="H198" s="2">
        <v>6</v>
      </c>
      <c r="I198" s="2" t="str" cm="1">
        <f t="array" ref="I198">_xlfn.XLOOKUP(F198,Customers!A197:$A$1001,Customers!B197:$B$1001,"Not Found",0)</f>
        <v>Nealson Cuttler</v>
      </c>
      <c r="J198" s="2" t="str" cm="1">
        <f t="array" ref="J198">IF(_xlfn.XLOOKUP(F198,Customers!A197:$A$1001,Customers!C197:$C$1001,"Not Found",0)=0,"",_xlfn.XLOOKUP(F198,Customers!A197:$A$1001,Customers!C197:$C$1001,"Not Found",0))</f>
        <v>ncuttler5g@parallels.com</v>
      </c>
      <c r="K198" s="2" t="str" cm="1">
        <f t="array" ref="K198">_xlfn.XLOOKUP(F198,Customers!A197:$A$1001,Customers!G197:$G$1001,"Not Found",0)</f>
        <v>United States</v>
      </c>
      <c r="L198" t="str">
        <f>INDEX(Products!$A$1:$G$49,MATCH(Orders!$G198,Products!$A$1:$A$49,0),MATCH(Orders!L$1,Products!$A$1:$G$1,0))</f>
        <v>Exc</v>
      </c>
      <c r="M198" t="str">
        <f>INDEX(Products!$A$1:$G$49,MATCH(Orders!$G198,Products!$A$1:$A$49,0),MATCH(Orders!M$1,Products!$A$1:$G$1,0))</f>
        <v>L</v>
      </c>
      <c r="N198" s="4">
        <f>INDEX(Products!$A$1:$G$49,MATCH(Orders!$G198,Products!$A$1:$A$49,0),MATCH(Orders!N$1,Products!$A$1:$G$1,0))</f>
        <v>0.5</v>
      </c>
      <c r="O198" s="7">
        <f>INDEX(Products!$A$1:$G$49,MATCH(Orders!$G198,Products!$A$1:$A$49,0),MATCH(Orders!O$1,Products!$A$1:$G$1,0))</f>
        <v>8.91</v>
      </c>
      <c r="P198" s="7">
        <f t="shared" si="3"/>
        <v>53.46</v>
      </c>
      <c r="Q198" t="str" cm="1">
        <f t="array" ref="Q198">_xlfn.IFS(L198="Rob","Robusta",L198="Exc", "Excelsa",L198="Ara", "Arabica",L198="Lib", "Liberica")</f>
        <v>Excelsa</v>
      </c>
      <c r="R198" t="str" cm="1">
        <f t="array" ref="R198">_xlfn.IFS(M198="M","Medium",M198="L","Light",M198="D","Dark")</f>
        <v>Light</v>
      </c>
    </row>
    <row r="199" spans="1:18">
      <c r="A199" s="2" t="s">
        <v>464</v>
      </c>
      <c r="B199" s="3">
        <v>44339</v>
      </c>
      <c r="C199" s="9">
        <f>YEAR(Orders_Table[[#This Row],[Order Date]])</f>
        <v>2021</v>
      </c>
      <c r="D199" s="9">
        <f>MONTH(Orders_Table[[#This Row],[Order Date]])</f>
        <v>5</v>
      </c>
      <c r="E199" s="9" t="str" cm="1">
        <f t="array" ref="E1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199" s="2" t="s">
        <v>465</v>
      </c>
      <c r="G199" t="s">
        <v>156</v>
      </c>
      <c r="H199" s="2">
        <v>2</v>
      </c>
      <c r="I199" s="2" t="str" cm="1">
        <f t="array" ref="I199">_xlfn.XLOOKUP(F199,Customers!A198:$A$1001,Customers!B198:$B$1001,"Not Found",0)</f>
        <v>Nealson Cuttler</v>
      </c>
      <c r="J199" s="2" t="str" cm="1">
        <f t="array" ref="J199">IF(_xlfn.XLOOKUP(F199,Customers!A198:$A$1001,Customers!C198:$C$1001,"Not Found",0)=0,"",_xlfn.XLOOKUP(F199,Customers!A198:$A$1001,Customers!C198:$C$1001,"Not Found",0))</f>
        <v>ncuttler5g@parallels.com</v>
      </c>
      <c r="K199" s="2" t="str" cm="1">
        <f t="array" ref="K199">_xlfn.XLOOKUP(F199,Customers!A198:$A$1001,Customers!G198:$G$1001,"Not Found",0)</f>
        <v>United States</v>
      </c>
      <c r="L199" t="str">
        <f>INDEX(Products!$A$1:$G$49,MATCH(Orders!$G199,Products!$A$1:$A$49,0),MATCH(Orders!L$1,Products!$A$1:$G$1,0))</f>
        <v>Lib</v>
      </c>
      <c r="M199" t="str">
        <f>INDEX(Products!$A$1:$G$49,MATCH(Orders!$G199,Products!$A$1:$A$49,0),MATCH(Orders!M$1,Products!$A$1:$G$1,0))</f>
        <v>D</v>
      </c>
      <c r="N199" s="4">
        <f>INDEX(Products!$A$1:$G$49,MATCH(Orders!$G199,Products!$A$1:$A$49,0),MATCH(Orders!N$1,Products!$A$1:$G$1,0))</f>
        <v>2.5</v>
      </c>
      <c r="O199" s="7">
        <f>INDEX(Products!$A$1:$G$49,MATCH(Orders!$G199,Products!$A$1:$A$49,0),MATCH(Orders!O$1,Products!$A$1:$G$1,0))</f>
        <v>29.784999999999997</v>
      </c>
      <c r="P199" s="7">
        <f t="shared" si="3"/>
        <v>59.569999999999993</v>
      </c>
      <c r="Q199" t="str" cm="1">
        <f t="array" ref="Q199">_xlfn.IFS(L199="Rob","Robusta",L199="Exc", "Excelsa",L199="Ara", "Arabica",L199="Lib", "Liberica")</f>
        <v>Liberica</v>
      </c>
      <c r="R199" t="str" cm="1">
        <f t="array" ref="R199">_xlfn.IFS(M199="M","Medium",M199="L","Light",M199="D","Dark")</f>
        <v>Dark</v>
      </c>
    </row>
    <row r="200" spans="1:18">
      <c r="A200" s="2" t="s">
        <v>464</v>
      </c>
      <c r="B200" s="3">
        <v>44339</v>
      </c>
      <c r="C200" s="9">
        <f>YEAR(Orders_Table[[#This Row],[Order Date]])</f>
        <v>2021</v>
      </c>
      <c r="D200" s="9">
        <f>MONTH(Orders_Table[[#This Row],[Order Date]])</f>
        <v>5</v>
      </c>
      <c r="E200" s="9" t="str" cm="1">
        <f t="array" ref="E2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00" s="2" t="s">
        <v>465</v>
      </c>
      <c r="G200" t="s">
        <v>156</v>
      </c>
      <c r="H200" s="2">
        <v>3</v>
      </c>
      <c r="I200" s="2" t="str" cm="1">
        <f t="array" ref="I200">_xlfn.XLOOKUP(F200,Customers!A199:$A$1001,Customers!B199:$B$1001,"Not Found",0)</f>
        <v>Not Found</v>
      </c>
      <c r="J200" s="2" t="str" cm="1">
        <f t="array" ref="J200">IF(_xlfn.XLOOKUP(F200,Customers!A199:$A$1001,Customers!C199:$C$1001,"Not Found",0)=0,"",_xlfn.XLOOKUP(F200,Customers!A199:$A$1001,Customers!C199:$C$1001,"Not Found",0))</f>
        <v>Not Found</v>
      </c>
      <c r="K200" s="2" t="str" cm="1">
        <f t="array" ref="K200">_xlfn.XLOOKUP(F200,Customers!A199:$A$1001,Customers!G199:$G$1001,"Not Found",0)</f>
        <v>Not Found</v>
      </c>
      <c r="L200" t="str">
        <f>INDEX(Products!$A$1:$G$49,MATCH(Orders!$G200,Products!$A$1:$A$49,0),MATCH(Orders!L$1,Products!$A$1:$G$1,0))</f>
        <v>Lib</v>
      </c>
      <c r="M200" t="str">
        <f>INDEX(Products!$A$1:$G$49,MATCH(Orders!$G200,Products!$A$1:$A$49,0),MATCH(Orders!M$1,Products!$A$1:$G$1,0))</f>
        <v>D</v>
      </c>
      <c r="N200" s="4">
        <f>INDEX(Products!$A$1:$G$49,MATCH(Orders!$G200,Products!$A$1:$A$49,0),MATCH(Orders!N$1,Products!$A$1:$G$1,0))</f>
        <v>2.5</v>
      </c>
      <c r="O200" s="7">
        <f>INDEX(Products!$A$1:$G$49,MATCH(Orders!$G200,Products!$A$1:$A$49,0),MATCH(Orders!O$1,Products!$A$1:$G$1,0))</f>
        <v>29.784999999999997</v>
      </c>
      <c r="P200" s="7">
        <f t="shared" si="3"/>
        <v>89.35499999999999</v>
      </c>
      <c r="Q200" t="str" cm="1">
        <f t="array" ref="Q200">_xlfn.IFS(L200="Rob","Robusta",L200="Exc", "Excelsa",L200="Ara", "Arabica",L200="Lib", "Liberica")</f>
        <v>Liberica</v>
      </c>
      <c r="R200" t="str" cm="1">
        <f t="array" ref="R200">_xlfn.IFS(M200="M","Medium",M200="L","Light",M200="D","Dark")</f>
        <v>Dark</v>
      </c>
    </row>
    <row r="201" spans="1:18">
      <c r="A201" s="2" t="s">
        <v>464</v>
      </c>
      <c r="B201" s="3">
        <v>44339</v>
      </c>
      <c r="C201" s="9">
        <f>YEAR(Orders_Table[[#This Row],[Order Date]])</f>
        <v>2021</v>
      </c>
      <c r="D201" s="9">
        <f>MONTH(Orders_Table[[#This Row],[Order Date]])</f>
        <v>5</v>
      </c>
      <c r="E201" s="9" t="str" cm="1">
        <f t="array" ref="E2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01" s="2" t="s">
        <v>465</v>
      </c>
      <c r="G201" t="s">
        <v>130</v>
      </c>
      <c r="H201" s="2">
        <v>4</v>
      </c>
      <c r="I201" s="2" t="str" cm="1">
        <f t="array" ref="I201">_xlfn.XLOOKUP(F201,Customers!A200:$A$1001,Customers!B200:$B$1001,"Not Found",0)</f>
        <v>Not Found</v>
      </c>
      <c r="J201" s="2" t="str" cm="1">
        <f t="array" ref="J201">IF(_xlfn.XLOOKUP(F201,Customers!A200:$A$1001,Customers!C200:$C$1001,"Not Found",0)=0,"",_xlfn.XLOOKUP(F201,Customers!A200:$A$1001,Customers!C200:$C$1001,"Not Found",0))</f>
        <v>Not Found</v>
      </c>
      <c r="K201" s="2" t="str" cm="1">
        <f t="array" ref="K201">_xlfn.XLOOKUP(F201,Customers!A200:$A$1001,Customers!G200:$G$1001,"Not Found",0)</f>
        <v>Not Found</v>
      </c>
      <c r="L201" t="str">
        <f>INDEX(Products!$A$1:$G$49,MATCH(Orders!$G201,Products!$A$1:$A$49,0),MATCH(Orders!L$1,Products!$A$1:$G$1,0))</f>
        <v>Lib</v>
      </c>
      <c r="M201" t="str">
        <f>INDEX(Products!$A$1:$G$49,MATCH(Orders!$G201,Products!$A$1:$A$49,0),MATCH(Orders!M$1,Products!$A$1:$G$1,0))</f>
        <v>L</v>
      </c>
      <c r="N201" s="4">
        <f>INDEX(Products!$A$1:$G$49,MATCH(Orders!$G201,Products!$A$1:$A$49,0),MATCH(Orders!N$1,Products!$A$1:$G$1,0))</f>
        <v>0.5</v>
      </c>
      <c r="O201" s="7">
        <f>INDEX(Products!$A$1:$G$49,MATCH(Orders!$G201,Products!$A$1:$A$49,0),MATCH(Orders!O$1,Products!$A$1:$G$1,0))</f>
        <v>9.51</v>
      </c>
      <c r="P201" s="7">
        <f t="shared" si="3"/>
        <v>38.04</v>
      </c>
      <c r="Q201" t="str" cm="1">
        <f t="array" ref="Q201">_xlfn.IFS(L201="Rob","Robusta",L201="Exc", "Excelsa",L201="Ara", "Arabica",L201="Lib", "Liberica")</f>
        <v>Liberica</v>
      </c>
      <c r="R201" t="str" cm="1">
        <f t="array" ref="R201">_xlfn.IFS(M201="M","Medium",M201="L","Light",M201="D","Dark")</f>
        <v>Light</v>
      </c>
    </row>
    <row r="202" spans="1:18">
      <c r="A202" s="2" t="s">
        <v>464</v>
      </c>
      <c r="B202" s="3">
        <v>44339</v>
      </c>
      <c r="C202" s="9">
        <f>YEAR(Orders_Table[[#This Row],[Order Date]])</f>
        <v>2021</v>
      </c>
      <c r="D202" s="9">
        <f>MONTH(Orders_Table[[#This Row],[Order Date]])</f>
        <v>5</v>
      </c>
      <c r="E202" s="9" t="str" cm="1">
        <f t="array" ref="E2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02" s="2" t="s">
        <v>465</v>
      </c>
      <c r="G202" t="s">
        <v>56</v>
      </c>
      <c r="H202" s="2">
        <v>3</v>
      </c>
      <c r="I202" s="2" t="str" cm="1">
        <f t="array" ref="I202">_xlfn.XLOOKUP(F202,Customers!A201:$A$1001,Customers!B201:$B$1001,"Not Found",0)</f>
        <v>Not Found</v>
      </c>
      <c r="J202" s="2" t="str" cm="1">
        <f t="array" ref="J202">IF(_xlfn.XLOOKUP(F202,Customers!A201:$A$1001,Customers!C201:$C$1001,"Not Found",0)=0,"",_xlfn.XLOOKUP(F202,Customers!A201:$A$1001,Customers!C201:$C$1001,"Not Found",0))</f>
        <v>Not Found</v>
      </c>
      <c r="K202" s="2" t="str" cm="1">
        <f t="array" ref="K202">_xlfn.XLOOKUP(F202,Customers!A201:$A$1001,Customers!G201:$G$1001,"Not Found",0)</f>
        <v>Not Found</v>
      </c>
      <c r="L202" t="str">
        <f>INDEX(Products!$A$1:$G$49,MATCH(Orders!$G202,Products!$A$1:$A$49,0),MATCH(Orders!L$1,Products!$A$1:$G$1,0))</f>
        <v>Exc</v>
      </c>
      <c r="M202" t="str">
        <f>INDEX(Products!$A$1:$G$49,MATCH(Orders!$G202,Products!$A$1:$A$49,0),MATCH(Orders!M$1,Products!$A$1:$G$1,0))</f>
        <v>M</v>
      </c>
      <c r="N202" s="4">
        <f>INDEX(Products!$A$1:$G$49,MATCH(Orders!$G202,Products!$A$1:$A$49,0),MATCH(Orders!N$1,Products!$A$1:$G$1,0))</f>
        <v>1</v>
      </c>
      <c r="O202" s="7">
        <f>INDEX(Products!$A$1:$G$49,MATCH(Orders!$G202,Products!$A$1:$A$49,0),MATCH(Orders!O$1,Products!$A$1:$G$1,0))</f>
        <v>13.75</v>
      </c>
      <c r="P202" s="7">
        <f t="shared" si="3"/>
        <v>41.25</v>
      </c>
      <c r="Q202" t="str" cm="1">
        <f t="array" ref="Q202">_xlfn.IFS(L202="Rob","Robusta",L202="Exc", "Excelsa",L202="Ara", "Arabica",L202="Lib", "Liberica")</f>
        <v>Excelsa</v>
      </c>
      <c r="R202" t="str" cm="1">
        <f t="array" ref="R202">_xlfn.IFS(M202="M","Medium",M202="L","Light",M202="D","Dark")</f>
        <v>Medium</v>
      </c>
    </row>
    <row r="203" spans="1:18">
      <c r="A203" s="2" t="s">
        <v>466</v>
      </c>
      <c r="B203" s="3">
        <v>44294</v>
      </c>
      <c r="C203" s="9">
        <f>YEAR(Orders_Table[[#This Row],[Order Date]])</f>
        <v>2021</v>
      </c>
      <c r="D203" s="9">
        <f>MONTH(Orders_Table[[#This Row],[Order Date]])</f>
        <v>4</v>
      </c>
      <c r="E203" s="9" t="str" cm="1">
        <f t="array" ref="E2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03" s="2" t="s">
        <v>467</v>
      </c>
      <c r="G203" t="s">
        <v>130</v>
      </c>
      <c r="H203" s="2">
        <v>6</v>
      </c>
      <c r="I203" s="2" t="str" cm="1">
        <f t="array" ref="I203">_xlfn.XLOOKUP(F203,Customers!A202:$A$1001,Customers!B202:$B$1001,"Not Found",0)</f>
        <v>Adriana Lazarus</v>
      </c>
      <c r="J203" s="2" t="str" cm="1">
        <f t="array" ref="J203">IF(_xlfn.XLOOKUP(F203,Customers!A202:$A$1001,Customers!C202:$C$1001,"Not Found",0)=0,"",_xlfn.XLOOKUP(F203,Customers!A202:$A$1001,Customers!C202:$C$1001,"Not Found",0))</f>
        <v/>
      </c>
      <c r="K203" s="2" t="str" cm="1">
        <f t="array" ref="K203">_xlfn.XLOOKUP(F203,Customers!A202:$A$1001,Customers!G202:$G$1001,"Not Found",0)</f>
        <v>United States</v>
      </c>
      <c r="L203" t="str">
        <f>INDEX(Products!$A$1:$G$49,MATCH(Orders!$G203,Products!$A$1:$A$49,0),MATCH(Orders!L$1,Products!$A$1:$G$1,0))</f>
        <v>Lib</v>
      </c>
      <c r="M203" t="str">
        <f>INDEX(Products!$A$1:$G$49,MATCH(Orders!$G203,Products!$A$1:$A$49,0),MATCH(Orders!M$1,Products!$A$1:$G$1,0))</f>
        <v>L</v>
      </c>
      <c r="N203" s="4">
        <f>INDEX(Products!$A$1:$G$49,MATCH(Orders!$G203,Products!$A$1:$A$49,0),MATCH(Orders!N$1,Products!$A$1:$G$1,0))</f>
        <v>0.5</v>
      </c>
      <c r="O203" s="7">
        <f>INDEX(Products!$A$1:$G$49,MATCH(Orders!$G203,Products!$A$1:$A$49,0),MATCH(Orders!O$1,Products!$A$1:$G$1,0))</f>
        <v>9.51</v>
      </c>
      <c r="P203" s="7">
        <f t="shared" si="3"/>
        <v>57.06</v>
      </c>
      <c r="Q203" t="str" cm="1">
        <f t="array" ref="Q203">_xlfn.IFS(L203="Rob","Robusta",L203="Exc", "Excelsa",L203="Ara", "Arabica",L203="Lib", "Liberica")</f>
        <v>Liberica</v>
      </c>
      <c r="R203" t="str" cm="1">
        <f t="array" ref="R203">_xlfn.IFS(M203="M","Medium",M203="L","Light",M203="D","Dark")</f>
        <v>Light</v>
      </c>
    </row>
    <row r="204" spans="1:18">
      <c r="A204" s="2" t="s">
        <v>468</v>
      </c>
      <c r="B204" s="3">
        <v>44486</v>
      </c>
      <c r="C204" s="9">
        <f>YEAR(Orders_Table[[#This Row],[Order Date]])</f>
        <v>2021</v>
      </c>
      <c r="D204" s="9">
        <f>MONTH(Orders_Table[[#This Row],[Order Date]])</f>
        <v>10</v>
      </c>
      <c r="E204" s="9" t="str" cm="1">
        <f t="array" ref="E2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04" s="2" t="s">
        <v>469</v>
      </c>
      <c r="G204" t="s">
        <v>156</v>
      </c>
      <c r="H204" s="2">
        <v>6</v>
      </c>
      <c r="I204" s="2" t="str" cm="1">
        <f t="array" ref="I204">_xlfn.XLOOKUP(F204,Customers!A203:$A$1001,Customers!B203:$B$1001,"Not Found",0)</f>
        <v>Tallie felip</v>
      </c>
      <c r="J204" s="2" t="str" cm="1">
        <f t="array" ref="J204">IF(_xlfn.XLOOKUP(F204,Customers!A203:$A$1001,Customers!C203:$C$1001,"Not Found",0)=0,"",_xlfn.XLOOKUP(F204,Customers!A203:$A$1001,Customers!C203:$C$1001,"Not Found",0))</f>
        <v>tfelip5m@typepad.com</v>
      </c>
      <c r="K204" s="2" t="str" cm="1">
        <f t="array" ref="K204">_xlfn.XLOOKUP(F204,Customers!A203:$A$1001,Customers!G203:$G$1001,"Not Found",0)</f>
        <v>United States</v>
      </c>
      <c r="L204" t="str">
        <f>INDEX(Products!$A$1:$G$49,MATCH(Orders!$G204,Products!$A$1:$A$49,0),MATCH(Orders!L$1,Products!$A$1:$G$1,0))</f>
        <v>Lib</v>
      </c>
      <c r="M204" t="str">
        <f>INDEX(Products!$A$1:$G$49,MATCH(Orders!$G204,Products!$A$1:$A$49,0),MATCH(Orders!M$1,Products!$A$1:$G$1,0))</f>
        <v>D</v>
      </c>
      <c r="N204" s="4">
        <f>INDEX(Products!$A$1:$G$49,MATCH(Orders!$G204,Products!$A$1:$A$49,0),MATCH(Orders!N$1,Products!$A$1:$G$1,0))</f>
        <v>2.5</v>
      </c>
      <c r="O204" s="7">
        <f>INDEX(Products!$A$1:$G$49,MATCH(Orders!$G204,Products!$A$1:$A$49,0),MATCH(Orders!O$1,Products!$A$1:$G$1,0))</f>
        <v>29.784999999999997</v>
      </c>
      <c r="P204" s="7">
        <f t="shared" si="3"/>
        <v>178.70999999999998</v>
      </c>
      <c r="Q204" t="str" cm="1">
        <f t="array" ref="Q204">_xlfn.IFS(L204="Rob","Robusta",L204="Exc", "Excelsa",L204="Ara", "Arabica",L204="Lib", "Liberica")</f>
        <v>Liberica</v>
      </c>
      <c r="R204" t="str" cm="1">
        <f t="array" ref="R204">_xlfn.IFS(M204="M","Medium",M204="L","Light",M204="D","Dark")</f>
        <v>Dark</v>
      </c>
    </row>
    <row r="205" spans="1:18">
      <c r="A205" s="2" t="s">
        <v>470</v>
      </c>
      <c r="B205" s="3">
        <v>44608</v>
      </c>
      <c r="C205" s="9">
        <f>YEAR(Orders_Table[[#This Row],[Order Date]])</f>
        <v>2022</v>
      </c>
      <c r="D205" s="9">
        <f>MONTH(Orders_Table[[#This Row],[Order Date]])</f>
        <v>2</v>
      </c>
      <c r="E205" s="9" t="str" cm="1">
        <f t="array" ref="E2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05" s="2" t="s">
        <v>471</v>
      </c>
      <c r="G205" t="s">
        <v>66</v>
      </c>
      <c r="H205" s="2">
        <v>1</v>
      </c>
      <c r="I205" s="2" t="str" cm="1">
        <f t="array" ref="I205">_xlfn.XLOOKUP(F205,Customers!A204:$A$1001,Customers!B204:$B$1001,"Not Found",0)</f>
        <v>Vanna Le - Count</v>
      </c>
      <c r="J205" s="2" t="str" cm="1">
        <f t="array" ref="J205">IF(_xlfn.XLOOKUP(F205,Customers!A204:$A$1001,Customers!C204:$C$1001,"Not Found",0)=0,"",_xlfn.XLOOKUP(F205,Customers!A204:$A$1001,Customers!C204:$C$1001,"Not Found",0))</f>
        <v>vle5n@disqus.com</v>
      </c>
      <c r="K205" s="2" t="str" cm="1">
        <f t="array" ref="K205">_xlfn.XLOOKUP(F205,Customers!A204:$A$1001,Customers!G204:$G$1001,"Not Found",0)</f>
        <v>United States</v>
      </c>
      <c r="L205" t="str">
        <f>INDEX(Products!$A$1:$G$49,MATCH(Orders!$G205,Products!$A$1:$A$49,0),MATCH(Orders!L$1,Products!$A$1:$G$1,0))</f>
        <v>Lib</v>
      </c>
      <c r="M205" t="str">
        <f>INDEX(Products!$A$1:$G$49,MATCH(Orders!$G205,Products!$A$1:$A$49,0),MATCH(Orders!M$1,Products!$A$1:$G$1,0))</f>
        <v>L</v>
      </c>
      <c r="N205" s="4">
        <f>INDEX(Products!$A$1:$G$49,MATCH(Orders!$G205,Products!$A$1:$A$49,0),MATCH(Orders!N$1,Products!$A$1:$G$1,0))</f>
        <v>0.2</v>
      </c>
      <c r="O205" s="7">
        <f>INDEX(Products!$A$1:$G$49,MATCH(Orders!$G205,Products!$A$1:$A$49,0),MATCH(Orders!O$1,Products!$A$1:$G$1,0))</f>
        <v>4.7549999999999999</v>
      </c>
      <c r="P205" s="7">
        <f t="shared" si="3"/>
        <v>4.7549999999999999</v>
      </c>
      <c r="Q205" t="str" cm="1">
        <f t="array" ref="Q205">_xlfn.IFS(L205="Rob","Robusta",L205="Exc", "Excelsa",L205="Ara", "Arabica",L205="Lib", "Liberica")</f>
        <v>Liberica</v>
      </c>
      <c r="R205" t="str" cm="1">
        <f t="array" ref="R205">_xlfn.IFS(M205="M","Medium",M205="L","Light",M205="D","Dark")</f>
        <v>Light</v>
      </c>
    </row>
    <row r="206" spans="1:18">
      <c r="A206" s="2" t="s">
        <v>472</v>
      </c>
      <c r="B206" s="3">
        <v>44027</v>
      </c>
      <c r="C206" s="9">
        <f>YEAR(Orders_Table[[#This Row],[Order Date]])</f>
        <v>2020</v>
      </c>
      <c r="D206" s="9">
        <f>MONTH(Orders_Table[[#This Row],[Order Date]])</f>
        <v>7</v>
      </c>
      <c r="E206" s="9" t="str" cm="1">
        <f t="array" ref="E2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206" s="2" t="s">
        <v>473</v>
      </c>
      <c r="G206" t="s">
        <v>56</v>
      </c>
      <c r="H206" s="2">
        <v>6</v>
      </c>
      <c r="I206" s="2" t="str" cm="1">
        <f t="array" ref="I206">_xlfn.XLOOKUP(F206,Customers!A205:$A$1001,Customers!B205:$B$1001,"Not Found",0)</f>
        <v>Sarette Ducarel</v>
      </c>
      <c r="J206" s="2" t="str" cm="1">
        <f t="array" ref="J206">IF(_xlfn.XLOOKUP(F206,Customers!A205:$A$1001,Customers!C205:$C$1001,"Not Found",0)=0,"",_xlfn.XLOOKUP(F206,Customers!A205:$A$1001,Customers!C205:$C$1001,"Not Found",0))</f>
        <v/>
      </c>
      <c r="K206" s="2" t="str" cm="1">
        <f t="array" ref="K206">_xlfn.XLOOKUP(F206,Customers!A205:$A$1001,Customers!G205:$G$1001,"Not Found",0)</f>
        <v>United States</v>
      </c>
      <c r="L206" t="str">
        <f>INDEX(Products!$A$1:$G$49,MATCH(Orders!$G206,Products!$A$1:$A$49,0),MATCH(Orders!L$1,Products!$A$1:$G$1,0))</f>
        <v>Exc</v>
      </c>
      <c r="M206" t="str">
        <f>INDEX(Products!$A$1:$G$49,MATCH(Orders!$G206,Products!$A$1:$A$49,0),MATCH(Orders!M$1,Products!$A$1:$G$1,0))</f>
        <v>M</v>
      </c>
      <c r="N206" s="4">
        <f>INDEX(Products!$A$1:$G$49,MATCH(Orders!$G206,Products!$A$1:$A$49,0),MATCH(Orders!N$1,Products!$A$1:$G$1,0))</f>
        <v>1</v>
      </c>
      <c r="O206" s="7">
        <f>INDEX(Products!$A$1:$G$49,MATCH(Orders!$G206,Products!$A$1:$A$49,0),MATCH(Orders!O$1,Products!$A$1:$G$1,0))</f>
        <v>13.75</v>
      </c>
      <c r="P206" s="7">
        <f t="shared" si="3"/>
        <v>82.5</v>
      </c>
      <c r="Q206" t="str" cm="1">
        <f t="array" ref="Q206">_xlfn.IFS(L206="Rob","Robusta",L206="Exc", "Excelsa",L206="Ara", "Arabica",L206="Lib", "Liberica")</f>
        <v>Excelsa</v>
      </c>
      <c r="R206" t="str" cm="1">
        <f t="array" ref="R206">_xlfn.IFS(M206="M","Medium",M206="L","Light",M206="D","Dark")</f>
        <v>Medium</v>
      </c>
    </row>
    <row r="207" spans="1:18">
      <c r="A207" s="2" t="s">
        <v>474</v>
      </c>
      <c r="B207" s="3">
        <v>43883</v>
      </c>
      <c r="C207" s="9">
        <f>YEAR(Orders_Table[[#This Row],[Order Date]])</f>
        <v>2020</v>
      </c>
      <c r="D207" s="9">
        <f>MONTH(Orders_Table[[#This Row],[Order Date]])</f>
        <v>2</v>
      </c>
      <c r="E207" s="9" t="str" cm="1">
        <f t="array" ref="E2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07" s="2" t="s">
        <v>475</v>
      </c>
      <c r="G207" t="s">
        <v>148</v>
      </c>
      <c r="H207" s="2">
        <v>3</v>
      </c>
      <c r="I207" s="2" t="str" cm="1">
        <f t="array" ref="I207">_xlfn.XLOOKUP(F207,Customers!A206:$A$1001,Customers!B206:$B$1001,"Not Found",0)</f>
        <v>Kendra Glison</v>
      </c>
      <c r="J207" s="2" t="str" cm="1">
        <f t="array" ref="J207">IF(_xlfn.XLOOKUP(F207,Customers!A206:$A$1001,Customers!C206:$C$1001,"Not Found",0)=0,"",_xlfn.XLOOKUP(F207,Customers!A206:$A$1001,Customers!C206:$C$1001,"Not Found",0))</f>
        <v/>
      </c>
      <c r="K207" s="2" t="str" cm="1">
        <f t="array" ref="K207">_xlfn.XLOOKUP(F207,Customers!A206:$A$1001,Customers!G206:$G$1001,"Not Found",0)</f>
        <v>United States</v>
      </c>
      <c r="L207" t="str">
        <f>INDEX(Products!$A$1:$G$49,MATCH(Orders!$G207,Products!$A$1:$A$49,0),MATCH(Orders!L$1,Products!$A$1:$G$1,0))</f>
        <v>Rob</v>
      </c>
      <c r="M207" t="str">
        <f>INDEX(Products!$A$1:$G$49,MATCH(Orders!$G207,Products!$A$1:$A$49,0),MATCH(Orders!M$1,Products!$A$1:$G$1,0))</f>
        <v>D</v>
      </c>
      <c r="N207" s="4">
        <f>INDEX(Products!$A$1:$G$49,MATCH(Orders!$G207,Products!$A$1:$A$49,0),MATCH(Orders!N$1,Products!$A$1:$G$1,0))</f>
        <v>0.2</v>
      </c>
      <c r="O207" s="7">
        <f>INDEX(Products!$A$1:$G$49,MATCH(Orders!$G207,Products!$A$1:$A$49,0),MATCH(Orders!O$1,Products!$A$1:$G$1,0))</f>
        <v>2.6849999999999996</v>
      </c>
      <c r="P207" s="7">
        <f t="shared" si="3"/>
        <v>8.0549999999999997</v>
      </c>
      <c r="Q207" t="str" cm="1">
        <f t="array" ref="Q207">_xlfn.IFS(L207="Rob","Robusta",L207="Exc", "Excelsa",L207="Ara", "Arabica",L207="Lib", "Liberica")</f>
        <v>Robusta</v>
      </c>
      <c r="R207" t="str" cm="1">
        <f t="array" ref="R207">_xlfn.IFS(M207="M","Medium",M207="L","Light",M207="D","Dark")</f>
        <v>Dark</v>
      </c>
    </row>
    <row r="208" spans="1:18">
      <c r="A208" s="2" t="s">
        <v>476</v>
      </c>
      <c r="B208" s="3">
        <v>44211</v>
      </c>
      <c r="C208" s="9">
        <f>YEAR(Orders_Table[[#This Row],[Order Date]])</f>
        <v>2021</v>
      </c>
      <c r="D208" s="9">
        <f>MONTH(Orders_Table[[#This Row],[Order Date]])</f>
        <v>1</v>
      </c>
      <c r="E208" s="9" t="str" cm="1">
        <f t="array" ref="E2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08" s="2" t="s">
        <v>477</v>
      </c>
      <c r="G208" t="s">
        <v>108</v>
      </c>
      <c r="H208" s="2">
        <v>2</v>
      </c>
      <c r="I208" s="2" t="str" cm="1">
        <f t="array" ref="I208">_xlfn.XLOOKUP(F208,Customers!A207:$A$1001,Customers!B207:$B$1001,"Not Found",0)</f>
        <v>Nertie Poolman</v>
      </c>
      <c r="J208" s="2" t="str" cm="1">
        <f t="array" ref="J208">IF(_xlfn.XLOOKUP(F208,Customers!A207:$A$1001,Customers!C207:$C$1001,"Not Found",0)=0,"",_xlfn.XLOOKUP(F208,Customers!A207:$A$1001,Customers!C207:$C$1001,"Not Found",0))</f>
        <v>npoolman5q@howstuffworks.com</v>
      </c>
      <c r="K208" s="2" t="str" cm="1">
        <f t="array" ref="K208">_xlfn.XLOOKUP(F208,Customers!A207:$A$1001,Customers!G207:$G$1001,"Not Found",0)</f>
        <v>United States</v>
      </c>
      <c r="L208" t="str">
        <f>INDEX(Products!$A$1:$G$49,MATCH(Orders!$G208,Products!$A$1:$A$49,0),MATCH(Orders!L$1,Products!$A$1:$G$1,0))</f>
        <v>Ara</v>
      </c>
      <c r="M208" t="str">
        <f>INDEX(Products!$A$1:$G$49,MATCH(Orders!$G208,Products!$A$1:$A$49,0),MATCH(Orders!M$1,Products!$A$1:$G$1,0))</f>
        <v>M</v>
      </c>
      <c r="N208" s="4">
        <f>INDEX(Products!$A$1:$G$49,MATCH(Orders!$G208,Products!$A$1:$A$49,0),MATCH(Orders!N$1,Products!$A$1:$G$1,0))</f>
        <v>1</v>
      </c>
      <c r="O208" s="7">
        <f>INDEX(Products!$A$1:$G$49,MATCH(Orders!$G208,Products!$A$1:$A$49,0),MATCH(Orders!O$1,Products!$A$1:$G$1,0))</f>
        <v>11.25</v>
      </c>
      <c r="P208" s="7">
        <f t="shared" si="3"/>
        <v>22.5</v>
      </c>
      <c r="Q208" t="str" cm="1">
        <f t="array" ref="Q208">_xlfn.IFS(L208="Rob","Robusta",L208="Exc", "Excelsa",L208="Ara", "Arabica",L208="Lib", "Liberica")</f>
        <v>Arabica</v>
      </c>
      <c r="R208" t="str" cm="1">
        <f t="array" ref="R208">_xlfn.IFS(M208="M","Medium",M208="L","Light",M208="D","Dark")</f>
        <v>Medium</v>
      </c>
    </row>
    <row r="209" spans="1:18">
      <c r="A209" s="2" t="s">
        <v>478</v>
      </c>
      <c r="B209" s="3">
        <v>44207</v>
      </c>
      <c r="C209" s="9">
        <f>YEAR(Orders_Table[[#This Row],[Order Date]])</f>
        <v>2021</v>
      </c>
      <c r="D209" s="9">
        <f>MONTH(Orders_Table[[#This Row],[Order Date]])</f>
        <v>1</v>
      </c>
      <c r="E209" s="9" t="str" cm="1">
        <f t="array" ref="E2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09" s="2" t="s">
        <v>479</v>
      </c>
      <c r="G209" t="s">
        <v>114</v>
      </c>
      <c r="H209" s="2">
        <v>6</v>
      </c>
      <c r="I209" s="2" t="str" cm="1">
        <f t="array" ref="I209">_xlfn.XLOOKUP(F209,Customers!A208:$A$1001,Customers!B208:$B$1001,"Not Found",0)</f>
        <v>Orbadiah Duny</v>
      </c>
      <c r="J209" s="2" t="str" cm="1">
        <f t="array" ref="J209">IF(_xlfn.XLOOKUP(F209,Customers!A208:$A$1001,Customers!C208:$C$1001,"Not Found",0)=0,"",_xlfn.XLOOKUP(F209,Customers!A208:$A$1001,Customers!C208:$C$1001,"Not Found",0))</f>
        <v>oduny5r@constantcontact.com</v>
      </c>
      <c r="K209" s="2" t="str" cm="1">
        <f t="array" ref="K209">_xlfn.XLOOKUP(F209,Customers!A208:$A$1001,Customers!G208:$G$1001,"Not Found",0)</f>
        <v>United States</v>
      </c>
      <c r="L209" t="str">
        <f>INDEX(Products!$A$1:$G$49,MATCH(Orders!$G209,Products!$A$1:$A$49,0),MATCH(Orders!L$1,Products!$A$1:$G$1,0))</f>
        <v>Ara</v>
      </c>
      <c r="M209" t="str">
        <f>INDEX(Products!$A$1:$G$49,MATCH(Orders!$G209,Products!$A$1:$A$49,0),MATCH(Orders!M$1,Products!$A$1:$G$1,0))</f>
        <v>M</v>
      </c>
      <c r="N209" s="4">
        <f>INDEX(Products!$A$1:$G$49,MATCH(Orders!$G209,Products!$A$1:$A$49,0),MATCH(Orders!N$1,Products!$A$1:$G$1,0))</f>
        <v>0.5</v>
      </c>
      <c r="O209" s="7">
        <f>INDEX(Products!$A$1:$G$49,MATCH(Orders!$G209,Products!$A$1:$A$49,0),MATCH(Orders!O$1,Products!$A$1:$G$1,0))</f>
        <v>6.75</v>
      </c>
      <c r="P209" s="7">
        <f t="shared" si="3"/>
        <v>40.5</v>
      </c>
      <c r="Q209" t="str" cm="1">
        <f t="array" ref="Q209">_xlfn.IFS(L209="Rob","Robusta",L209="Exc", "Excelsa",L209="Ara", "Arabica",L209="Lib", "Liberica")</f>
        <v>Arabica</v>
      </c>
      <c r="R209" t="str" cm="1">
        <f t="array" ref="R209">_xlfn.IFS(M209="M","Medium",M209="L","Light",M209="D","Dark")</f>
        <v>Medium</v>
      </c>
    </row>
    <row r="210" spans="1:18">
      <c r="A210" s="2" t="s">
        <v>480</v>
      </c>
      <c r="B210" s="3">
        <v>44659</v>
      </c>
      <c r="C210" s="9">
        <f>YEAR(Orders_Table[[#This Row],[Order Date]])</f>
        <v>2022</v>
      </c>
      <c r="D210" s="9">
        <f>MONTH(Orders_Table[[#This Row],[Order Date]])</f>
        <v>4</v>
      </c>
      <c r="E210" s="9" t="str" cm="1">
        <f t="array" ref="E2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10" s="2" t="s">
        <v>481</v>
      </c>
      <c r="G210" t="s">
        <v>63</v>
      </c>
      <c r="H210" s="2">
        <v>4</v>
      </c>
      <c r="I210" s="2" t="str" cm="1">
        <f t="array" ref="I210">_xlfn.XLOOKUP(F210,Customers!A209:$A$1001,Customers!B209:$B$1001,"Not Found",0)</f>
        <v>Constance Halfhide</v>
      </c>
      <c r="J210" s="2" t="str" cm="1">
        <f t="array" ref="J210">IF(_xlfn.XLOOKUP(F210,Customers!A209:$A$1001,Customers!C209:$C$1001,"Not Found",0)=0,"",_xlfn.XLOOKUP(F210,Customers!A209:$A$1001,Customers!C209:$C$1001,"Not Found",0))</f>
        <v>chalfhide5s@google.ru</v>
      </c>
      <c r="K210" s="2" t="str" cm="1">
        <f t="array" ref="K210">_xlfn.XLOOKUP(F210,Customers!A209:$A$1001,Customers!G209:$G$1001,"Not Found",0)</f>
        <v>Ireland</v>
      </c>
      <c r="L210" t="str">
        <f>INDEX(Products!$A$1:$G$49,MATCH(Orders!$G210,Products!$A$1:$A$49,0),MATCH(Orders!L$1,Products!$A$1:$G$1,0))</f>
        <v>Exc</v>
      </c>
      <c r="M210" t="str">
        <f>INDEX(Products!$A$1:$G$49,MATCH(Orders!$G210,Products!$A$1:$A$49,0),MATCH(Orders!M$1,Products!$A$1:$G$1,0))</f>
        <v>D</v>
      </c>
      <c r="N210" s="4">
        <f>INDEX(Products!$A$1:$G$49,MATCH(Orders!$G210,Products!$A$1:$A$49,0),MATCH(Orders!N$1,Products!$A$1:$G$1,0))</f>
        <v>0.5</v>
      </c>
      <c r="O210" s="7">
        <f>INDEX(Products!$A$1:$G$49,MATCH(Orders!$G210,Products!$A$1:$A$49,0),MATCH(Orders!O$1,Products!$A$1:$G$1,0))</f>
        <v>7.29</v>
      </c>
      <c r="P210" s="7">
        <f t="shared" si="3"/>
        <v>29.16</v>
      </c>
      <c r="Q210" t="str" cm="1">
        <f t="array" ref="Q210">_xlfn.IFS(L210="Rob","Robusta",L210="Exc", "Excelsa",L210="Ara", "Arabica",L210="Lib", "Liberica")</f>
        <v>Excelsa</v>
      </c>
      <c r="R210" t="str" cm="1">
        <f t="array" ref="R210">_xlfn.IFS(M210="M","Medium",M210="L","Light",M210="D","Dark")</f>
        <v>Dark</v>
      </c>
    </row>
    <row r="211" spans="1:18">
      <c r="A211" s="2" t="s">
        <v>482</v>
      </c>
      <c r="B211" s="3">
        <v>44105</v>
      </c>
      <c r="C211" s="9">
        <f>YEAR(Orders_Table[[#This Row],[Order Date]])</f>
        <v>2020</v>
      </c>
      <c r="D211" s="9">
        <f>MONTH(Orders_Table[[#This Row],[Order Date]])</f>
        <v>10</v>
      </c>
      <c r="E211" s="9" t="str" cm="1">
        <f t="array" ref="E2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11" s="2" t="s">
        <v>483</v>
      </c>
      <c r="G211" t="s">
        <v>114</v>
      </c>
      <c r="H211" s="2">
        <v>1</v>
      </c>
      <c r="I211" s="2" t="str" cm="1">
        <f t="array" ref="I211">_xlfn.XLOOKUP(F211,Customers!A210:$A$1001,Customers!B210:$B$1001,"Not Found",0)</f>
        <v>Fransisco Malecky</v>
      </c>
      <c r="J211" s="2" t="str" cm="1">
        <f t="array" ref="J211">IF(_xlfn.XLOOKUP(F211,Customers!A210:$A$1001,Customers!C210:$C$1001,"Not Found",0)=0,"",_xlfn.XLOOKUP(F211,Customers!A210:$A$1001,Customers!C210:$C$1001,"Not Found",0))</f>
        <v>fmalecky5t@list-manage.com</v>
      </c>
      <c r="K211" s="2" t="str" cm="1">
        <f t="array" ref="K211">_xlfn.XLOOKUP(F211,Customers!A210:$A$1001,Customers!G210:$G$1001,"Not Found",0)</f>
        <v>United Kingdom</v>
      </c>
      <c r="L211" t="str">
        <f>INDEX(Products!$A$1:$G$49,MATCH(Orders!$G211,Products!$A$1:$A$49,0),MATCH(Orders!L$1,Products!$A$1:$G$1,0))</f>
        <v>Ara</v>
      </c>
      <c r="M211" t="str">
        <f>INDEX(Products!$A$1:$G$49,MATCH(Orders!$G211,Products!$A$1:$A$49,0),MATCH(Orders!M$1,Products!$A$1:$G$1,0))</f>
        <v>M</v>
      </c>
      <c r="N211" s="4">
        <f>INDEX(Products!$A$1:$G$49,MATCH(Orders!$G211,Products!$A$1:$A$49,0),MATCH(Orders!N$1,Products!$A$1:$G$1,0))</f>
        <v>0.5</v>
      </c>
      <c r="O211" s="7">
        <f>INDEX(Products!$A$1:$G$49,MATCH(Orders!$G211,Products!$A$1:$A$49,0),MATCH(Orders!O$1,Products!$A$1:$G$1,0))</f>
        <v>6.75</v>
      </c>
      <c r="P211" s="7">
        <f t="shared" si="3"/>
        <v>6.75</v>
      </c>
      <c r="Q211" t="str" cm="1">
        <f t="array" ref="Q211">_xlfn.IFS(L211="Rob","Robusta",L211="Exc", "Excelsa",L211="Ara", "Arabica",L211="Lib", "Liberica")</f>
        <v>Arabica</v>
      </c>
      <c r="R211" t="str" cm="1">
        <f t="array" ref="R211">_xlfn.IFS(M211="M","Medium",M211="L","Light",M211="D","Dark")</f>
        <v>Medium</v>
      </c>
    </row>
    <row r="212" spans="1:18">
      <c r="A212" s="2" t="s">
        <v>484</v>
      </c>
      <c r="B212" s="3">
        <v>43766</v>
      </c>
      <c r="C212" s="9">
        <f>YEAR(Orders_Table[[#This Row],[Order Date]])</f>
        <v>2019</v>
      </c>
      <c r="D212" s="9">
        <f>MONTH(Orders_Table[[#This Row],[Order Date]])</f>
        <v>10</v>
      </c>
      <c r="E212" s="9" t="str" cm="1">
        <f t="array" ref="E2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12" s="2" t="s">
        <v>485</v>
      </c>
      <c r="G212" t="s">
        <v>60</v>
      </c>
      <c r="H212" s="2">
        <v>4</v>
      </c>
      <c r="I212" s="2" t="str" cm="1">
        <f t="array" ref="I212">_xlfn.XLOOKUP(F212,Customers!A211:$A$1001,Customers!B211:$B$1001,"Not Found",0)</f>
        <v>Anselma Attwater</v>
      </c>
      <c r="J212" s="2" t="str" cm="1">
        <f t="array" ref="J212">IF(_xlfn.XLOOKUP(F212,Customers!A211:$A$1001,Customers!C211:$C$1001,"Not Found",0)=0,"",_xlfn.XLOOKUP(F212,Customers!A211:$A$1001,Customers!C211:$C$1001,"Not Found",0))</f>
        <v>aattwater5u@wikia.com</v>
      </c>
      <c r="K212" s="2" t="str" cm="1">
        <f t="array" ref="K212">_xlfn.XLOOKUP(F212,Customers!A211:$A$1001,Customers!G211:$G$1001,"Not Found",0)</f>
        <v>United States</v>
      </c>
      <c r="L212" t="str">
        <f>INDEX(Products!$A$1:$G$49,MATCH(Orders!$G212,Products!$A$1:$A$49,0),MATCH(Orders!L$1,Products!$A$1:$G$1,0))</f>
        <v>Lib</v>
      </c>
      <c r="M212" t="str">
        <f>INDEX(Products!$A$1:$G$49,MATCH(Orders!$G212,Products!$A$1:$A$49,0),MATCH(Orders!M$1,Products!$A$1:$G$1,0))</f>
        <v>D</v>
      </c>
      <c r="N212" s="4">
        <f>INDEX(Products!$A$1:$G$49,MATCH(Orders!$G212,Products!$A$1:$A$49,0),MATCH(Orders!N$1,Products!$A$1:$G$1,0))</f>
        <v>1</v>
      </c>
      <c r="O212" s="7">
        <f>INDEX(Products!$A$1:$G$49,MATCH(Orders!$G212,Products!$A$1:$A$49,0),MATCH(Orders!O$1,Products!$A$1:$G$1,0))</f>
        <v>12.95</v>
      </c>
      <c r="P212" s="7">
        <f t="shared" si="3"/>
        <v>51.8</v>
      </c>
      <c r="Q212" t="str" cm="1">
        <f t="array" ref="Q212">_xlfn.IFS(L212="Rob","Robusta",L212="Exc", "Excelsa",L212="Ara", "Arabica",L212="Lib", "Liberica")</f>
        <v>Liberica</v>
      </c>
      <c r="R212" t="str" cm="1">
        <f t="array" ref="R212">_xlfn.IFS(M212="M","Medium",M212="L","Light",M212="D","Dark")</f>
        <v>Dark</v>
      </c>
    </row>
    <row r="213" spans="1:18">
      <c r="A213" s="2" t="s">
        <v>486</v>
      </c>
      <c r="B213" s="3">
        <v>44283</v>
      </c>
      <c r="C213" s="9">
        <f>YEAR(Orders_Table[[#This Row],[Order Date]])</f>
        <v>2021</v>
      </c>
      <c r="D213" s="9">
        <f>MONTH(Orders_Table[[#This Row],[Order Date]])</f>
        <v>3</v>
      </c>
      <c r="E213" s="9" t="str" cm="1">
        <f t="array" ref="E2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13" s="2" t="s">
        <v>487</v>
      </c>
      <c r="G213" t="s">
        <v>223</v>
      </c>
      <c r="H213" s="2">
        <v>6</v>
      </c>
      <c r="I213" s="2" t="str" cm="1">
        <f t="array" ref="I213">_xlfn.XLOOKUP(F213,Customers!A212:$A$1001,Customers!B212:$B$1001,"Not Found",0)</f>
        <v>Minette Whellans</v>
      </c>
      <c r="J213" s="2" t="str" cm="1">
        <f t="array" ref="J213">IF(_xlfn.XLOOKUP(F213,Customers!A212:$A$1001,Customers!C212:$C$1001,"Not Found",0)=0,"",_xlfn.XLOOKUP(F213,Customers!A212:$A$1001,Customers!C212:$C$1001,"Not Found",0))</f>
        <v>mwhellans5v@mapquest.com</v>
      </c>
      <c r="K213" s="2" t="str" cm="1">
        <f t="array" ref="K213">_xlfn.XLOOKUP(F213,Customers!A212:$A$1001,Customers!G212:$G$1001,"Not Found",0)</f>
        <v>United States</v>
      </c>
      <c r="L213" t="str">
        <f>INDEX(Products!$A$1:$G$49,MATCH(Orders!$G213,Products!$A$1:$A$49,0),MATCH(Orders!L$1,Products!$A$1:$G$1,0))</f>
        <v>Exc</v>
      </c>
      <c r="M213" t="str">
        <f>INDEX(Products!$A$1:$G$49,MATCH(Orders!$G213,Products!$A$1:$A$49,0),MATCH(Orders!M$1,Products!$A$1:$G$1,0))</f>
        <v>L</v>
      </c>
      <c r="N213" s="4">
        <f>INDEX(Products!$A$1:$G$49,MATCH(Orders!$G213,Products!$A$1:$A$49,0),MATCH(Orders!N$1,Products!$A$1:$G$1,0))</f>
        <v>0.5</v>
      </c>
      <c r="O213" s="7">
        <f>INDEX(Products!$A$1:$G$49,MATCH(Orders!$G213,Products!$A$1:$A$49,0),MATCH(Orders!O$1,Products!$A$1:$G$1,0))</f>
        <v>8.91</v>
      </c>
      <c r="P213" s="7">
        <f t="shared" si="3"/>
        <v>53.46</v>
      </c>
      <c r="Q213" t="str" cm="1">
        <f t="array" ref="Q213">_xlfn.IFS(L213="Rob","Robusta",L213="Exc", "Excelsa",L213="Ara", "Arabica",L213="Lib", "Liberica")</f>
        <v>Excelsa</v>
      </c>
      <c r="R213" t="str" cm="1">
        <f t="array" ref="R213">_xlfn.IFS(M213="M","Medium",M213="L","Light",M213="D","Dark")</f>
        <v>Light</v>
      </c>
    </row>
    <row r="214" spans="1:18">
      <c r="A214" s="2" t="s">
        <v>488</v>
      </c>
      <c r="B214" s="3">
        <v>43921</v>
      </c>
      <c r="C214" s="9">
        <f>YEAR(Orders_Table[[#This Row],[Order Date]])</f>
        <v>2020</v>
      </c>
      <c r="D214" s="9">
        <f>MONTH(Orders_Table[[#This Row],[Order Date]])</f>
        <v>3</v>
      </c>
      <c r="E214" s="9" t="str" cm="1">
        <f t="array" ref="E2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14" s="2" t="s">
        <v>489</v>
      </c>
      <c r="G214" t="s">
        <v>98</v>
      </c>
      <c r="H214" s="2">
        <v>4</v>
      </c>
      <c r="I214" s="2" t="str" cm="1">
        <f t="array" ref="I214">_xlfn.XLOOKUP(F214,Customers!A213:$A$1001,Customers!B213:$B$1001,"Not Found",0)</f>
        <v>Dael Camilletti</v>
      </c>
      <c r="J214" s="2" t="str" cm="1">
        <f t="array" ref="J214">IF(_xlfn.XLOOKUP(F214,Customers!A213:$A$1001,Customers!C213:$C$1001,"Not Found",0)=0,"",_xlfn.XLOOKUP(F214,Customers!A213:$A$1001,Customers!C213:$C$1001,"Not Found",0))</f>
        <v>dcamilletti5w@businesswire.com</v>
      </c>
      <c r="K214" s="2" t="str" cm="1">
        <f t="array" ref="K214">_xlfn.XLOOKUP(F214,Customers!A213:$A$1001,Customers!G213:$G$1001,"Not Found",0)</f>
        <v>United States</v>
      </c>
      <c r="L214" t="str">
        <f>INDEX(Products!$A$1:$G$49,MATCH(Orders!$G214,Products!$A$1:$A$49,0),MATCH(Orders!L$1,Products!$A$1:$G$1,0))</f>
        <v>Exc</v>
      </c>
      <c r="M214" t="str">
        <f>INDEX(Products!$A$1:$G$49,MATCH(Orders!$G214,Products!$A$1:$A$49,0),MATCH(Orders!M$1,Products!$A$1:$G$1,0))</f>
        <v>D</v>
      </c>
      <c r="N214" s="4">
        <f>INDEX(Products!$A$1:$G$49,MATCH(Orders!$G214,Products!$A$1:$A$49,0),MATCH(Orders!N$1,Products!$A$1:$G$1,0))</f>
        <v>0.2</v>
      </c>
      <c r="O214" s="7">
        <f>INDEX(Products!$A$1:$G$49,MATCH(Orders!$G214,Products!$A$1:$A$49,0),MATCH(Orders!O$1,Products!$A$1:$G$1,0))</f>
        <v>3.645</v>
      </c>
      <c r="P214" s="7">
        <f t="shared" si="3"/>
        <v>14.58</v>
      </c>
      <c r="Q214" t="str" cm="1">
        <f t="array" ref="Q214">_xlfn.IFS(L214="Rob","Robusta",L214="Exc", "Excelsa",L214="Ara", "Arabica",L214="Lib", "Liberica")</f>
        <v>Excelsa</v>
      </c>
      <c r="R214" t="str" cm="1">
        <f t="array" ref="R214">_xlfn.IFS(M214="M","Medium",M214="L","Light",M214="D","Dark")</f>
        <v>Dark</v>
      </c>
    </row>
    <row r="215" spans="1:18">
      <c r="A215" s="2" t="s">
        <v>490</v>
      </c>
      <c r="B215" s="3">
        <v>44646</v>
      </c>
      <c r="C215" s="9">
        <f>YEAR(Orders_Table[[#This Row],[Order Date]])</f>
        <v>2022</v>
      </c>
      <c r="D215" s="9">
        <f>MONTH(Orders_Table[[#This Row],[Order Date]])</f>
        <v>3</v>
      </c>
      <c r="E215" s="9" t="str" cm="1">
        <f t="array" ref="E2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15" s="2" t="s">
        <v>491</v>
      </c>
      <c r="G215" t="s">
        <v>82</v>
      </c>
      <c r="H215" s="2">
        <v>1</v>
      </c>
      <c r="I215" s="2" t="str" cm="1">
        <f t="array" ref="I215">_xlfn.XLOOKUP(F215,Customers!A214:$A$1001,Customers!B214:$B$1001,"Not Found",0)</f>
        <v>Emiline Galgey</v>
      </c>
      <c r="J215" s="2" t="str" cm="1">
        <f t="array" ref="J215">IF(_xlfn.XLOOKUP(F215,Customers!A214:$A$1001,Customers!C214:$C$1001,"Not Found",0)=0,"",_xlfn.XLOOKUP(F215,Customers!A214:$A$1001,Customers!C214:$C$1001,"Not Found",0))</f>
        <v>egalgey5x@wufoo.com</v>
      </c>
      <c r="K215" s="2" t="str" cm="1">
        <f t="array" ref="K215">_xlfn.XLOOKUP(F215,Customers!A214:$A$1001,Customers!G214:$G$1001,"Not Found",0)</f>
        <v>United States</v>
      </c>
      <c r="L215" t="str">
        <f>INDEX(Products!$A$1:$G$49,MATCH(Orders!$G215,Products!$A$1:$A$49,0),MATCH(Orders!L$1,Products!$A$1:$G$1,0))</f>
        <v>Rob</v>
      </c>
      <c r="M215" t="str">
        <f>INDEX(Products!$A$1:$G$49,MATCH(Orders!$G215,Products!$A$1:$A$49,0),MATCH(Orders!M$1,Products!$A$1:$G$1,0))</f>
        <v>D</v>
      </c>
      <c r="N215" s="4">
        <f>INDEX(Products!$A$1:$G$49,MATCH(Orders!$G215,Products!$A$1:$A$49,0),MATCH(Orders!N$1,Products!$A$1:$G$1,0))</f>
        <v>2.5</v>
      </c>
      <c r="O215" s="7">
        <f>INDEX(Products!$A$1:$G$49,MATCH(Orders!$G215,Products!$A$1:$A$49,0),MATCH(Orders!O$1,Products!$A$1:$G$1,0))</f>
        <v>20.584999999999997</v>
      </c>
      <c r="P215" s="7">
        <f t="shared" si="3"/>
        <v>20.584999999999997</v>
      </c>
      <c r="Q215" t="str" cm="1">
        <f t="array" ref="Q215">_xlfn.IFS(L215="Rob","Robusta",L215="Exc", "Excelsa",L215="Ara", "Arabica",L215="Lib", "Liberica")</f>
        <v>Robusta</v>
      </c>
      <c r="R215" t="str" cm="1">
        <f t="array" ref="R215">_xlfn.IFS(M215="M","Medium",M215="L","Light",M215="D","Dark")</f>
        <v>Dark</v>
      </c>
    </row>
    <row r="216" spans="1:18">
      <c r="A216" s="2" t="s">
        <v>492</v>
      </c>
      <c r="B216" s="3">
        <v>43775</v>
      </c>
      <c r="C216" s="9">
        <f>YEAR(Orders_Table[[#This Row],[Order Date]])</f>
        <v>2019</v>
      </c>
      <c r="D216" s="9">
        <f>MONTH(Orders_Table[[#This Row],[Order Date]])</f>
        <v>11</v>
      </c>
      <c r="E216" s="9" t="str" cm="1">
        <f t="array" ref="E2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16" s="2" t="s">
        <v>493</v>
      </c>
      <c r="G216" t="s">
        <v>179</v>
      </c>
      <c r="H216" s="2">
        <v>2</v>
      </c>
      <c r="I216" s="2" t="str" cm="1">
        <f t="array" ref="I216">_xlfn.XLOOKUP(F216,Customers!A215:$A$1001,Customers!B215:$B$1001,"Not Found",0)</f>
        <v>Murdock Hame</v>
      </c>
      <c r="J216" s="2" t="str" cm="1">
        <f t="array" ref="J216">IF(_xlfn.XLOOKUP(F216,Customers!A215:$A$1001,Customers!C215:$C$1001,"Not Found",0)=0,"",_xlfn.XLOOKUP(F216,Customers!A215:$A$1001,Customers!C215:$C$1001,"Not Found",0))</f>
        <v>mhame5y@newsvine.com</v>
      </c>
      <c r="K216" s="2" t="str" cm="1">
        <f t="array" ref="K216">_xlfn.XLOOKUP(F216,Customers!A215:$A$1001,Customers!G215:$G$1001,"Not Found",0)</f>
        <v>Ireland</v>
      </c>
      <c r="L216" t="str">
        <f>INDEX(Products!$A$1:$G$49,MATCH(Orders!$G216,Products!$A$1:$A$49,0),MATCH(Orders!L$1,Products!$A$1:$G$1,0))</f>
        <v>Lib</v>
      </c>
      <c r="M216" t="str">
        <f>INDEX(Products!$A$1:$G$49,MATCH(Orders!$G216,Products!$A$1:$A$49,0),MATCH(Orders!M$1,Products!$A$1:$G$1,0))</f>
        <v>L</v>
      </c>
      <c r="N216" s="4">
        <f>INDEX(Products!$A$1:$G$49,MATCH(Orders!$G216,Products!$A$1:$A$49,0),MATCH(Orders!N$1,Products!$A$1:$G$1,0))</f>
        <v>1</v>
      </c>
      <c r="O216" s="7">
        <f>INDEX(Products!$A$1:$G$49,MATCH(Orders!$G216,Products!$A$1:$A$49,0),MATCH(Orders!O$1,Products!$A$1:$G$1,0))</f>
        <v>15.85</v>
      </c>
      <c r="P216" s="7">
        <f t="shared" si="3"/>
        <v>31.7</v>
      </c>
      <c r="Q216" t="str" cm="1">
        <f t="array" ref="Q216">_xlfn.IFS(L216="Rob","Robusta",L216="Exc", "Excelsa",L216="Ara", "Arabica",L216="Lib", "Liberica")</f>
        <v>Liberica</v>
      </c>
      <c r="R216" t="str" cm="1">
        <f t="array" ref="R216">_xlfn.IFS(M216="M","Medium",M216="L","Light",M216="D","Dark")</f>
        <v>Light</v>
      </c>
    </row>
    <row r="217" spans="1:18">
      <c r="A217" s="2" t="s">
        <v>494</v>
      </c>
      <c r="B217" s="3">
        <v>43829</v>
      </c>
      <c r="C217" s="9">
        <f>YEAR(Orders_Table[[#This Row],[Order Date]])</f>
        <v>2019</v>
      </c>
      <c r="D217" s="9">
        <f>MONTH(Orders_Table[[#This Row],[Order Date]])</f>
        <v>12</v>
      </c>
      <c r="E217" s="9" t="str" cm="1">
        <f t="array" ref="E2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17" s="2" t="s">
        <v>495</v>
      </c>
      <c r="G217" t="s">
        <v>85</v>
      </c>
      <c r="H217" s="2">
        <v>6</v>
      </c>
      <c r="I217" s="2" t="str" cm="1">
        <f t="array" ref="I217">_xlfn.XLOOKUP(F217,Customers!A216:$A$1001,Customers!B216:$B$1001,"Not Found",0)</f>
        <v>Ilka Gurnee</v>
      </c>
      <c r="J217" s="2" t="str" cm="1">
        <f t="array" ref="J217">IF(_xlfn.XLOOKUP(F217,Customers!A216:$A$1001,Customers!C216:$C$1001,"Not Found",0)=0,"",_xlfn.XLOOKUP(F217,Customers!A216:$A$1001,Customers!C216:$C$1001,"Not Found",0))</f>
        <v>igurnee5z@usnews.com</v>
      </c>
      <c r="K217" s="2" t="str" cm="1">
        <f t="array" ref="K217">_xlfn.XLOOKUP(F217,Customers!A216:$A$1001,Customers!G216:$G$1001,"Not Found",0)</f>
        <v>United States</v>
      </c>
      <c r="L217" t="str">
        <f>INDEX(Products!$A$1:$G$49,MATCH(Orders!$G217,Products!$A$1:$A$49,0),MATCH(Orders!L$1,Products!$A$1:$G$1,0))</f>
        <v>Lib</v>
      </c>
      <c r="M217" t="str">
        <f>INDEX(Products!$A$1:$G$49,MATCH(Orders!$G217,Products!$A$1:$A$49,0),MATCH(Orders!M$1,Products!$A$1:$G$1,0))</f>
        <v>D</v>
      </c>
      <c r="N217" s="4">
        <f>INDEX(Products!$A$1:$G$49,MATCH(Orders!$G217,Products!$A$1:$A$49,0),MATCH(Orders!N$1,Products!$A$1:$G$1,0))</f>
        <v>0.2</v>
      </c>
      <c r="O217" s="7">
        <f>INDEX(Products!$A$1:$G$49,MATCH(Orders!$G217,Products!$A$1:$A$49,0),MATCH(Orders!O$1,Products!$A$1:$G$1,0))</f>
        <v>3.8849999999999998</v>
      </c>
      <c r="P217" s="7">
        <f t="shared" si="3"/>
        <v>23.31</v>
      </c>
      <c r="Q217" t="str" cm="1">
        <f t="array" ref="Q217">_xlfn.IFS(L217="Rob","Robusta",L217="Exc", "Excelsa",L217="Ara", "Arabica",L217="Lib", "Liberica")</f>
        <v>Liberica</v>
      </c>
      <c r="R217" t="str" cm="1">
        <f t="array" ref="R217">_xlfn.IFS(M217="M","Medium",M217="L","Light",M217="D","Dark")</f>
        <v>Dark</v>
      </c>
    </row>
    <row r="218" spans="1:18">
      <c r="A218" s="2" t="s">
        <v>496</v>
      </c>
      <c r="B218" s="3">
        <v>44470</v>
      </c>
      <c r="C218" s="9">
        <f>YEAR(Orders_Table[[#This Row],[Order Date]])</f>
        <v>2021</v>
      </c>
      <c r="D218" s="9">
        <f>MONTH(Orders_Table[[#This Row],[Order Date]])</f>
        <v>10</v>
      </c>
      <c r="E218" s="9" t="str" cm="1">
        <f t="array" ref="E2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18" s="2" t="s">
        <v>497</v>
      </c>
      <c r="G218" t="s">
        <v>143</v>
      </c>
      <c r="H218" s="2">
        <v>4</v>
      </c>
      <c r="I218" s="2" t="str" cm="1">
        <f t="array" ref="I218">_xlfn.XLOOKUP(F218,Customers!A217:$A$1001,Customers!B217:$B$1001,"Not Found",0)</f>
        <v>Alfy Snowding</v>
      </c>
      <c r="J218" s="2" t="str" cm="1">
        <f t="array" ref="J218">IF(_xlfn.XLOOKUP(F218,Customers!A217:$A$1001,Customers!C217:$C$1001,"Not Found",0)=0,"",_xlfn.XLOOKUP(F218,Customers!A217:$A$1001,Customers!C217:$C$1001,"Not Found",0))</f>
        <v>asnowding60@comsenz.com</v>
      </c>
      <c r="K218" s="2" t="str" cm="1">
        <f t="array" ref="K218">_xlfn.XLOOKUP(F218,Customers!A217:$A$1001,Customers!G217:$G$1001,"Not Found",0)</f>
        <v>United States</v>
      </c>
      <c r="L218" t="str">
        <f>INDEX(Products!$A$1:$G$49,MATCH(Orders!$G218,Products!$A$1:$A$49,0),MATCH(Orders!L$1,Products!$A$1:$G$1,0))</f>
        <v>Lib</v>
      </c>
      <c r="M218" t="str">
        <f>INDEX(Products!$A$1:$G$49,MATCH(Orders!$G218,Products!$A$1:$A$49,0),MATCH(Orders!M$1,Products!$A$1:$G$1,0))</f>
        <v>M</v>
      </c>
      <c r="N218" s="4">
        <f>INDEX(Products!$A$1:$G$49,MATCH(Orders!$G218,Products!$A$1:$A$49,0),MATCH(Orders!N$1,Products!$A$1:$G$1,0))</f>
        <v>1</v>
      </c>
      <c r="O218" s="7">
        <f>INDEX(Products!$A$1:$G$49,MATCH(Orders!$G218,Products!$A$1:$A$49,0),MATCH(Orders!O$1,Products!$A$1:$G$1,0))</f>
        <v>14.55</v>
      </c>
      <c r="P218" s="7">
        <f t="shared" si="3"/>
        <v>58.2</v>
      </c>
      <c r="Q218" t="str" cm="1">
        <f t="array" ref="Q218">_xlfn.IFS(L218="Rob","Robusta",L218="Exc", "Excelsa",L218="Ara", "Arabica",L218="Lib", "Liberica")</f>
        <v>Liberica</v>
      </c>
      <c r="R218" t="str" cm="1">
        <f t="array" ref="R218">_xlfn.IFS(M218="M","Medium",M218="L","Light",M218="D","Dark")</f>
        <v>Medium</v>
      </c>
    </row>
    <row r="219" spans="1:18">
      <c r="A219" s="2" t="s">
        <v>498</v>
      </c>
      <c r="B219" s="3">
        <v>44174</v>
      </c>
      <c r="C219" s="9">
        <f>YEAR(Orders_Table[[#This Row],[Order Date]])</f>
        <v>2020</v>
      </c>
      <c r="D219" s="9">
        <f>MONTH(Orders_Table[[#This Row],[Order Date]])</f>
        <v>12</v>
      </c>
      <c r="E219" s="9" t="str" cm="1">
        <f t="array" ref="E2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19" s="2" t="s">
        <v>499</v>
      </c>
      <c r="G219" t="s">
        <v>223</v>
      </c>
      <c r="H219" s="2">
        <v>4</v>
      </c>
      <c r="I219" s="2" t="str" cm="1">
        <f t="array" ref="I219">_xlfn.XLOOKUP(F219,Customers!A218:$A$1001,Customers!B218:$B$1001,"Not Found",0)</f>
        <v>Godfry Poinsett</v>
      </c>
      <c r="J219" s="2" t="str" cm="1">
        <f t="array" ref="J219">IF(_xlfn.XLOOKUP(F219,Customers!A218:$A$1001,Customers!C218:$C$1001,"Not Found",0)=0,"",_xlfn.XLOOKUP(F219,Customers!A218:$A$1001,Customers!C218:$C$1001,"Not Found",0))</f>
        <v>gpoinsett61@berkeley.edu</v>
      </c>
      <c r="K219" s="2" t="str" cm="1">
        <f t="array" ref="K219">_xlfn.XLOOKUP(F219,Customers!A218:$A$1001,Customers!G218:$G$1001,"Not Found",0)</f>
        <v>United States</v>
      </c>
      <c r="L219" t="str">
        <f>INDEX(Products!$A$1:$G$49,MATCH(Orders!$G219,Products!$A$1:$A$49,0),MATCH(Orders!L$1,Products!$A$1:$G$1,0))</f>
        <v>Exc</v>
      </c>
      <c r="M219" t="str">
        <f>INDEX(Products!$A$1:$G$49,MATCH(Orders!$G219,Products!$A$1:$A$49,0),MATCH(Orders!M$1,Products!$A$1:$G$1,0))</f>
        <v>L</v>
      </c>
      <c r="N219" s="4">
        <f>INDEX(Products!$A$1:$G$49,MATCH(Orders!$G219,Products!$A$1:$A$49,0),MATCH(Orders!N$1,Products!$A$1:$G$1,0))</f>
        <v>0.5</v>
      </c>
      <c r="O219" s="7">
        <f>INDEX(Products!$A$1:$G$49,MATCH(Orders!$G219,Products!$A$1:$A$49,0),MATCH(Orders!O$1,Products!$A$1:$G$1,0))</f>
        <v>8.91</v>
      </c>
      <c r="P219" s="7">
        <f t="shared" si="3"/>
        <v>35.64</v>
      </c>
      <c r="Q219" t="str" cm="1">
        <f t="array" ref="Q219">_xlfn.IFS(L219="Rob","Robusta",L219="Exc", "Excelsa",L219="Ara", "Arabica",L219="Lib", "Liberica")</f>
        <v>Excelsa</v>
      </c>
      <c r="R219" t="str" cm="1">
        <f t="array" ref="R219">_xlfn.IFS(M219="M","Medium",M219="L","Light",M219="D","Dark")</f>
        <v>Light</v>
      </c>
    </row>
    <row r="220" spans="1:18">
      <c r="A220" s="2" t="s">
        <v>500</v>
      </c>
      <c r="B220" s="3">
        <v>44317</v>
      </c>
      <c r="C220" s="9">
        <f>YEAR(Orders_Table[[#This Row],[Order Date]])</f>
        <v>2021</v>
      </c>
      <c r="D220" s="9">
        <f>MONTH(Orders_Table[[#This Row],[Order Date]])</f>
        <v>5</v>
      </c>
      <c r="E220" s="9" t="str" cm="1">
        <f t="array" ref="E2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20" s="2" t="s">
        <v>501</v>
      </c>
      <c r="G220" t="s">
        <v>108</v>
      </c>
      <c r="H220" s="2">
        <v>5</v>
      </c>
      <c r="I220" s="2" t="str" cm="1">
        <f t="array" ref="I220">_xlfn.XLOOKUP(F220,Customers!A219:$A$1001,Customers!B219:$B$1001,"Not Found",0)</f>
        <v>Rem Furman</v>
      </c>
      <c r="J220" s="2" t="str" cm="1">
        <f t="array" ref="J220">IF(_xlfn.XLOOKUP(F220,Customers!A219:$A$1001,Customers!C219:$C$1001,"Not Found",0)=0,"",_xlfn.XLOOKUP(F220,Customers!A219:$A$1001,Customers!C219:$C$1001,"Not Found",0))</f>
        <v>rfurman62@t.co</v>
      </c>
      <c r="K220" s="2" t="str" cm="1">
        <f t="array" ref="K220">_xlfn.XLOOKUP(F220,Customers!A219:$A$1001,Customers!G219:$G$1001,"Not Found",0)</f>
        <v>Ireland</v>
      </c>
      <c r="L220" t="str">
        <f>INDEX(Products!$A$1:$G$49,MATCH(Orders!$G220,Products!$A$1:$A$49,0),MATCH(Orders!L$1,Products!$A$1:$G$1,0))</f>
        <v>Ara</v>
      </c>
      <c r="M220" t="str">
        <f>INDEX(Products!$A$1:$G$49,MATCH(Orders!$G220,Products!$A$1:$A$49,0),MATCH(Orders!M$1,Products!$A$1:$G$1,0))</f>
        <v>M</v>
      </c>
      <c r="N220" s="4">
        <f>INDEX(Products!$A$1:$G$49,MATCH(Orders!$G220,Products!$A$1:$A$49,0),MATCH(Orders!N$1,Products!$A$1:$G$1,0))</f>
        <v>1</v>
      </c>
      <c r="O220" s="7">
        <f>INDEX(Products!$A$1:$G$49,MATCH(Orders!$G220,Products!$A$1:$A$49,0),MATCH(Orders!O$1,Products!$A$1:$G$1,0))</f>
        <v>11.25</v>
      </c>
      <c r="P220" s="7">
        <f t="shared" si="3"/>
        <v>56.25</v>
      </c>
      <c r="Q220" t="str" cm="1">
        <f t="array" ref="Q220">_xlfn.IFS(L220="Rob","Robusta",L220="Exc", "Excelsa",L220="Ara", "Arabica",L220="Lib", "Liberica")</f>
        <v>Arabica</v>
      </c>
      <c r="R220" t="str" cm="1">
        <f t="array" ref="R220">_xlfn.IFS(M220="M","Medium",M220="L","Light",M220="D","Dark")</f>
        <v>Medium</v>
      </c>
    </row>
    <row r="221" spans="1:18">
      <c r="A221" s="2" t="s">
        <v>502</v>
      </c>
      <c r="B221" s="3">
        <v>44777</v>
      </c>
      <c r="C221" s="9">
        <f>YEAR(Orders_Table[[#This Row],[Order Date]])</f>
        <v>2022</v>
      </c>
      <c r="D221" s="9">
        <f>MONTH(Orders_Table[[#This Row],[Order Date]])</f>
        <v>8</v>
      </c>
      <c r="E221" s="9" t="str" cm="1">
        <f t="array" ref="E2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21" s="2" t="s">
        <v>503</v>
      </c>
      <c r="G221" t="s">
        <v>229</v>
      </c>
      <c r="H221" s="2">
        <v>3</v>
      </c>
      <c r="I221" s="2" t="str" cm="1">
        <f t="array" ref="I221">_xlfn.XLOOKUP(F221,Customers!A220:$A$1001,Customers!B220:$B$1001,"Not Found",0)</f>
        <v>Charis Crosier</v>
      </c>
      <c r="J221" s="2" t="str" cm="1">
        <f t="array" ref="J221">IF(_xlfn.XLOOKUP(F221,Customers!A220:$A$1001,Customers!C220:$C$1001,"Not Found",0)=0,"",_xlfn.XLOOKUP(F221,Customers!A220:$A$1001,Customers!C220:$C$1001,"Not Found",0))</f>
        <v>ccrosier63@xrea.com</v>
      </c>
      <c r="K221" s="2" t="str" cm="1">
        <f t="array" ref="K221">_xlfn.XLOOKUP(F221,Customers!A220:$A$1001,Customers!G220:$G$1001,"Not Found",0)</f>
        <v>United States</v>
      </c>
      <c r="L221" t="str">
        <f>INDEX(Products!$A$1:$G$49,MATCH(Orders!$G221,Products!$A$1:$A$49,0),MATCH(Orders!L$1,Products!$A$1:$G$1,0))</f>
        <v>Rob</v>
      </c>
      <c r="M221" t="str">
        <f>INDEX(Products!$A$1:$G$49,MATCH(Orders!$G221,Products!$A$1:$A$49,0),MATCH(Orders!M$1,Products!$A$1:$G$1,0))</f>
        <v>L</v>
      </c>
      <c r="N221" s="4">
        <f>INDEX(Products!$A$1:$G$49,MATCH(Orders!$G221,Products!$A$1:$A$49,0),MATCH(Orders!N$1,Products!$A$1:$G$1,0))</f>
        <v>0.2</v>
      </c>
      <c r="O221" s="7">
        <f>INDEX(Products!$A$1:$G$49,MATCH(Orders!$G221,Products!$A$1:$A$49,0),MATCH(Orders!O$1,Products!$A$1:$G$1,0))</f>
        <v>3.5849999999999995</v>
      </c>
      <c r="P221" s="7">
        <f t="shared" si="3"/>
        <v>10.754999999999999</v>
      </c>
      <c r="Q221" t="str" cm="1">
        <f t="array" ref="Q221">_xlfn.IFS(L221="Rob","Robusta",L221="Exc", "Excelsa",L221="Ara", "Arabica",L221="Lib", "Liberica")</f>
        <v>Robusta</v>
      </c>
      <c r="R221" t="str" cm="1">
        <f t="array" ref="R221">_xlfn.IFS(M221="M","Medium",M221="L","Light",M221="D","Dark")</f>
        <v>Light</v>
      </c>
    </row>
    <row r="222" spans="1:18">
      <c r="A222" s="2" t="s">
        <v>502</v>
      </c>
      <c r="B222" s="3">
        <v>44777</v>
      </c>
      <c r="C222" s="9">
        <f>YEAR(Orders_Table[[#This Row],[Order Date]])</f>
        <v>2022</v>
      </c>
      <c r="D222" s="9">
        <f>MONTH(Orders_Table[[#This Row],[Order Date]])</f>
        <v>8</v>
      </c>
      <c r="E222" s="9" t="str" cm="1">
        <f t="array" ref="E2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22" s="2" t="s">
        <v>503</v>
      </c>
      <c r="G222" t="s">
        <v>209</v>
      </c>
      <c r="H222" s="2">
        <v>5</v>
      </c>
      <c r="I222" s="2" t="str" cm="1">
        <f t="array" ref="I222">_xlfn.XLOOKUP(F222,Customers!A221:$A$1001,Customers!B221:$B$1001,"Not Found",0)</f>
        <v>Charis Crosier</v>
      </c>
      <c r="J222" s="2" t="str" cm="1">
        <f t="array" ref="J222">IF(_xlfn.XLOOKUP(F222,Customers!A221:$A$1001,Customers!C221:$C$1001,"Not Found",0)=0,"",_xlfn.XLOOKUP(F222,Customers!A221:$A$1001,Customers!C221:$C$1001,"Not Found",0))</f>
        <v>ccrosier63@xrea.com</v>
      </c>
      <c r="K222" s="2" t="str" cm="1">
        <f t="array" ref="K222">_xlfn.XLOOKUP(F222,Customers!A221:$A$1001,Customers!G221:$G$1001,"Not Found",0)</f>
        <v>United States</v>
      </c>
      <c r="L222" t="str">
        <f>INDEX(Products!$A$1:$G$49,MATCH(Orders!$G222,Products!$A$1:$A$49,0),MATCH(Orders!L$1,Products!$A$1:$G$1,0))</f>
        <v>Rob</v>
      </c>
      <c r="M222" t="str">
        <f>INDEX(Products!$A$1:$G$49,MATCH(Orders!$G222,Products!$A$1:$A$49,0),MATCH(Orders!M$1,Products!$A$1:$G$1,0))</f>
        <v>M</v>
      </c>
      <c r="N222" s="4">
        <f>INDEX(Products!$A$1:$G$49,MATCH(Orders!$G222,Products!$A$1:$A$49,0),MATCH(Orders!N$1,Products!$A$1:$G$1,0))</f>
        <v>0.2</v>
      </c>
      <c r="O222" s="7">
        <f>INDEX(Products!$A$1:$G$49,MATCH(Orders!$G222,Products!$A$1:$A$49,0),MATCH(Orders!O$1,Products!$A$1:$G$1,0))</f>
        <v>2.9849999999999999</v>
      </c>
      <c r="P222" s="7">
        <f t="shared" si="3"/>
        <v>14.924999999999999</v>
      </c>
      <c r="Q222" t="str" cm="1">
        <f t="array" ref="Q222">_xlfn.IFS(L222="Rob","Robusta",L222="Exc", "Excelsa",L222="Ara", "Arabica",L222="Lib", "Liberica")</f>
        <v>Robusta</v>
      </c>
      <c r="R222" t="str" cm="1">
        <f t="array" ref="R222">_xlfn.IFS(M222="M","Medium",M222="L","Light",M222="D","Dark")</f>
        <v>Medium</v>
      </c>
    </row>
    <row r="223" spans="1:18">
      <c r="A223" s="2" t="s">
        <v>504</v>
      </c>
      <c r="B223" s="3">
        <v>44513</v>
      </c>
      <c r="C223" s="9">
        <f>YEAR(Orders_Table[[#This Row],[Order Date]])</f>
        <v>2021</v>
      </c>
      <c r="D223" s="9">
        <f>MONTH(Orders_Table[[#This Row],[Order Date]])</f>
        <v>11</v>
      </c>
      <c r="E223" s="9" t="str" cm="1">
        <f t="array" ref="E2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23" s="2" t="s">
        <v>505</v>
      </c>
      <c r="G223" t="s">
        <v>53</v>
      </c>
      <c r="H223" s="2">
        <v>6</v>
      </c>
      <c r="I223" s="2" t="str" cm="1">
        <f t="array" ref="I223">_xlfn.XLOOKUP(F223,Customers!A222:$A$1001,Customers!B222:$B$1001,"Not Found",0)</f>
        <v>Lenka Rushmer</v>
      </c>
      <c r="J223" s="2" t="str" cm="1">
        <f t="array" ref="J223">IF(_xlfn.XLOOKUP(F223,Customers!A222:$A$1001,Customers!C222:$C$1001,"Not Found",0)=0,"",_xlfn.XLOOKUP(F223,Customers!A222:$A$1001,Customers!C222:$C$1001,"Not Found",0))</f>
        <v>lrushmer65@europa.eu</v>
      </c>
      <c r="K223" s="2" t="str" cm="1">
        <f t="array" ref="K223">_xlfn.XLOOKUP(F223,Customers!A222:$A$1001,Customers!G222:$G$1001,"Not Found",0)</f>
        <v>United States</v>
      </c>
      <c r="L223" t="str">
        <f>INDEX(Products!$A$1:$G$49,MATCH(Orders!$G223,Products!$A$1:$A$49,0),MATCH(Orders!L$1,Products!$A$1:$G$1,0))</f>
        <v>Ara</v>
      </c>
      <c r="M223" t="str">
        <f>INDEX(Products!$A$1:$G$49,MATCH(Orders!$G223,Products!$A$1:$A$49,0),MATCH(Orders!M$1,Products!$A$1:$G$1,0))</f>
        <v>L</v>
      </c>
      <c r="N223" s="4">
        <f>INDEX(Products!$A$1:$G$49,MATCH(Orders!$G223,Products!$A$1:$A$49,0),MATCH(Orders!N$1,Products!$A$1:$G$1,0))</f>
        <v>1</v>
      </c>
      <c r="O223" s="7">
        <f>INDEX(Products!$A$1:$G$49,MATCH(Orders!$G223,Products!$A$1:$A$49,0),MATCH(Orders!O$1,Products!$A$1:$G$1,0))</f>
        <v>12.95</v>
      </c>
      <c r="P223" s="7">
        <f t="shared" si="3"/>
        <v>77.699999999999989</v>
      </c>
      <c r="Q223" t="str" cm="1">
        <f t="array" ref="Q223">_xlfn.IFS(L223="Rob","Robusta",L223="Exc", "Excelsa",L223="Ara", "Arabica",L223="Lib", "Liberica")</f>
        <v>Arabica</v>
      </c>
      <c r="R223" t="str" cm="1">
        <f t="array" ref="R223">_xlfn.IFS(M223="M","Medium",M223="L","Light",M223="D","Dark")</f>
        <v>Light</v>
      </c>
    </row>
    <row r="224" spans="1:18">
      <c r="A224" s="2" t="s">
        <v>506</v>
      </c>
      <c r="B224" s="3">
        <v>44090</v>
      </c>
      <c r="C224" s="9">
        <f>YEAR(Orders_Table[[#This Row],[Order Date]])</f>
        <v>2020</v>
      </c>
      <c r="D224" s="9">
        <f>MONTH(Orders_Table[[#This Row],[Order Date]])</f>
        <v>9</v>
      </c>
      <c r="E224" s="9" t="str" cm="1">
        <f t="array" ref="E2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224" s="2" t="s">
        <v>507</v>
      </c>
      <c r="G224" t="s">
        <v>170</v>
      </c>
      <c r="H224" s="2">
        <v>3</v>
      </c>
      <c r="I224" s="2" t="str" cm="1">
        <f t="array" ref="I224">_xlfn.XLOOKUP(F224,Customers!A223:$A$1001,Customers!B223:$B$1001,"Not Found",0)</f>
        <v>Waneta Edinborough</v>
      </c>
      <c r="J224" s="2" t="str" cm="1">
        <f t="array" ref="J224">IF(_xlfn.XLOOKUP(F224,Customers!A223:$A$1001,Customers!C223:$C$1001,"Not Found",0)=0,"",_xlfn.XLOOKUP(F224,Customers!A223:$A$1001,Customers!C223:$C$1001,"Not Found",0))</f>
        <v>wedinborough66@github.io</v>
      </c>
      <c r="K224" s="2" t="str" cm="1">
        <f t="array" ref="K224">_xlfn.XLOOKUP(F224,Customers!A223:$A$1001,Customers!G223:$G$1001,"Not Found",0)</f>
        <v>United States</v>
      </c>
      <c r="L224" t="str">
        <f>INDEX(Products!$A$1:$G$49,MATCH(Orders!$G224,Products!$A$1:$A$49,0),MATCH(Orders!L$1,Products!$A$1:$G$1,0))</f>
        <v>Lib</v>
      </c>
      <c r="M224" t="str">
        <f>INDEX(Products!$A$1:$G$49,MATCH(Orders!$G224,Products!$A$1:$A$49,0),MATCH(Orders!M$1,Products!$A$1:$G$1,0))</f>
        <v>D</v>
      </c>
      <c r="N224" s="4">
        <f>INDEX(Products!$A$1:$G$49,MATCH(Orders!$G224,Products!$A$1:$A$49,0),MATCH(Orders!N$1,Products!$A$1:$G$1,0))</f>
        <v>0.5</v>
      </c>
      <c r="O224" s="7">
        <f>INDEX(Products!$A$1:$G$49,MATCH(Orders!$G224,Products!$A$1:$A$49,0),MATCH(Orders!O$1,Products!$A$1:$G$1,0))</f>
        <v>7.77</v>
      </c>
      <c r="P224" s="7">
        <f t="shared" si="3"/>
        <v>23.31</v>
      </c>
      <c r="Q224" t="str" cm="1">
        <f t="array" ref="Q224">_xlfn.IFS(L224="Rob","Robusta",L224="Exc", "Excelsa",L224="Ara", "Arabica",L224="Lib", "Liberica")</f>
        <v>Liberica</v>
      </c>
      <c r="R224" t="str" cm="1">
        <f t="array" ref="R224">_xlfn.IFS(M224="M","Medium",M224="L","Light",M224="D","Dark")</f>
        <v>Dark</v>
      </c>
    </row>
    <row r="225" spans="1:18">
      <c r="A225" s="2" t="s">
        <v>508</v>
      </c>
      <c r="B225" s="3">
        <v>44109</v>
      </c>
      <c r="C225" s="9">
        <f>YEAR(Orders_Table[[#This Row],[Order Date]])</f>
        <v>2020</v>
      </c>
      <c r="D225" s="9">
        <f>MONTH(Orders_Table[[#This Row],[Order Date]])</f>
        <v>10</v>
      </c>
      <c r="E225" s="9" t="str" cm="1">
        <f t="array" ref="E2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25" s="2" t="s">
        <v>509</v>
      </c>
      <c r="G225" t="s">
        <v>184</v>
      </c>
      <c r="H225" s="2">
        <v>4</v>
      </c>
      <c r="I225" s="2" t="str" cm="1">
        <f t="array" ref="I225">_xlfn.XLOOKUP(F225,Customers!A224:$A$1001,Customers!B224:$B$1001,"Not Found",0)</f>
        <v>Bobbe Piggott</v>
      </c>
      <c r="J225" s="2" t="str" cm="1">
        <f t="array" ref="J225">IF(_xlfn.XLOOKUP(F225,Customers!A224:$A$1001,Customers!C224:$C$1001,"Not Found",0)=0,"",_xlfn.XLOOKUP(F225,Customers!A224:$A$1001,Customers!C224:$C$1001,"Not Found",0))</f>
        <v/>
      </c>
      <c r="K225" s="2" t="str" cm="1">
        <f t="array" ref="K225">_xlfn.XLOOKUP(F225,Customers!A224:$A$1001,Customers!G224:$G$1001,"Not Found",0)</f>
        <v>United States</v>
      </c>
      <c r="L225" t="str">
        <f>INDEX(Products!$A$1:$G$49,MATCH(Orders!$G225,Products!$A$1:$A$49,0),MATCH(Orders!L$1,Products!$A$1:$G$1,0))</f>
        <v>Exc</v>
      </c>
      <c r="M225" t="str">
        <f>INDEX(Products!$A$1:$G$49,MATCH(Orders!$G225,Products!$A$1:$A$49,0),MATCH(Orders!M$1,Products!$A$1:$G$1,0))</f>
        <v>L</v>
      </c>
      <c r="N225" s="4">
        <f>INDEX(Products!$A$1:$G$49,MATCH(Orders!$G225,Products!$A$1:$A$49,0),MATCH(Orders!N$1,Products!$A$1:$G$1,0))</f>
        <v>1</v>
      </c>
      <c r="O225" s="7">
        <f>INDEX(Products!$A$1:$G$49,MATCH(Orders!$G225,Products!$A$1:$A$49,0),MATCH(Orders!O$1,Products!$A$1:$G$1,0))</f>
        <v>14.85</v>
      </c>
      <c r="P225" s="7">
        <f t="shared" si="3"/>
        <v>59.4</v>
      </c>
      <c r="Q225" t="str" cm="1">
        <f t="array" ref="Q225">_xlfn.IFS(L225="Rob","Robusta",L225="Exc", "Excelsa",L225="Ara", "Arabica",L225="Lib", "Liberica")</f>
        <v>Excelsa</v>
      </c>
      <c r="R225" t="str" cm="1">
        <f t="array" ref="R225">_xlfn.IFS(M225="M","Medium",M225="L","Light",M225="D","Dark")</f>
        <v>Light</v>
      </c>
    </row>
    <row r="226" spans="1:18">
      <c r="A226" s="2" t="s">
        <v>510</v>
      </c>
      <c r="B226" s="3">
        <v>43836</v>
      </c>
      <c r="C226" s="9">
        <f>YEAR(Orders_Table[[#This Row],[Order Date]])</f>
        <v>2020</v>
      </c>
      <c r="D226" s="9">
        <f>MONTH(Orders_Table[[#This Row],[Order Date]])</f>
        <v>1</v>
      </c>
      <c r="E226" s="9" t="str" cm="1">
        <f t="array" ref="E2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26" s="2" t="s">
        <v>511</v>
      </c>
      <c r="G226" t="s">
        <v>156</v>
      </c>
      <c r="H226" s="2">
        <v>4</v>
      </c>
      <c r="I226" s="2" t="str" cm="1">
        <f t="array" ref="I226">_xlfn.XLOOKUP(F226,Customers!A225:$A$1001,Customers!B225:$B$1001,"Not Found",0)</f>
        <v>Ketty Bromehead</v>
      </c>
      <c r="J226" s="2" t="str" cm="1">
        <f t="array" ref="J226">IF(_xlfn.XLOOKUP(F226,Customers!A225:$A$1001,Customers!C225:$C$1001,"Not Found",0)=0,"",_xlfn.XLOOKUP(F226,Customers!A225:$A$1001,Customers!C225:$C$1001,"Not Found",0))</f>
        <v>kbromehead68@un.org</v>
      </c>
      <c r="K226" s="2" t="str" cm="1">
        <f t="array" ref="K226">_xlfn.XLOOKUP(F226,Customers!A225:$A$1001,Customers!G225:$G$1001,"Not Found",0)</f>
        <v>United States</v>
      </c>
      <c r="L226" t="str">
        <f>INDEX(Products!$A$1:$G$49,MATCH(Orders!$G226,Products!$A$1:$A$49,0),MATCH(Orders!L$1,Products!$A$1:$G$1,0))</f>
        <v>Lib</v>
      </c>
      <c r="M226" t="str">
        <f>INDEX(Products!$A$1:$G$49,MATCH(Orders!$G226,Products!$A$1:$A$49,0),MATCH(Orders!M$1,Products!$A$1:$G$1,0))</f>
        <v>D</v>
      </c>
      <c r="N226" s="4">
        <f>INDEX(Products!$A$1:$G$49,MATCH(Orders!$G226,Products!$A$1:$A$49,0),MATCH(Orders!N$1,Products!$A$1:$G$1,0))</f>
        <v>2.5</v>
      </c>
      <c r="O226" s="7">
        <f>INDEX(Products!$A$1:$G$49,MATCH(Orders!$G226,Products!$A$1:$A$49,0),MATCH(Orders!O$1,Products!$A$1:$G$1,0))</f>
        <v>29.784999999999997</v>
      </c>
      <c r="P226" s="7">
        <f t="shared" si="3"/>
        <v>119.13999999999999</v>
      </c>
      <c r="Q226" t="str" cm="1">
        <f t="array" ref="Q226">_xlfn.IFS(L226="Rob","Robusta",L226="Exc", "Excelsa",L226="Ara", "Arabica",L226="Lib", "Liberica")</f>
        <v>Liberica</v>
      </c>
      <c r="R226" t="str" cm="1">
        <f t="array" ref="R226">_xlfn.IFS(M226="M","Medium",M226="L","Light",M226="D","Dark")</f>
        <v>Dark</v>
      </c>
    </row>
    <row r="227" spans="1:18">
      <c r="A227" s="2" t="s">
        <v>512</v>
      </c>
      <c r="B227" s="3">
        <v>44337</v>
      </c>
      <c r="C227" s="9">
        <f>YEAR(Orders_Table[[#This Row],[Order Date]])</f>
        <v>2021</v>
      </c>
      <c r="D227" s="9">
        <f>MONTH(Orders_Table[[#This Row],[Order Date]])</f>
        <v>5</v>
      </c>
      <c r="E227" s="9" t="str" cm="1">
        <f t="array" ref="E2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27" s="2" t="s">
        <v>513</v>
      </c>
      <c r="G227" t="s">
        <v>229</v>
      </c>
      <c r="H227" s="2">
        <v>4</v>
      </c>
      <c r="I227" s="2" t="str" cm="1">
        <f t="array" ref="I227">_xlfn.XLOOKUP(F227,Customers!A226:$A$1001,Customers!B226:$B$1001,"Not Found",0)</f>
        <v>Elsbeth Westerman</v>
      </c>
      <c r="J227" s="2" t="str" cm="1">
        <f t="array" ref="J227">IF(_xlfn.XLOOKUP(F227,Customers!A226:$A$1001,Customers!C226:$C$1001,"Not Found",0)=0,"",_xlfn.XLOOKUP(F227,Customers!A226:$A$1001,Customers!C226:$C$1001,"Not Found",0))</f>
        <v>ewesterman69@si.edu</v>
      </c>
      <c r="K227" s="2" t="str" cm="1">
        <f t="array" ref="K227">_xlfn.XLOOKUP(F227,Customers!A226:$A$1001,Customers!G226:$G$1001,"Not Found",0)</f>
        <v>Ireland</v>
      </c>
      <c r="L227" t="str">
        <f>INDEX(Products!$A$1:$G$49,MATCH(Orders!$G227,Products!$A$1:$A$49,0),MATCH(Orders!L$1,Products!$A$1:$G$1,0))</f>
        <v>Rob</v>
      </c>
      <c r="M227" t="str">
        <f>INDEX(Products!$A$1:$G$49,MATCH(Orders!$G227,Products!$A$1:$A$49,0),MATCH(Orders!M$1,Products!$A$1:$G$1,0))</f>
        <v>L</v>
      </c>
      <c r="N227" s="4">
        <f>INDEX(Products!$A$1:$G$49,MATCH(Orders!$G227,Products!$A$1:$A$49,0),MATCH(Orders!N$1,Products!$A$1:$G$1,0))</f>
        <v>0.2</v>
      </c>
      <c r="O227" s="7">
        <f>INDEX(Products!$A$1:$G$49,MATCH(Orders!$G227,Products!$A$1:$A$49,0),MATCH(Orders!O$1,Products!$A$1:$G$1,0))</f>
        <v>3.5849999999999995</v>
      </c>
      <c r="P227" s="7">
        <f t="shared" si="3"/>
        <v>14.339999999999998</v>
      </c>
      <c r="Q227" t="str" cm="1">
        <f t="array" ref="Q227">_xlfn.IFS(L227="Rob","Robusta",L227="Exc", "Excelsa",L227="Ara", "Arabica",L227="Lib", "Liberica")</f>
        <v>Robusta</v>
      </c>
      <c r="R227" t="str" cm="1">
        <f t="array" ref="R227">_xlfn.IFS(M227="M","Medium",M227="L","Light",M227="D","Dark")</f>
        <v>Light</v>
      </c>
    </row>
    <row r="228" spans="1:18">
      <c r="A228" s="2" t="s">
        <v>514</v>
      </c>
      <c r="B228" s="3">
        <v>43887</v>
      </c>
      <c r="C228" s="9">
        <f>YEAR(Orders_Table[[#This Row],[Order Date]])</f>
        <v>2020</v>
      </c>
      <c r="D228" s="9">
        <f>MONTH(Orders_Table[[#This Row],[Order Date]])</f>
        <v>2</v>
      </c>
      <c r="E228" s="9" t="str" cm="1">
        <f t="array" ref="E2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28" s="2" t="s">
        <v>515</v>
      </c>
      <c r="G228" t="s">
        <v>218</v>
      </c>
      <c r="H228" s="2">
        <v>5</v>
      </c>
      <c r="I228" s="2" t="str" cm="1">
        <f t="array" ref="I228">_xlfn.XLOOKUP(F228,Customers!A227:$A$1001,Customers!B227:$B$1001,"Not Found",0)</f>
        <v>Anabelle Hutchens</v>
      </c>
      <c r="J228" s="2" t="str" cm="1">
        <f t="array" ref="J228">IF(_xlfn.XLOOKUP(F228,Customers!A227:$A$1001,Customers!C227:$C$1001,"Not Found",0)=0,"",_xlfn.XLOOKUP(F228,Customers!A227:$A$1001,Customers!C227:$C$1001,"Not Found",0))</f>
        <v>ahutchens6a@amazonaws.com</v>
      </c>
      <c r="K228" s="2" t="str" cm="1">
        <f t="array" ref="K228">_xlfn.XLOOKUP(F228,Customers!A227:$A$1001,Customers!G227:$G$1001,"Not Found",0)</f>
        <v>United States</v>
      </c>
      <c r="L228" t="str">
        <f>INDEX(Products!$A$1:$G$49,MATCH(Orders!$G228,Products!$A$1:$A$49,0),MATCH(Orders!L$1,Products!$A$1:$G$1,0))</f>
        <v>Ara</v>
      </c>
      <c r="M228" t="str">
        <f>INDEX(Products!$A$1:$G$49,MATCH(Orders!$G228,Products!$A$1:$A$49,0),MATCH(Orders!M$1,Products!$A$1:$G$1,0))</f>
        <v>M</v>
      </c>
      <c r="N228" s="4">
        <f>INDEX(Products!$A$1:$G$49,MATCH(Orders!$G228,Products!$A$1:$A$49,0),MATCH(Orders!N$1,Products!$A$1:$G$1,0))</f>
        <v>2.5</v>
      </c>
      <c r="O228" s="7">
        <f>INDEX(Products!$A$1:$G$49,MATCH(Orders!$G228,Products!$A$1:$A$49,0),MATCH(Orders!O$1,Products!$A$1:$G$1,0))</f>
        <v>25.874999999999996</v>
      </c>
      <c r="P228" s="7">
        <f t="shared" si="3"/>
        <v>129.37499999999997</v>
      </c>
      <c r="Q228" t="str" cm="1">
        <f t="array" ref="Q228">_xlfn.IFS(L228="Rob","Robusta",L228="Exc", "Excelsa",L228="Ara", "Arabica",L228="Lib", "Liberica")</f>
        <v>Arabica</v>
      </c>
      <c r="R228" t="str" cm="1">
        <f t="array" ref="R228">_xlfn.IFS(M228="M","Medium",M228="L","Light",M228="D","Dark")</f>
        <v>Medium</v>
      </c>
    </row>
    <row r="229" spans="1:18">
      <c r="A229" s="2" t="s">
        <v>516</v>
      </c>
      <c r="B229" s="3">
        <v>43880</v>
      </c>
      <c r="C229" s="9">
        <f>YEAR(Orders_Table[[#This Row],[Order Date]])</f>
        <v>2020</v>
      </c>
      <c r="D229" s="9">
        <f>MONTH(Orders_Table[[#This Row],[Order Date]])</f>
        <v>2</v>
      </c>
      <c r="E229" s="9" t="str" cm="1">
        <f t="array" ref="E2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29" s="2" t="s">
        <v>517</v>
      </c>
      <c r="G229" t="s">
        <v>148</v>
      </c>
      <c r="H229" s="2">
        <v>6</v>
      </c>
      <c r="I229" s="2" t="str" cm="1">
        <f t="array" ref="I229">_xlfn.XLOOKUP(F229,Customers!A228:$A$1001,Customers!B228:$B$1001,"Not Found",0)</f>
        <v>Noak Wyvill</v>
      </c>
      <c r="J229" s="2" t="str" cm="1">
        <f t="array" ref="J229">IF(_xlfn.XLOOKUP(F229,Customers!A228:$A$1001,Customers!C228:$C$1001,"Not Found",0)=0,"",_xlfn.XLOOKUP(F229,Customers!A228:$A$1001,Customers!C228:$C$1001,"Not Found",0))</f>
        <v>nwyvill6b@naver.com</v>
      </c>
      <c r="K229" s="2" t="str" cm="1">
        <f t="array" ref="K229">_xlfn.XLOOKUP(F229,Customers!A228:$A$1001,Customers!G228:$G$1001,"Not Found",0)</f>
        <v>United Kingdom</v>
      </c>
      <c r="L229" t="str">
        <f>INDEX(Products!$A$1:$G$49,MATCH(Orders!$G229,Products!$A$1:$A$49,0),MATCH(Orders!L$1,Products!$A$1:$G$1,0))</f>
        <v>Rob</v>
      </c>
      <c r="M229" t="str">
        <f>INDEX(Products!$A$1:$G$49,MATCH(Orders!$G229,Products!$A$1:$A$49,0),MATCH(Orders!M$1,Products!$A$1:$G$1,0))</f>
        <v>D</v>
      </c>
      <c r="N229" s="4">
        <f>INDEX(Products!$A$1:$G$49,MATCH(Orders!$G229,Products!$A$1:$A$49,0),MATCH(Orders!N$1,Products!$A$1:$G$1,0))</f>
        <v>0.2</v>
      </c>
      <c r="O229" s="7">
        <f>INDEX(Products!$A$1:$G$49,MATCH(Orders!$G229,Products!$A$1:$A$49,0),MATCH(Orders!O$1,Products!$A$1:$G$1,0))</f>
        <v>2.6849999999999996</v>
      </c>
      <c r="P229" s="7">
        <f t="shared" si="3"/>
        <v>16.11</v>
      </c>
      <c r="Q229" t="str" cm="1">
        <f t="array" ref="Q229">_xlfn.IFS(L229="Rob","Robusta",L229="Exc", "Excelsa",L229="Ara", "Arabica",L229="Lib", "Liberica")</f>
        <v>Robusta</v>
      </c>
      <c r="R229" t="str" cm="1">
        <f t="array" ref="R229">_xlfn.IFS(M229="M","Medium",M229="L","Light",M229="D","Dark")</f>
        <v>Dark</v>
      </c>
    </row>
    <row r="230" spans="1:18">
      <c r="A230" s="2" t="s">
        <v>518</v>
      </c>
      <c r="B230" s="3">
        <v>44376</v>
      </c>
      <c r="C230" s="9">
        <f>YEAR(Orders_Table[[#This Row],[Order Date]])</f>
        <v>2021</v>
      </c>
      <c r="D230" s="9">
        <f>MONTH(Orders_Table[[#This Row],[Order Date]])</f>
        <v>6</v>
      </c>
      <c r="E230" s="9" t="str" cm="1">
        <f t="array" ref="E2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30" s="2" t="s">
        <v>519</v>
      </c>
      <c r="G230" t="s">
        <v>229</v>
      </c>
      <c r="H230" s="2">
        <v>5</v>
      </c>
      <c r="I230" s="2" t="str" cm="1">
        <f t="array" ref="I230">_xlfn.XLOOKUP(F230,Customers!A229:$A$1001,Customers!B229:$B$1001,"Not Found",0)</f>
        <v>Beltran Mathon</v>
      </c>
      <c r="J230" s="2" t="str" cm="1">
        <f t="array" ref="J230">IF(_xlfn.XLOOKUP(F230,Customers!A229:$A$1001,Customers!C229:$C$1001,"Not Found",0)=0,"",_xlfn.XLOOKUP(F230,Customers!A229:$A$1001,Customers!C229:$C$1001,"Not Found",0))</f>
        <v>bmathon6c@barnesandnoble.com</v>
      </c>
      <c r="K230" s="2" t="str" cm="1">
        <f t="array" ref="K230">_xlfn.XLOOKUP(F230,Customers!A229:$A$1001,Customers!G229:$G$1001,"Not Found",0)</f>
        <v>United States</v>
      </c>
      <c r="L230" t="str">
        <f>INDEX(Products!$A$1:$G$49,MATCH(Orders!$G230,Products!$A$1:$A$49,0),MATCH(Orders!L$1,Products!$A$1:$G$1,0))</f>
        <v>Rob</v>
      </c>
      <c r="M230" t="str">
        <f>INDEX(Products!$A$1:$G$49,MATCH(Orders!$G230,Products!$A$1:$A$49,0),MATCH(Orders!M$1,Products!$A$1:$G$1,0))</f>
        <v>L</v>
      </c>
      <c r="N230" s="4">
        <f>INDEX(Products!$A$1:$G$49,MATCH(Orders!$G230,Products!$A$1:$A$49,0),MATCH(Orders!N$1,Products!$A$1:$G$1,0))</f>
        <v>0.2</v>
      </c>
      <c r="O230" s="7">
        <f>INDEX(Products!$A$1:$G$49,MATCH(Orders!$G230,Products!$A$1:$A$49,0),MATCH(Orders!O$1,Products!$A$1:$G$1,0))</f>
        <v>3.5849999999999995</v>
      </c>
      <c r="P230" s="7">
        <f t="shared" si="3"/>
        <v>17.924999999999997</v>
      </c>
      <c r="Q230" t="str" cm="1">
        <f t="array" ref="Q230">_xlfn.IFS(L230="Rob","Robusta",L230="Exc", "Excelsa",L230="Ara", "Arabica",L230="Lib", "Liberica")</f>
        <v>Robusta</v>
      </c>
      <c r="R230" t="str" cm="1">
        <f t="array" ref="R230">_xlfn.IFS(M230="M","Medium",M230="L","Light",M230="D","Dark")</f>
        <v>Light</v>
      </c>
    </row>
    <row r="231" spans="1:18">
      <c r="A231" s="2" t="s">
        <v>520</v>
      </c>
      <c r="B231" s="3">
        <v>44282</v>
      </c>
      <c r="C231" s="9">
        <f>YEAR(Orders_Table[[#This Row],[Order Date]])</f>
        <v>2021</v>
      </c>
      <c r="D231" s="9">
        <f>MONTH(Orders_Table[[#This Row],[Order Date]])</f>
        <v>3</v>
      </c>
      <c r="E231" s="9" t="str" cm="1">
        <f t="array" ref="E2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31" s="2" t="s">
        <v>521</v>
      </c>
      <c r="G231" t="s">
        <v>124</v>
      </c>
      <c r="H231" s="2">
        <v>2</v>
      </c>
      <c r="I231" s="2" t="str" cm="1">
        <f t="array" ref="I231">_xlfn.XLOOKUP(F231,Customers!A230:$A$1001,Customers!B230:$B$1001,"Not Found",0)</f>
        <v>Kristos Streight</v>
      </c>
      <c r="J231" s="2" t="str" cm="1">
        <f t="array" ref="J231">IF(_xlfn.XLOOKUP(F231,Customers!A230:$A$1001,Customers!C230:$C$1001,"Not Found",0)=0,"",_xlfn.XLOOKUP(F231,Customers!A230:$A$1001,Customers!C230:$C$1001,"Not Found",0))</f>
        <v>kstreight6d@about.com</v>
      </c>
      <c r="K231" s="2" t="str" cm="1">
        <f t="array" ref="K231">_xlfn.XLOOKUP(F231,Customers!A230:$A$1001,Customers!G230:$G$1001,"Not Found",0)</f>
        <v>United States</v>
      </c>
      <c r="L231" t="str">
        <f>INDEX(Products!$A$1:$G$49,MATCH(Orders!$G231,Products!$A$1:$A$49,0),MATCH(Orders!L$1,Products!$A$1:$G$1,0))</f>
        <v>Lib</v>
      </c>
      <c r="M231" t="str">
        <f>INDEX(Products!$A$1:$G$49,MATCH(Orders!$G231,Products!$A$1:$A$49,0),MATCH(Orders!M$1,Products!$A$1:$G$1,0))</f>
        <v>M</v>
      </c>
      <c r="N231" s="4">
        <f>INDEX(Products!$A$1:$G$49,MATCH(Orders!$G231,Products!$A$1:$A$49,0),MATCH(Orders!N$1,Products!$A$1:$G$1,0))</f>
        <v>0.2</v>
      </c>
      <c r="O231" s="7">
        <f>INDEX(Products!$A$1:$G$49,MATCH(Orders!$G231,Products!$A$1:$A$49,0),MATCH(Orders!O$1,Products!$A$1:$G$1,0))</f>
        <v>4.3650000000000002</v>
      </c>
      <c r="P231" s="7">
        <f t="shared" si="3"/>
        <v>8.73</v>
      </c>
      <c r="Q231" t="str" cm="1">
        <f t="array" ref="Q231">_xlfn.IFS(L231="Rob","Robusta",L231="Exc", "Excelsa",L231="Ara", "Arabica",L231="Lib", "Liberica")</f>
        <v>Liberica</v>
      </c>
      <c r="R231" t="str" cm="1">
        <f t="array" ref="R231">_xlfn.IFS(M231="M","Medium",M231="L","Light",M231="D","Dark")</f>
        <v>Medium</v>
      </c>
    </row>
    <row r="232" spans="1:18">
      <c r="A232" s="2" t="s">
        <v>522</v>
      </c>
      <c r="B232" s="3">
        <v>44496</v>
      </c>
      <c r="C232" s="9">
        <f>YEAR(Orders_Table[[#This Row],[Order Date]])</f>
        <v>2021</v>
      </c>
      <c r="D232" s="9">
        <f>MONTH(Orders_Table[[#This Row],[Order Date]])</f>
        <v>10</v>
      </c>
      <c r="E232" s="9" t="str" cm="1">
        <f t="array" ref="E2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32" s="2" t="s">
        <v>523</v>
      </c>
      <c r="G232" t="s">
        <v>218</v>
      </c>
      <c r="H232" s="2">
        <v>2</v>
      </c>
      <c r="I232" s="2" t="str" cm="1">
        <f t="array" ref="I232">_xlfn.XLOOKUP(F232,Customers!A231:$A$1001,Customers!B231:$B$1001,"Not Found",0)</f>
        <v>Portie Cutchie</v>
      </c>
      <c r="J232" s="2" t="str" cm="1">
        <f t="array" ref="J232">IF(_xlfn.XLOOKUP(F232,Customers!A231:$A$1001,Customers!C231:$C$1001,"Not Found",0)=0,"",_xlfn.XLOOKUP(F232,Customers!A231:$A$1001,Customers!C231:$C$1001,"Not Found",0))</f>
        <v>pcutchie6e@globo.com</v>
      </c>
      <c r="K232" s="2" t="str" cm="1">
        <f t="array" ref="K232">_xlfn.XLOOKUP(F232,Customers!A231:$A$1001,Customers!G231:$G$1001,"Not Found",0)</f>
        <v>United States</v>
      </c>
      <c r="L232" t="str">
        <f>INDEX(Products!$A$1:$G$49,MATCH(Orders!$G232,Products!$A$1:$A$49,0),MATCH(Orders!L$1,Products!$A$1:$G$1,0))</f>
        <v>Ara</v>
      </c>
      <c r="M232" t="str">
        <f>INDEX(Products!$A$1:$G$49,MATCH(Orders!$G232,Products!$A$1:$A$49,0),MATCH(Orders!M$1,Products!$A$1:$G$1,0))</f>
        <v>M</v>
      </c>
      <c r="N232" s="4">
        <f>INDEX(Products!$A$1:$G$49,MATCH(Orders!$G232,Products!$A$1:$A$49,0),MATCH(Orders!N$1,Products!$A$1:$G$1,0))</f>
        <v>2.5</v>
      </c>
      <c r="O232" s="7">
        <f>INDEX(Products!$A$1:$G$49,MATCH(Orders!$G232,Products!$A$1:$A$49,0),MATCH(Orders!O$1,Products!$A$1:$G$1,0))</f>
        <v>25.874999999999996</v>
      </c>
      <c r="P232" s="7">
        <f t="shared" si="3"/>
        <v>51.749999999999993</v>
      </c>
      <c r="Q232" t="str" cm="1">
        <f t="array" ref="Q232">_xlfn.IFS(L232="Rob","Robusta",L232="Exc", "Excelsa",L232="Ara", "Arabica",L232="Lib", "Liberica")</f>
        <v>Arabica</v>
      </c>
      <c r="R232" t="str" cm="1">
        <f t="array" ref="R232">_xlfn.IFS(M232="M","Medium",M232="L","Light",M232="D","Dark")</f>
        <v>Medium</v>
      </c>
    </row>
    <row r="233" spans="1:18">
      <c r="A233" s="2" t="s">
        <v>524</v>
      </c>
      <c r="B233" s="3">
        <v>43628</v>
      </c>
      <c r="C233" s="9">
        <f>YEAR(Orders_Table[[#This Row],[Order Date]])</f>
        <v>2019</v>
      </c>
      <c r="D233" s="9">
        <f>MONTH(Orders_Table[[#This Row],[Order Date]])</f>
        <v>6</v>
      </c>
      <c r="E233" s="9" t="str" cm="1">
        <f t="array" ref="E2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33" s="2" t="s">
        <v>525</v>
      </c>
      <c r="G233" t="s">
        <v>124</v>
      </c>
      <c r="H233" s="2">
        <v>2</v>
      </c>
      <c r="I233" s="2" t="str" cm="1">
        <f t="array" ref="I233">_xlfn.XLOOKUP(F233,Customers!A232:$A$1001,Customers!B232:$B$1001,"Not Found",0)</f>
        <v>Sinclare Edsell</v>
      </c>
      <c r="J233" s="2" t="str" cm="1">
        <f t="array" ref="J233">IF(_xlfn.XLOOKUP(F233,Customers!A232:$A$1001,Customers!C232:$C$1001,"Not Found",0)=0,"",_xlfn.XLOOKUP(F233,Customers!A232:$A$1001,Customers!C232:$C$1001,"Not Found",0))</f>
        <v/>
      </c>
      <c r="K233" s="2" t="str" cm="1">
        <f t="array" ref="K233">_xlfn.XLOOKUP(F233,Customers!A232:$A$1001,Customers!G232:$G$1001,"Not Found",0)</f>
        <v>United States</v>
      </c>
      <c r="L233" t="str">
        <f>INDEX(Products!$A$1:$G$49,MATCH(Orders!$G233,Products!$A$1:$A$49,0),MATCH(Orders!L$1,Products!$A$1:$G$1,0))</f>
        <v>Lib</v>
      </c>
      <c r="M233" t="str">
        <f>INDEX(Products!$A$1:$G$49,MATCH(Orders!$G233,Products!$A$1:$A$49,0),MATCH(Orders!M$1,Products!$A$1:$G$1,0))</f>
        <v>M</v>
      </c>
      <c r="N233" s="4">
        <f>INDEX(Products!$A$1:$G$49,MATCH(Orders!$G233,Products!$A$1:$A$49,0),MATCH(Orders!N$1,Products!$A$1:$G$1,0))</f>
        <v>0.2</v>
      </c>
      <c r="O233" s="7">
        <f>INDEX(Products!$A$1:$G$49,MATCH(Orders!$G233,Products!$A$1:$A$49,0),MATCH(Orders!O$1,Products!$A$1:$G$1,0))</f>
        <v>4.3650000000000002</v>
      </c>
      <c r="P233" s="7">
        <f t="shared" si="3"/>
        <v>8.73</v>
      </c>
      <c r="Q233" t="str" cm="1">
        <f t="array" ref="Q233">_xlfn.IFS(L233="Rob","Robusta",L233="Exc", "Excelsa",L233="Ara", "Arabica",L233="Lib", "Liberica")</f>
        <v>Liberica</v>
      </c>
      <c r="R233" t="str" cm="1">
        <f t="array" ref="R233">_xlfn.IFS(M233="M","Medium",M233="L","Light",M233="D","Dark")</f>
        <v>Medium</v>
      </c>
    </row>
    <row r="234" spans="1:18">
      <c r="A234" s="2" t="s">
        <v>526</v>
      </c>
      <c r="B234" s="3">
        <v>44010</v>
      </c>
      <c r="C234" s="9">
        <f>YEAR(Orders_Table[[#This Row],[Order Date]])</f>
        <v>2020</v>
      </c>
      <c r="D234" s="9">
        <f>MONTH(Orders_Table[[#This Row],[Order Date]])</f>
        <v>6</v>
      </c>
      <c r="E234" s="9" t="str" cm="1">
        <f t="array" ref="E2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34" s="2" t="s">
        <v>527</v>
      </c>
      <c r="G234" t="s">
        <v>66</v>
      </c>
      <c r="H234" s="2">
        <v>5</v>
      </c>
      <c r="I234" s="2" t="str" cm="1">
        <f t="array" ref="I234">_xlfn.XLOOKUP(F234,Customers!A233:$A$1001,Customers!B233:$B$1001,"Not Found",0)</f>
        <v>Conny Gheraldi</v>
      </c>
      <c r="J234" s="2" t="str" cm="1">
        <f t="array" ref="J234">IF(_xlfn.XLOOKUP(F234,Customers!A233:$A$1001,Customers!C233:$C$1001,"Not Found",0)=0,"",_xlfn.XLOOKUP(F234,Customers!A233:$A$1001,Customers!C233:$C$1001,"Not Found",0))</f>
        <v>cgheraldi6g@opera.com</v>
      </c>
      <c r="K234" s="2" t="str" cm="1">
        <f t="array" ref="K234">_xlfn.XLOOKUP(F234,Customers!A233:$A$1001,Customers!G233:$G$1001,"Not Found",0)</f>
        <v>United Kingdom</v>
      </c>
      <c r="L234" t="str">
        <f>INDEX(Products!$A$1:$G$49,MATCH(Orders!$G234,Products!$A$1:$A$49,0),MATCH(Orders!L$1,Products!$A$1:$G$1,0))</f>
        <v>Lib</v>
      </c>
      <c r="M234" t="str">
        <f>INDEX(Products!$A$1:$G$49,MATCH(Orders!$G234,Products!$A$1:$A$49,0),MATCH(Orders!M$1,Products!$A$1:$G$1,0))</f>
        <v>L</v>
      </c>
      <c r="N234" s="4">
        <f>INDEX(Products!$A$1:$G$49,MATCH(Orders!$G234,Products!$A$1:$A$49,0),MATCH(Orders!N$1,Products!$A$1:$G$1,0))</f>
        <v>0.2</v>
      </c>
      <c r="O234" s="7">
        <f>INDEX(Products!$A$1:$G$49,MATCH(Orders!$G234,Products!$A$1:$A$49,0),MATCH(Orders!O$1,Products!$A$1:$G$1,0))</f>
        <v>4.7549999999999999</v>
      </c>
      <c r="P234" s="7">
        <f t="shared" si="3"/>
        <v>23.774999999999999</v>
      </c>
      <c r="Q234" t="str" cm="1">
        <f t="array" ref="Q234">_xlfn.IFS(L234="Rob","Robusta",L234="Exc", "Excelsa",L234="Ara", "Arabica",L234="Lib", "Liberica")</f>
        <v>Liberica</v>
      </c>
      <c r="R234" t="str" cm="1">
        <f t="array" ref="R234">_xlfn.IFS(M234="M","Medium",M234="L","Light",M234="D","Dark")</f>
        <v>Light</v>
      </c>
    </row>
    <row r="235" spans="1:18">
      <c r="A235" s="2" t="s">
        <v>528</v>
      </c>
      <c r="B235" s="3">
        <v>44278</v>
      </c>
      <c r="C235" s="9">
        <f>YEAR(Orders_Table[[#This Row],[Order Date]])</f>
        <v>2021</v>
      </c>
      <c r="D235" s="9">
        <f>MONTH(Orders_Table[[#This Row],[Order Date]])</f>
        <v>3</v>
      </c>
      <c r="E235" s="9" t="str" cm="1">
        <f t="array" ref="E2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35" s="2" t="s">
        <v>529</v>
      </c>
      <c r="G235" t="s">
        <v>111</v>
      </c>
      <c r="H235" s="2">
        <v>5</v>
      </c>
      <c r="I235" s="2" t="str" cm="1">
        <f t="array" ref="I235">_xlfn.XLOOKUP(F235,Customers!A234:$A$1001,Customers!B234:$B$1001,"Not Found",0)</f>
        <v>Beryle Kenwell</v>
      </c>
      <c r="J235" s="2" t="str" cm="1">
        <f t="array" ref="J235">IF(_xlfn.XLOOKUP(F235,Customers!A234:$A$1001,Customers!C234:$C$1001,"Not Found",0)=0,"",_xlfn.XLOOKUP(F235,Customers!A234:$A$1001,Customers!C234:$C$1001,"Not Found",0))</f>
        <v>bkenwell6h@over-blog.com</v>
      </c>
      <c r="K235" s="2" t="str" cm="1">
        <f t="array" ref="K235">_xlfn.XLOOKUP(F235,Customers!A234:$A$1001,Customers!G234:$G$1001,"Not Found",0)</f>
        <v>United States</v>
      </c>
      <c r="L235" t="str">
        <f>INDEX(Products!$A$1:$G$49,MATCH(Orders!$G235,Products!$A$1:$A$49,0),MATCH(Orders!L$1,Products!$A$1:$G$1,0))</f>
        <v>Exc</v>
      </c>
      <c r="M235" t="str">
        <f>INDEX(Products!$A$1:$G$49,MATCH(Orders!$G235,Products!$A$1:$A$49,0),MATCH(Orders!M$1,Products!$A$1:$G$1,0))</f>
        <v>M</v>
      </c>
      <c r="N235" s="4">
        <f>INDEX(Products!$A$1:$G$49,MATCH(Orders!$G235,Products!$A$1:$A$49,0),MATCH(Orders!N$1,Products!$A$1:$G$1,0))</f>
        <v>0.2</v>
      </c>
      <c r="O235" s="7">
        <f>INDEX(Products!$A$1:$G$49,MATCH(Orders!$G235,Products!$A$1:$A$49,0),MATCH(Orders!O$1,Products!$A$1:$G$1,0))</f>
        <v>4.125</v>
      </c>
      <c r="P235" s="7">
        <f t="shared" si="3"/>
        <v>20.625</v>
      </c>
      <c r="Q235" t="str" cm="1">
        <f t="array" ref="Q235">_xlfn.IFS(L235="Rob","Robusta",L235="Exc", "Excelsa",L235="Ara", "Arabica",L235="Lib", "Liberica")</f>
        <v>Excelsa</v>
      </c>
      <c r="R235" t="str" cm="1">
        <f t="array" ref="R235">_xlfn.IFS(M235="M","Medium",M235="L","Light",M235="D","Dark")</f>
        <v>Medium</v>
      </c>
    </row>
    <row r="236" spans="1:18">
      <c r="A236" s="2" t="s">
        <v>530</v>
      </c>
      <c r="B236" s="3">
        <v>44602</v>
      </c>
      <c r="C236" s="9">
        <f>YEAR(Orders_Table[[#This Row],[Order Date]])</f>
        <v>2022</v>
      </c>
      <c r="D236" s="9">
        <f>MONTH(Orders_Table[[#This Row],[Order Date]])</f>
        <v>2</v>
      </c>
      <c r="E236" s="9" t="str" cm="1">
        <f t="array" ref="E2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36" s="2" t="s">
        <v>531</v>
      </c>
      <c r="G236" t="s">
        <v>151</v>
      </c>
      <c r="H236" s="2">
        <v>1</v>
      </c>
      <c r="I236" s="2" t="str" cm="1">
        <f t="array" ref="I236">_xlfn.XLOOKUP(F236,Customers!A235:$A$1001,Customers!B235:$B$1001,"Not Found",0)</f>
        <v>Tomas Sutty</v>
      </c>
      <c r="J236" s="2" t="str" cm="1">
        <f t="array" ref="J236">IF(_xlfn.XLOOKUP(F236,Customers!A235:$A$1001,Customers!C235:$C$1001,"Not Found",0)=0,"",_xlfn.XLOOKUP(F236,Customers!A235:$A$1001,Customers!C235:$C$1001,"Not Found",0))</f>
        <v>tsutty6i@google.es</v>
      </c>
      <c r="K236" s="2" t="str" cm="1">
        <f t="array" ref="K236">_xlfn.XLOOKUP(F236,Customers!A235:$A$1001,Customers!G235:$G$1001,"Not Found",0)</f>
        <v>United States</v>
      </c>
      <c r="L236" t="str">
        <f>INDEX(Products!$A$1:$G$49,MATCH(Orders!$G236,Products!$A$1:$A$49,0),MATCH(Orders!L$1,Products!$A$1:$G$1,0))</f>
        <v>Lib</v>
      </c>
      <c r="M236" t="str">
        <f>INDEX(Products!$A$1:$G$49,MATCH(Orders!$G236,Products!$A$1:$A$49,0),MATCH(Orders!M$1,Products!$A$1:$G$1,0))</f>
        <v>L</v>
      </c>
      <c r="N236" s="4">
        <f>INDEX(Products!$A$1:$G$49,MATCH(Orders!$G236,Products!$A$1:$A$49,0),MATCH(Orders!N$1,Products!$A$1:$G$1,0))</f>
        <v>2.5</v>
      </c>
      <c r="O236" s="7">
        <f>INDEX(Products!$A$1:$G$49,MATCH(Orders!$G236,Products!$A$1:$A$49,0),MATCH(Orders!O$1,Products!$A$1:$G$1,0))</f>
        <v>36.454999999999998</v>
      </c>
      <c r="P236" s="7">
        <f t="shared" si="3"/>
        <v>36.454999999999998</v>
      </c>
      <c r="Q236" t="str" cm="1">
        <f t="array" ref="Q236">_xlfn.IFS(L236="Rob","Robusta",L236="Exc", "Excelsa",L236="Ara", "Arabica",L236="Lib", "Liberica")</f>
        <v>Liberica</v>
      </c>
      <c r="R236" t="str" cm="1">
        <f t="array" ref="R236">_xlfn.IFS(M236="M","Medium",M236="L","Light",M236="D","Dark")</f>
        <v>Light</v>
      </c>
    </row>
    <row r="237" spans="1:18">
      <c r="A237" s="2" t="s">
        <v>532</v>
      </c>
      <c r="B237" s="3">
        <v>43571</v>
      </c>
      <c r="C237" s="9">
        <f>YEAR(Orders_Table[[#This Row],[Order Date]])</f>
        <v>2019</v>
      </c>
      <c r="D237" s="9">
        <f>MONTH(Orders_Table[[#This Row],[Order Date]])</f>
        <v>4</v>
      </c>
      <c r="E237" s="9" t="str" cm="1">
        <f t="array" ref="E2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37" s="2" t="s">
        <v>533</v>
      </c>
      <c r="G237" t="s">
        <v>151</v>
      </c>
      <c r="H237" s="2">
        <v>5</v>
      </c>
      <c r="I237" s="2" t="str" cm="1">
        <f t="array" ref="I237">_xlfn.XLOOKUP(F237,Customers!A236:$A$1001,Customers!B236:$B$1001,"Not Found",0)</f>
        <v>Samuele Ales0</v>
      </c>
      <c r="J237" s="2" t="str" cm="1">
        <f t="array" ref="J237">IF(_xlfn.XLOOKUP(F237,Customers!A236:$A$1001,Customers!C236:$C$1001,"Not Found",0)=0,"",_xlfn.XLOOKUP(F237,Customers!A236:$A$1001,Customers!C236:$C$1001,"Not Found",0))</f>
        <v/>
      </c>
      <c r="K237" s="2" t="str" cm="1">
        <f t="array" ref="K237">_xlfn.XLOOKUP(F237,Customers!A236:$A$1001,Customers!G236:$G$1001,"Not Found",0)</f>
        <v>Ireland</v>
      </c>
      <c r="L237" t="str">
        <f>INDEX(Products!$A$1:$G$49,MATCH(Orders!$G237,Products!$A$1:$A$49,0),MATCH(Orders!L$1,Products!$A$1:$G$1,0))</f>
        <v>Lib</v>
      </c>
      <c r="M237" t="str">
        <f>INDEX(Products!$A$1:$G$49,MATCH(Orders!$G237,Products!$A$1:$A$49,0),MATCH(Orders!M$1,Products!$A$1:$G$1,0))</f>
        <v>L</v>
      </c>
      <c r="N237" s="4">
        <f>INDEX(Products!$A$1:$G$49,MATCH(Orders!$G237,Products!$A$1:$A$49,0),MATCH(Orders!N$1,Products!$A$1:$G$1,0))</f>
        <v>2.5</v>
      </c>
      <c r="O237" s="7">
        <f>INDEX(Products!$A$1:$G$49,MATCH(Orders!$G237,Products!$A$1:$A$49,0),MATCH(Orders!O$1,Products!$A$1:$G$1,0))</f>
        <v>36.454999999999998</v>
      </c>
      <c r="P237" s="7">
        <f t="shared" si="3"/>
        <v>182.27499999999998</v>
      </c>
      <c r="Q237" t="str" cm="1">
        <f t="array" ref="Q237">_xlfn.IFS(L237="Rob","Robusta",L237="Exc", "Excelsa",L237="Ara", "Arabica",L237="Lib", "Liberica")</f>
        <v>Liberica</v>
      </c>
      <c r="R237" t="str" cm="1">
        <f t="array" ref="R237">_xlfn.IFS(M237="M","Medium",M237="L","Light",M237="D","Dark")</f>
        <v>Light</v>
      </c>
    </row>
    <row r="238" spans="1:18">
      <c r="A238" s="2" t="s">
        <v>534</v>
      </c>
      <c r="B238" s="3">
        <v>43873</v>
      </c>
      <c r="C238" s="9">
        <f>YEAR(Orders_Table[[#This Row],[Order Date]])</f>
        <v>2020</v>
      </c>
      <c r="D238" s="9">
        <f>MONTH(Orders_Table[[#This Row],[Order Date]])</f>
        <v>2</v>
      </c>
      <c r="E238" s="9" t="str" cm="1">
        <f t="array" ref="E2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38" s="2" t="s">
        <v>535</v>
      </c>
      <c r="G238" t="s">
        <v>156</v>
      </c>
      <c r="H238" s="2">
        <v>3</v>
      </c>
      <c r="I238" s="2" t="str" cm="1">
        <f t="array" ref="I238">_xlfn.XLOOKUP(F238,Customers!A237:$A$1001,Customers!B237:$B$1001,"Not Found",0)</f>
        <v>Carlie Harce</v>
      </c>
      <c r="J238" s="2" t="str" cm="1">
        <f t="array" ref="J238">IF(_xlfn.XLOOKUP(F238,Customers!A237:$A$1001,Customers!C237:$C$1001,"Not Found",0)=0,"",_xlfn.XLOOKUP(F238,Customers!A237:$A$1001,Customers!C237:$C$1001,"Not Found",0))</f>
        <v>charce6k@cafepress.com</v>
      </c>
      <c r="K238" s="2" t="str" cm="1">
        <f t="array" ref="K238">_xlfn.XLOOKUP(F238,Customers!A237:$A$1001,Customers!G237:$G$1001,"Not Found",0)</f>
        <v>Ireland</v>
      </c>
      <c r="L238" t="str">
        <f>INDEX(Products!$A$1:$G$49,MATCH(Orders!$G238,Products!$A$1:$A$49,0),MATCH(Orders!L$1,Products!$A$1:$G$1,0))</f>
        <v>Lib</v>
      </c>
      <c r="M238" t="str">
        <f>INDEX(Products!$A$1:$G$49,MATCH(Orders!$G238,Products!$A$1:$A$49,0),MATCH(Orders!M$1,Products!$A$1:$G$1,0))</f>
        <v>D</v>
      </c>
      <c r="N238" s="4">
        <f>INDEX(Products!$A$1:$G$49,MATCH(Orders!$G238,Products!$A$1:$A$49,0),MATCH(Orders!N$1,Products!$A$1:$G$1,0))</f>
        <v>2.5</v>
      </c>
      <c r="O238" s="7">
        <f>INDEX(Products!$A$1:$G$49,MATCH(Orders!$G238,Products!$A$1:$A$49,0),MATCH(Orders!O$1,Products!$A$1:$G$1,0))</f>
        <v>29.784999999999997</v>
      </c>
      <c r="P238" s="7">
        <f t="shared" si="3"/>
        <v>89.35499999999999</v>
      </c>
      <c r="Q238" t="str" cm="1">
        <f t="array" ref="Q238">_xlfn.IFS(L238="Rob","Robusta",L238="Exc", "Excelsa",L238="Ara", "Arabica",L238="Lib", "Liberica")</f>
        <v>Liberica</v>
      </c>
      <c r="R238" t="str" cm="1">
        <f t="array" ref="R238">_xlfn.IFS(M238="M","Medium",M238="L","Light",M238="D","Dark")</f>
        <v>Dark</v>
      </c>
    </row>
    <row r="239" spans="1:18">
      <c r="A239" s="2" t="s">
        <v>536</v>
      </c>
      <c r="B239" s="3">
        <v>44563</v>
      </c>
      <c r="C239" s="9">
        <f>YEAR(Orders_Table[[#This Row],[Order Date]])</f>
        <v>2022</v>
      </c>
      <c r="D239" s="9">
        <f>MONTH(Orders_Table[[#This Row],[Order Date]])</f>
        <v>1</v>
      </c>
      <c r="E239" s="9" t="str" cm="1">
        <f t="array" ref="E2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39" s="2" t="s">
        <v>537</v>
      </c>
      <c r="G239" t="s">
        <v>229</v>
      </c>
      <c r="H239" s="2">
        <v>1</v>
      </c>
      <c r="I239" s="2" t="str" cm="1">
        <f t="array" ref="I239">_xlfn.XLOOKUP(F239,Customers!A238:$A$1001,Customers!B238:$B$1001,"Not Found",0)</f>
        <v>Craggy Bril</v>
      </c>
      <c r="J239" s="2" t="str" cm="1">
        <f t="array" ref="J239">IF(_xlfn.XLOOKUP(F239,Customers!A238:$A$1001,Customers!C238:$C$1001,"Not Found",0)=0,"",_xlfn.XLOOKUP(F239,Customers!A238:$A$1001,Customers!C238:$C$1001,"Not Found",0))</f>
        <v/>
      </c>
      <c r="K239" s="2" t="str" cm="1">
        <f t="array" ref="K239">_xlfn.XLOOKUP(F239,Customers!A238:$A$1001,Customers!G238:$G$1001,"Not Found",0)</f>
        <v>United States</v>
      </c>
      <c r="L239" t="str">
        <f>INDEX(Products!$A$1:$G$49,MATCH(Orders!$G239,Products!$A$1:$A$49,0),MATCH(Orders!L$1,Products!$A$1:$G$1,0))</f>
        <v>Rob</v>
      </c>
      <c r="M239" t="str">
        <f>INDEX(Products!$A$1:$G$49,MATCH(Orders!$G239,Products!$A$1:$A$49,0),MATCH(Orders!M$1,Products!$A$1:$G$1,0))</f>
        <v>L</v>
      </c>
      <c r="N239" s="4">
        <f>INDEX(Products!$A$1:$G$49,MATCH(Orders!$G239,Products!$A$1:$A$49,0),MATCH(Orders!N$1,Products!$A$1:$G$1,0))</f>
        <v>0.2</v>
      </c>
      <c r="O239" s="7">
        <f>INDEX(Products!$A$1:$G$49,MATCH(Orders!$G239,Products!$A$1:$A$49,0),MATCH(Orders!O$1,Products!$A$1:$G$1,0))</f>
        <v>3.5849999999999995</v>
      </c>
      <c r="P239" s="7">
        <f t="shared" si="3"/>
        <v>3.5849999999999995</v>
      </c>
      <c r="Q239" t="str" cm="1">
        <f t="array" ref="Q239">_xlfn.IFS(L239="Rob","Robusta",L239="Exc", "Excelsa",L239="Ara", "Arabica",L239="Lib", "Liberica")</f>
        <v>Robusta</v>
      </c>
      <c r="R239" t="str" cm="1">
        <f t="array" ref="R239">_xlfn.IFS(M239="M","Medium",M239="L","Light",M239="D","Dark")</f>
        <v>Light</v>
      </c>
    </row>
    <row r="240" spans="1:18">
      <c r="A240" s="2" t="s">
        <v>538</v>
      </c>
      <c r="B240" s="3">
        <v>44172</v>
      </c>
      <c r="C240" s="9">
        <f>YEAR(Orders_Table[[#This Row],[Order Date]])</f>
        <v>2020</v>
      </c>
      <c r="D240" s="9">
        <f>MONTH(Orders_Table[[#This Row],[Order Date]])</f>
        <v>12</v>
      </c>
      <c r="E240" s="9" t="str" cm="1">
        <f t="array" ref="E2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40" s="2" t="s">
        <v>539</v>
      </c>
      <c r="G240" t="s">
        <v>88</v>
      </c>
      <c r="H240" s="2">
        <v>2</v>
      </c>
      <c r="I240" s="2" t="str" cm="1">
        <f t="array" ref="I240">_xlfn.XLOOKUP(F240,Customers!A239:$A$1001,Customers!B239:$B$1001,"Not Found",0)</f>
        <v>Friederike Drysdale</v>
      </c>
      <c r="J240" s="2" t="str" cm="1">
        <f t="array" ref="J240">IF(_xlfn.XLOOKUP(F240,Customers!A239:$A$1001,Customers!C239:$C$1001,"Not Found",0)=0,"",_xlfn.XLOOKUP(F240,Customers!A239:$A$1001,Customers!C239:$C$1001,"Not Found",0))</f>
        <v>fdrysdale6m@symantec.com</v>
      </c>
      <c r="K240" s="2" t="str" cm="1">
        <f t="array" ref="K240">_xlfn.XLOOKUP(F240,Customers!A239:$A$1001,Customers!G239:$G$1001,"Not Found",0)</f>
        <v>United States</v>
      </c>
      <c r="L240" t="str">
        <f>INDEX(Products!$A$1:$G$49,MATCH(Orders!$G240,Products!$A$1:$A$49,0),MATCH(Orders!L$1,Products!$A$1:$G$1,0))</f>
        <v>Rob</v>
      </c>
      <c r="M240" t="str">
        <f>INDEX(Products!$A$1:$G$49,MATCH(Orders!$G240,Products!$A$1:$A$49,0),MATCH(Orders!M$1,Products!$A$1:$G$1,0))</f>
        <v>M</v>
      </c>
      <c r="N240" s="4">
        <f>INDEX(Products!$A$1:$G$49,MATCH(Orders!$G240,Products!$A$1:$A$49,0),MATCH(Orders!N$1,Products!$A$1:$G$1,0))</f>
        <v>2.5</v>
      </c>
      <c r="O240" s="7">
        <f>INDEX(Products!$A$1:$G$49,MATCH(Orders!$G240,Products!$A$1:$A$49,0),MATCH(Orders!O$1,Products!$A$1:$G$1,0))</f>
        <v>22.884999999999998</v>
      </c>
      <c r="P240" s="7">
        <f t="shared" si="3"/>
        <v>45.769999999999996</v>
      </c>
      <c r="Q240" t="str" cm="1">
        <f t="array" ref="Q240">_xlfn.IFS(L240="Rob","Robusta",L240="Exc", "Excelsa",L240="Ara", "Arabica",L240="Lib", "Liberica")</f>
        <v>Robusta</v>
      </c>
      <c r="R240" t="str" cm="1">
        <f t="array" ref="R240">_xlfn.IFS(M240="M","Medium",M240="L","Light",M240="D","Dark")</f>
        <v>Medium</v>
      </c>
    </row>
    <row r="241" spans="1:18">
      <c r="A241" s="2" t="s">
        <v>540</v>
      </c>
      <c r="B241" s="3">
        <v>43881</v>
      </c>
      <c r="C241" s="9">
        <f>YEAR(Orders_Table[[#This Row],[Order Date]])</f>
        <v>2020</v>
      </c>
      <c r="D241" s="9">
        <f>MONTH(Orders_Table[[#This Row],[Order Date]])</f>
        <v>2</v>
      </c>
      <c r="E241" s="9" t="str" cm="1">
        <f t="array" ref="E2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41" s="2" t="s">
        <v>541</v>
      </c>
      <c r="G241" t="s">
        <v>184</v>
      </c>
      <c r="H241" s="2">
        <v>4</v>
      </c>
      <c r="I241" s="2" t="str" cm="1">
        <f t="array" ref="I241">_xlfn.XLOOKUP(F241,Customers!A240:$A$1001,Customers!B240:$B$1001,"Not Found",0)</f>
        <v>Devon Magowan</v>
      </c>
      <c r="J241" s="2" t="str" cm="1">
        <f t="array" ref="J241">IF(_xlfn.XLOOKUP(F241,Customers!A240:$A$1001,Customers!C240:$C$1001,"Not Found",0)=0,"",_xlfn.XLOOKUP(F241,Customers!A240:$A$1001,Customers!C240:$C$1001,"Not Found",0))</f>
        <v>dmagowan6n@fc2.com</v>
      </c>
      <c r="K241" s="2" t="str" cm="1">
        <f t="array" ref="K241">_xlfn.XLOOKUP(F241,Customers!A240:$A$1001,Customers!G240:$G$1001,"Not Found",0)</f>
        <v>United States</v>
      </c>
      <c r="L241" t="str">
        <f>INDEX(Products!$A$1:$G$49,MATCH(Orders!$G241,Products!$A$1:$A$49,0),MATCH(Orders!L$1,Products!$A$1:$G$1,0))</f>
        <v>Exc</v>
      </c>
      <c r="M241" t="str">
        <f>INDEX(Products!$A$1:$G$49,MATCH(Orders!$G241,Products!$A$1:$A$49,0),MATCH(Orders!M$1,Products!$A$1:$G$1,0))</f>
        <v>L</v>
      </c>
      <c r="N241" s="4">
        <f>INDEX(Products!$A$1:$G$49,MATCH(Orders!$G241,Products!$A$1:$A$49,0),MATCH(Orders!N$1,Products!$A$1:$G$1,0))</f>
        <v>1</v>
      </c>
      <c r="O241" s="7">
        <f>INDEX(Products!$A$1:$G$49,MATCH(Orders!$G241,Products!$A$1:$A$49,0),MATCH(Orders!O$1,Products!$A$1:$G$1,0))</f>
        <v>14.85</v>
      </c>
      <c r="P241" s="7">
        <f t="shared" si="3"/>
        <v>59.4</v>
      </c>
      <c r="Q241" t="str" cm="1">
        <f t="array" ref="Q241">_xlfn.IFS(L241="Rob","Robusta",L241="Exc", "Excelsa",L241="Ara", "Arabica",L241="Lib", "Liberica")</f>
        <v>Excelsa</v>
      </c>
      <c r="R241" t="str" cm="1">
        <f t="array" ref="R241">_xlfn.IFS(M241="M","Medium",M241="L","Light",M241="D","Dark")</f>
        <v>Light</v>
      </c>
    </row>
    <row r="242" spans="1:18">
      <c r="A242" s="2" t="s">
        <v>542</v>
      </c>
      <c r="B242" s="3">
        <v>43993</v>
      </c>
      <c r="C242" s="9">
        <f>YEAR(Orders_Table[[#This Row],[Order Date]])</f>
        <v>2020</v>
      </c>
      <c r="D242" s="9">
        <f>MONTH(Orders_Table[[#This Row],[Order Date]])</f>
        <v>6</v>
      </c>
      <c r="E242" s="9" t="str" cm="1">
        <f t="array" ref="E2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42" s="2" t="s">
        <v>543</v>
      </c>
      <c r="G242" t="s">
        <v>218</v>
      </c>
      <c r="H242" s="2">
        <v>6</v>
      </c>
      <c r="I242" s="2" t="str" cm="1">
        <f t="array" ref="I242">_xlfn.XLOOKUP(F242,Customers!A241:$A$1001,Customers!B241:$B$1001,"Not Found",0)</f>
        <v>Codi Littrell</v>
      </c>
      <c r="J242" s="2" t="str" cm="1">
        <f t="array" ref="J242">IF(_xlfn.XLOOKUP(F242,Customers!A241:$A$1001,Customers!C241:$C$1001,"Not Found",0)=0,"",_xlfn.XLOOKUP(F242,Customers!A241:$A$1001,Customers!C241:$C$1001,"Not Found",0))</f>
        <v/>
      </c>
      <c r="K242" s="2" t="str" cm="1">
        <f t="array" ref="K242">_xlfn.XLOOKUP(F242,Customers!A241:$A$1001,Customers!G241:$G$1001,"Not Found",0)</f>
        <v>United States</v>
      </c>
      <c r="L242" t="str">
        <f>INDEX(Products!$A$1:$G$49,MATCH(Orders!$G242,Products!$A$1:$A$49,0),MATCH(Orders!L$1,Products!$A$1:$G$1,0))</f>
        <v>Ara</v>
      </c>
      <c r="M242" t="str">
        <f>INDEX(Products!$A$1:$G$49,MATCH(Orders!$G242,Products!$A$1:$A$49,0),MATCH(Orders!M$1,Products!$A$1:$G$1,0))</f>
        <v>M</v>
      </c>
      <c r="N242" s="4">
        <f>INDEX(Products!$A$1:$G$49,MATCH(Orders!$G242,Products!$A$1:$A$49,0),MATCH(Orders!N$1,Products!$A$1:$G$1,0))</f>
        <v>2.5</v>
      </c>
      <c r="O242" s="7">
        <f>INDEX(Products!$A$1:$G$49,MATCH(Orders!$G242,Products!$A$1:$A$49,0),MATCH(Orders!O$1,Products!$A$1:$G$1,0))</f>
        <v>25.874999999999996</v>
      </c>
      <c r="P242" s="7">
        <f t="shared" si="3"/>
        <v>155.24999999999997</v>
      </c>
      <c r="Q242" t="str" cm="1">
        <f t="array" ref="Q242">_xlfn.IFS(L242="Rob","Robusta",L242="Exc", "Excelsa",L242="Ara", "Arabica",L242="Lib", "Liberica")</f>
        <v>Arabica</v>
      </c>
      <c r="R242" t="str" cm="1">
        <f t="array" ref="R242">_xlfn.IFS(M242="M","Medium",M242="L","Light",M242="D","Dark")</f>
        <v>Medium</v>
      </c>
    </row>
    <row r="243" spans="1:18">
      <c r="A243" s="2" t="s">
        <v>544</v>
      </c>
      <c r="B243" s="3">
        <v>44082</v>
      </c>
      <c r="C243" s="9">
        <f>YEAR(Orders_Table[[#This Row],[Order Date]])</f>
        <v>2020</v>
      </c>
      <c r="D243" s="9">
        <f>MONTH(Orders_Table[[#This Row],[Order Date]])</f>
        <v>9</v>
      </c>
      <c r="E243" s="9" t="str" cm="1">
        <f t="array" ref="E2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243" s="2" t="s">
        <v>545</v>
      </c>
      <c r="G243" t="s">
        <v>88</v>
      </c>
      <c r="H243" s="2">
        <v>2</v>
      </c>
      <c r="I243" s="2" t="str" cm="1">
        <f t="array" ref="I243">_xlfn.XLOOKUP(F243,Customers!A242:$A$1001,Customers!B242:$B$1001,"Not Found",0)</f>
        <v>Christel Speak</v>
      </c>
      <c r="J243" s="2" t="str" cm="1">
        <f t="array" ref="J243">IF(_xlfn.XLOOKUP(F243,Customers!A242:$A$1001,Customers!C242:$C$1001,"Not Found",0)=0,"",_xlfn.XLOOKUP(F243,Customers!A242:$A$1001,Customers!C242:$C$1001,"Not Found",0))</f>
        <v/>
      </c>
      <c r="K243" s="2" t="str" cm="1">
        <f t="array" ref="K243">_xlfn.XLOOKUP(F243,Customers!A242:$A$1001,Customers!G242:$G$1001,"Not Found",0)</f>
        <v>United States</v>
      </c>
      <c r="L243" t="str">
        <f>INDEX(Products!$A$1:$G$49,MATCH(Orders!$G243,Products!$A$1:$A$49,0),MATCH(Orders!L$1,Products!$A$1:$G$1,0))</f>
        <v>Rob</v>
      </c>
      <c r="M243" t="str">
        <f>INDEX(Products!$A$1:$G$49,MATCH(Orders!$G243,Products!$A$1:$A$49,0),MATCH(Orders!M$1,Products!$A$1:$G$1,0))</f>
        <v>M</v>
      </c>
      <c r="N243" s="4">
        <f>INDEX(Products!$A$1:$G$49,MATCH(Orders!$G243,Products!$A$1:$A$49,0),MATCH(Orders!N$1,Products!$A$1:$G$1,0))</f>
        <v>2.5</v>
      </c>
      <c r="O243" s="7">
        <f>INDEX(Products!$A$1:$G$49,MATCH(Orders!$G243,Products!$A$1:$A$49,0),MATCH(Orders!O$1,Products!$A$1:$G$1,0))</f>
        <v>22.884999999999998</v>
      </c>
      <c r="P243" s="7">
        <f t="shared" si="3"/>
        <v>45.769999999999996</v>
      </c>
      <c r="Q243" t="str" cm="1">
        <f t="array" ref="Q243">_xlfn.IFS(L243="Rob","Robusta",L243="Exc", "Excelsa",L243="Ara", "Arabica",L243="Lib", "Liberica")</f>
        <v>Robusta</v>
      </c>
      <c r="R243" t="str" cm="1">
        <f t="array" ref="R243">_xlfn.IFS(M243="M","Medium",M243="L","Light",M243="D","Dark")</f>
        <v>Medium</v>
      </c>
    </row>
    <row r="244" spans="1:18">
      <c r="A244" s="2" t="s">
        <v>546</v>
      </c>
      <c r="B244" s="3">
        <v>43918</v>
      </c>
      <c r="C244" s="9">
        <f>YEAR(Orders_Table[[#This Row],[Order Date]])</f>
        <v>2020</v>
      </c>
      <c r="D244" s="9">
        <f>MONTH(Orders_Table[[#This Row],[Order Date]])</f>
        <v>3</v>
      </c>
      <c r="E244" s="9" t="str" cm="1">
        <f t="array" ref="E2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44" s="2" t="s">
        <v>547</v>
      </c>
      <c r="G244" t="s">
        <v>292</v>
      </c>
      <c r="H244" s="2">
        <v>3</v>
      </c>
      <c r="I244" s="2" t="str" cm="1">
        <f t="array" ref="I244">_xlfn.XLOOKUP(F244,Customers!A243:$A$1001,Customers!B243:$B$1001,"Not Found",0)</f>
        <v>Sibella Rushbrooke</v>
      </c>
      <c r="J244" s="2" t="str" cm="1">
        <f t="array" ref="J244">IF(_xlfn.XLOOKUP(F244,Customers!A243:$A$1001,Customers!C243:$C$1001,"Not Found",0)=0,"",_xlfn.XLOOKUP(F244,Customers!A243:$A$1001,Customers!C243:$C$1001,"Not Found",0))</f>
        <v>srushbrooke6q@youku.com</v>
      </c>
      <c r="K244" s="2" t="str" cm="1">
        <f t="array" ref="K244">_xlfn.XLOOKUP(F244,Customers!A243:$A$1001,Customers!G243:$G$1001,"Not Found",0)</f>
        <v>United States</v>
      </c>
      <c r="L244" t="str">
        <f>INDEX(Products!$A$1:$G$49,MATCH(Orders!$G244,Products!$A$1:$A$49,0),MATCH(Orders!L$1,Products!$A$1:$G$1,0))</f>
        <v>Exc</v>
      </c>
      <c r="M244" t="str">
        <f>INDEX(Products!$A$1:$G$49,MATCH(Orders!$G244,Products!$A$1:$A$49,0),MATCH(Orders!M$1,Products!$A$1:$G$1,0))</f>
        <v>D</v>
      </c>
      <c r="N244" s="4">
        <f>INDEX(Products!$A$1:$G$49,MATCH(Orders!$G244,Products!$A$1:$A$49,0),MATCH(Orders!N$1,Products!$A$1:$G$1,0))</f>
        <v>1</v>
      </c>
      <c r="O244" s="7">
        <f>INDEX(Products!$A$1:$G$49,MATCH(Orders!$G244,Products!$A$1:$A$49,0),MATCH(Orders!O$1,Products!$A$1:$G$1,0))</f>
        <v>12.15</v>
      </c>
      <c r="P244" s="7">
        <f t="shared" si="3"/>
        <v>36.450000000000003</v>
      </c>
      <c r="Q244" t="str" cm="1">
        <f t="array" ref="Q244">_xlfn.IFS(L244="Rob","Robusta",L244="Exc", "Excelsa",L244="Ara", "Arabica",L244="Lib", "Liberica")</f>
        <v>Excelsa</v>
      </c>
      <c r="R244" t="str" cm="1">
        <f t="array" ref="R244">_xlfn.IFS(M244="M","Medium",M244="L","Light",M244="D","Dark")</f>
        <v>Dark</v>
      </c>
    </row>
    <row r="245" spans="1:18">
      <c r="A245" s="2" t="s">
        <v>548</v>
      </c>
      <c r="B245" s="3">
        <v>44114</v>
      </c>
      <c r="C245" s="9">
        <f>YEAR(Orders_Table[[#This Row],[Order Date]])</f>
        <v>2020</v>
      </c>
      <c r="D245" s="9">
        <f>MONTH(Orders_Table[[#This Row],[Order Date]])</f>
        <v>10</v>
      </c>
      <c r="E245" s="9" t="str" cm="1">
        <f t="array" ref="E2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45" s="2" t="s">
        <v>549</v>
      </c>
      <c r="G245" t="s">
        <v>63</v>
      </c>
      <c r="H245" s="2">
        <v>4</v>
      </c>
      <c r="I245" s="2" t="str" cm="1">
        <f t="array" ref="I245">_xlfn.XLOOKUP(F245,Customers!A244:$A$1001,Customers!B244:$B$1001,"Not Found",0)</f>
        <v>Tammie Drynan</v>
      </c>
      <c r="J245" s="2" t="str" cm="1">
        <f t="array" ref="J245">IF(_xlfn.XLOOKUP(F245,Customers!A244:$A$1001,Customers!C244:$C$1001,"Not Found",0)=0,"",_xlfn.XLOOKUP(F245,Customers!A244:$A$1001,Customers!C244:$C$1001,"Not Found",0))</f>
        <v>tdrynan6r@deviantart.com</v>
      </c>
      <c r="K245" s="2" t="str" cm="1">
        <f t="array" ref="K245">_xlfn.XLOOKUP(F245,Customers!A244:$A$1001,Customers!G244:$G$1001,"Not Found",0)</f>
        <v>United States</v>
      </c>
      <c r="L245" t="str">
        <f>INDEX(Products!$A$1:$G$49,MATCH(Orders!$G245,Products!$A$1:$A$49,0),MATCH(Orders!L$1,Products!$A$1:$G$1,0))</f>
        <v>Exc</v>
      </c>
      <c r="M245" t="str">
        <f>INDEX(Products!$A$1:$G$49,MATCH(Orders!$G245,Products!$A$1:$A$49,0),MATCH(Orders!M$1,Products!$A$1:$G$1,0))</f>
        <v>D</v>
      </c>
      <c r="N245" s="4">
        <f>INDEX(Products!$A$1:$G$49,MATCH(Orders!$G245,Products!$A$1:$A$49,0),MATCH(Orders!N$1,Products!$A$1:$G$1,0))</f>
        <v>0.5</v>
      </c>
      <c r="O245" s="7">
        <f>INDEX(Products!$A$1:$G$49,MATCH(Orders!$G245,Products!$A$1:$A$49,0),MATCH(Orders!O$1,Products!$A$1:$G$1,0))</f>
        <v>7.29</v>
      </c>
      <c r="P245" s="7">
        <f t="shared" si="3"/>
        <v>29.16</v>
      </c>
      <c r="Q245" t="str" cm="1">
        <f t="array" ref="Q245">_xlfn.IFS(L245="Rob","Robusta",L245="Exc", "Excelsa",L245="Ara", "Arabica",L245="Lib", "Liberica")</f>
        <v>Excelsa</v>
      </c>
      <c r="R245" t="str" cm="1">
        <f t="array" ref="R245">_xlfn.IFS(M245="M","Medium",M245="L","Light",M245="D","Dark")</f>
        <v>Dark</v>
      </c>
    </row>
    <row r="246" spans="1:18">
      <c r="A246" s="2" t="s">
        <v>550</v>
      </c>
      <c r="B246" s="3">
        <v>44702</v>
      </c>
      <c r="C246" s="9">
        <f>YEAR(Orders_Table[[#This Row],[Order Date]])</f>
        <v>2022</v>
      </c>
      <c r="D246" s="9">
        <f>MONTH(Orders_Table[[#This Row],[Order Date]])</f>
        <v>5</v>
      </c>
      <c r="E246" s="9" t="str" cm="1">
        <f t="array" ref="E2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46" s="2" t="s">
        <v>551</v>
      </c>
      <c r="G246" t="s">
        <v>244</v>
      </c>
      <c r="H246" s="2">
        <v>4</v>
      </c>
      <c r="I246" s="2" t="str" cm="1">
        <f t="array" ref="I246">_xlfn.XLOOKUP(F246,Customers!A245:$A$1001,Customers!B245:$B$1001,"Not Found",0)</f>
        <v>Effie Yurkov</v>
      </c>
      <c r="J246" s="2" t="str" cm="1">
        <f t="array" ref="J246">IF(_xlfn.XLOOKUP(F246,Customers!A245:$A$1001,Customers!C245:$C$1001,"Not Found",0)=0,"",_xlfn.XLOOKUP(F246,Customers!A245:$A$1001,Customers!C245:$C$1001,"Not Found",0))</f>
        <v>eyurkov6s@hud.gov</v>
      </c>
      <c r="K246" s="2" t="str" cm="1">
        <f t="array" ref="K246">_xlfn.XLOOKUP(F246,Customers!A245:$A$1001,Customers!G245:$G$1001,"Not Found",0)</f>
        <v>United States</v>
      </c>
      <c r="L246" t="str">
        <f>INDEX(Products!$A$1:$G$49,MATCH(Orders!$G246,Products!$A$1:$A$49,0),MATCH(Orders!L$1,Products!$A$1:$G$1,0))</f>
        <v>Lib</v>
      </c>
      <c r="M246" t="str">
        <f>INDEX(Products!$A$1:$G$49,MATCH(Orders!$G246,Products!$A$1:$A$49,0),MATCH(Orders!M$1,Products!$A$1:$G$1,0))</f>
        <v>M</v>
      </c>
      <c r="N246" s="4">
        <f>INDEX(Products!$A$1:$G$49,MATCH(Orders!$G246,Products!$A$1:$A$49,0),MATCH(Orders!N$1,Products!$A$1:$G$1,0))</f>
        <v>2.5</v>
      </c>
      <c r="O246" s="7">
        <f>INDEX(Products!$A$1:$G$49,MATCH(Orders!$G246,Products!$A$1:$A$49,0),MATCH(Orders!O$1,Products!$A$1:$G$1,0))</f>
        <v>33.464999999999996</v>
      </c>
      <c r="P246" s="7">
        <f t="shared" si="3"/>
        <v>133.85999999999999</v>
      </c>
      <c r="Q246" t="str" cm="1">
        <f t="array" ref="Q246">_xlfn.IFS(L246="Rob","Robusta",L246="Exc", "Excelsa",L246="Ara", "Arabica",L246="Lib", "Liberica")</f>
        <v>Liberica</v>
      </c>
      <c r="R246" t="str" cm="1">
        <f t="array" ref="R246">_xlfn.IFS(M246="M","Medium",M246="L","Light",M246="D","Dark")</f>
        <v>Medium</v>
      </c>
    </row>
    <row r="247" spans="1:18">
      <c r="A247" s="2" t="s">
        <v>552</v>
      </c>
      <c r="B247" s="3">
        <v>43951</v>
      </c>
      <c r="C247" s="9">
        <f>YEAR(Orders_Table[[#This Row],[Order Date]])</f>
        <v>2020</v>
      </c>
      <c r="D247" s="9">
        <f>MONTH(Orders_Table[[#This Row],[Order Date]])</f>
        <v>4</v>
      </c>
      <c r="E247" s="9" t="str" cm="1">
        <f t="array" ref="E2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47" s="2" t="s">
        <v>553</v>
      </c>
      <c r="G247" t="s">
        <v>66</v>
      </c>
      <c r="H247" s="2">
        <v>5</v>
      </c>
      <c r="I247" s="2" t="str" cm="1">
        <f t="array" ref="I247">_xlfn.XLOOKUP(F247,Customers!A246:$A$1001,Customers!B246:$B$1001,"Not Found",0)</f>
        <v>Lexie Mallan</v>
      </c>
      <c r="J247" s="2" t="str" cm="1">
        <f t="array" ref="J247">IF(_xlfn.XLOOKUP(F247,Customers!A246:$A$1001,Customers!C246:$C$1001,"Not Found",0)=0,"",_xlfn.XLOOKUP(F247,Customers!A246:$A$1001,Customers!C246:$C$1001,"Not Found",0))</f>
        <v>lmallan6t@state.gov</v>
      </c>
      <c r="K247" s="2" t="str" cm="1">
        <f t="array" ref="K247">_xlfn.XLOOKUP(F247,Customers!A246:$A$1001,Customers!G246:$G$1001,"Not Found",0)</f>
        <v>United States</v>
      </c>
      <c r="L247" t="str">
        <f>INDEX(Products!$A$1:$G$49,MATCH(Orders!$G247,Products!$A$1:$A$49,0),MATCH(Orders!L$1,Products!$A$1:$G$1,0))</f>
        <v>Lib</v>
      </c>
      <c r="M247" t="str">
        <f>INDEX(Products!$A$1:$G$49,MATCH(Orders!$G247,Products!$A$1:$A$49,0),MATCH(Orders!M$1,Products!$A$1:$G$1,0))</f>
        <v>L</v>
      </c>
      <c r="N247" s="4">
        <f>INDEX(Products!$A$1:$G$49,MATCH(Orders!$G247,Products!$A$1:$A$49,0),MATCH(Orders!N$1,Products!$A$1:$G$1,0))</f>
        <v>0.2</v>
      </c>
      <c r="O247" s="7">
        <f>INDEX(Products!$A$1:$G$49,MATCH(Orders!$G247,Products!$A$1:$A$49,0),MATCH(Orders!O$1,Products!$A$1:$G$1,0))</f>
        <v>4.7549999999999999</v>
      </c>
      <c r="P247" s="7">
        <f t="shared" si="3"/>
        <v>23.774999999999999</v>
      </c>
      <c r="Q247" t="str" cm="1">
        <f t="array" ref="Q247">_xlfn.IFS(L247="Rob","Robusta",L247="Exc", "Excelsa",L247="Ara", "Arabica",L247="Lib", "Liberica")</f>
        <v>Liberica</v>
      </c>
      <c r="R247" t="str" cm="1">
        <f t="array" ref="R247">_xlfn.IFS(M247="M","Medium",M247="L","Light",M247="D","Dark")</f>
        <v>Light</v>
      </c>
    </row>
    <row r="248" spans="1:18">
      <c r="A248" s="2" t="s">
        <v>554</v>
      </c>
      <c r="B248" s="3">
        <v>44542</v>
      </c>
      <c r="C248" s="9">
        <f>YEAR(Orders_Table[[#This Row],[Order Date]])</f>
        <v>2021</v>
      </c>
      <c r="D248" s="9">
        <f>MONTH(Orders_Table[[#This Row],[Order Date]])</f>
        <v>12</v>
      </c>
      <c r="E248" s="9" t="str" cm="1">
        <f t="array" ref="E2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48" s="2" t="s">
        <v>555</v>
      </c>
      <c r="G248" t="s">
        <v>60</v>
      </c>
      <c r="H248" s="2">
        <v>3</v>
      </c>
      <c r="I248" s="2" t="str" cm="1">
        <f t="array" ref="I248">_xlfn.XLOOKUP(F248,Customers!A247:$A$1001,Customers!B247:$B$1001,"Not Found",0)</f>
        <v>Georgena Bentjens</v>
      </c>
      <c r="J248" s="2" t="str" cm="1">
        <f t="array" ref="J248">IF(_xlfn.XLOOKUP(F248,Customers!A247:$A$1001,Customers!C247:$C$1001,"Not Found",0)=0,"",_xlfn.XLOOKUP(F248,Customers!A247:$A$1001,Customers!C247:$C$1001,"Not Found",0))</f>
        <v>gbentjens6u@netlog.com</v>
      </c>
      <c r="K248" s="2" t="str" cm="1">
        <f t="array" ref="K248">_xlfn.XLOOKUP(F248,Customers!A247:$A$1001,Customers!G247:$G$1001,"Not Found",0)</f>
        <v>United Kingdom</v>
      </c>
      <c r="L248" t="str">
        <f>INDEX(Products!$A$1:$G$49,MATCH(Orders!$G248,Products!$A$1:$A$49,0),MATCH(Orders!L$1,Products!$A$1:$G$1,0))</f>
        <v>Lib</v>
      </c>
      <c r="M248" t="str">
        <f>INDEX(Products!$A$1:$G$49,MATCH(Orders!$G248,Products!$A$1:$A$49,0),MATCH(Orders!M$1,Products!$A$1:$G$1,0))</f>
        <v>D</v>
      </c>
      <c r="N248" s="4">
        <f>INDEX(Products!$A$1:$G$49,MATCH(Orders!$G248,Products!$A$1:$A$49,0),MATCH(Orders!N$1,Products!$A$1:$G$1,0))</f>
        <v>1</v>
      </c>
      <c r="O248" s="7">
        <f>INDEX(Products!$A$1:$G$49,MATCH(Orders!$G248,Products!$A$1:$A$49,0),MATCH(Orders!O$1,Products!$A$1:$G$1,0))</f>
        <v>12.95</v>
      </c>
      <c r="P248" s="7">
        <f t="shared" si="3"/>
        <v>38.849999999999994</v>
      </c>
      <c r="Q248" t="str" cm="1">
        <f t="array" ref="Q248">_xlfn.IFS(L248="Rob","Robusta",L248="Exc", "Excelsa",L248="Ara", "Arabica",L248="Lib", "Liberica")</f>
        <v>Liberica</v>
      </c>
      <c r="R248" t="str" cm="1">
        <f t="array" ref="R248">_xlfn.IFS(M248="M","Medium",M248="L","Light",M248="D","Dark")</f>
        <v>Dark</v>
      </c>
    </row>
    <row r="249" spans="1:18">
      <c r="A249" s="2" t="s">
        <v>556</v>
      </c>
      <c r="B249" s="3">
        <v>44131</v>
      </c>
      <c r="C249" s="9">
        <f>YEAR(Orders_Table[[#This Row],[Order Date]])</f>
        <v>2020</v>
      </c>
      <c r="D249" s="9">
        <f>MONTH(Orders_Table[[#This Row],[Order Date]])</f>
        <v>10</v>
      </c>
      <c r="E249" s="9" t="str" cm="1">
        <f t="array" ref="E2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49" s="2" t="s">
        <v>557</v>
      </c>
      <c r="G249" t="s">
        <v>229</v>
      </c>
      <c r="H249" s="2">
        <v>6</v>
      </c>
      <c r="I249" s="2" t="str" cm="1">
        <f t="array" ref="I249">_xlfn.XLOOKUP(F249,Customers!A248:$A$1001,Customers!B248:$B$1001,"Not Found",0)</f>
        <v>Delmar Beasant</v>
      </c>
      <c r="J249" s="2" t="str" cm="1">
        <f t="array" ref="J249">IF(_xlfn.XLOOKUP(F249,Customers!A248:$A$1001,Customers!C248:$C$1001,"Not Found",0)=0,"",_xlfn.XLOOKUP(F249,Customers!A248:$A$1001,Customers!C248:$C$1001,"Not Found",0))</f>
        <v/>
      </c>
      <c r="K249" s="2" t="str" cm="1">
        <f t="array" ref="K249">_xlfn.XLOOKUP(F249,Customers!A248:$A$1001,Customers!G248:$G$1001,"Not Found",0)</f>
        <v>Ireland</v>
      </c>
      <c r="L249" t="str">
        <f>INDEX(Products!$A$1:$G$49,MATCH(Orders!$G249,Products!$A$1:$A$49,0),MATCH(Orders!L$1,Products!$A$1:$G$1,0))</f>
        <v>Rob</v>
      </c>
      <c r="M249" t="str">
        <f>INDEX(Products!$A$1:$G$49,MATCH(Orders!$G249,Products!$A$1:$A$49,0),MATCH(Orders!M$1,Products!$A$1:$G$1,0))</f>
        <v>L</v>
      </c>
      <c r="N249" s="4">
        <f>INDEX(Products!$A$1:$G$49,MATCH(Orders!$G249,Products!$A$1:$A$49,0),MATCH(Orders!N$1,Products!$A$1:$G$1,0))</f>
        <v>0.2</v>
      </c>
      <c r="O249" s="7">
        <f>INDEX(Products!$A$1:$G$49,MATCH(Orders!$G249,Products!$A$1:$A$49,0),MATCH(Orders!O$1,Products!$A$1:$G$1,0))</f>
        <v>3.5849999999999995</v>
      </c>
      <c r="P249" s="7">
        <f t="shared" si="3"/>
        <v>21.509999999999998</v>
      </c>
      <c r="Q249" t="str" cm="1">
        <f t="array" ref="Q249">_xlfn.IFS(L249="Rob","Robusta",L249="Exc", "Excelsa",L249="Ara", "Arabica",L249="Lib", "Liberica")</f>
        <v>Robusta</v>
      </c>
      <c r="R249" t="str" cm="1">
        <f t="array" ref="R249">_xlfn.IFS(M249="M","Medium",M249="L","Light",M249="D","Dark")</f>
        <v>Light</v>
      </c>
    </row>
    <row r="250" spans="1:18">
      <c r="A250" s="2" t="s">
        <v>558</v>
      </c>
      <c r="B250" s="3">
        <v>44019</v>
      </c>
      <c r="C250" s="9">
        <f>YEAR(Orders_Table[[#This Row],[Order Date]])</f>
        <v>2020</v>
      </c>
      <c r="D250" s="9">
        <f>MONTH(Orders_Table[[#This Row],[Order Date]])</f>
        <v>7</v>
      </c>
      <c r="E250" s="9" t="str" cm="1">
        <f t="array" ref="E2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250" s="2" t="s">
        <v>559</v>
      </c>
      <c r="G250" t="s">
        <v>74</v>
      </c>
      <c r="H250" s="2">
        <v>1</v>
      </c>
      <c r="I250" s="2" t="str" cm="1">
        <f t="array" ref="I250">_xlfn.XLOOKUP(F250,Customers!A249:$A$1001,Customers!B249:$B$1001,"Not Found",0)</f>
        <v>Lyn Entwistle</v>
      </c>
      <c r="J250" s="2" t="str" cm="1">
        <f t="array" ref="J250">IF(_xlfn.XLOOKUP(F250,Customers!A249:$A$1001,Customers!C249:$C$1001,"Not Found",0)=0,"",_xlfn.XLOOKUP(F250,Customers!A249:$A$1001,Customers!C249:$C$1001,"Not Found",0))</f>
        <v>lentwistle6w@omniture.com</v>
      </c>
      <c r="K250" s="2" t="str" cm="1">
        <f t="array" ref="K250">_xlfn.XLOOKUP(F250,Customers!A249:$A$1001,Customers!G249:$G$1001,"Not Found",0)</f>
        <v>United States</v>
      </c>
      <c r="L250" t="str">
        <f>INDEX(Products!$A$1:$G$49,MATCH(Orders!$G250,Products!$A$1:$A$49,0),MATCH(Orders!L$1,Products!$A$1:$G$1,0))</f>
        <v>Ara</v>
      </c>
      <c r="M250" t="str">
        <f>INDEX(Products!$A$1:$G$49,MATCH(Orders!$G250,Products!$A$1:$A$49,0),MATCH(Orders!M$1,Products!$A$1:$G$1,0))</f>
        <v>D</v>
      </c>
      <c r="N250" s="4">
        <f>INDEX(Products!$A$1:$G$49,MATCH(Orders!$G250,Products!$A$1:$A$49,0),MATCH(Orders!N$1,Products!$A$1:$G$1,0))</f>
        <v>1</v>
      </c>
      <c r="O250" s="7">
        <f>INDEX(Products!$A$1:$G$49,MATCH(Orders!$G250,Products!$A$1:$A$49,0),MATCH(Orders!O$1,Products!$A$1:$G$1,0))</f>
        <v>9.9499999999999993</v>
      </c>
      <c r="P250" s="7">
        <f t="shared" si="3"/>
        <v>9.9499999999999993</v>
      </c>
      <c r="Q250" t="str" cm="1">
        <f t="array" ref="Q250">_xlfn.IFS(L250="Rob","Robusta",L250="Exc", "Excelsa",L250="Ara", "Arabica",L250="Lib", "Liberica")</f>
        <v>Arabica</v>
      </c>
      <c r="R250" t="str" cm="1">
        <f t="array" ref="R250">_xlfn.IFS(M250="M","Medium",M250="L","Light",M250="D","Dark")</f>
        <v>Dark</v>
      </c>
    </row>
    <row r="251" spans="1:18">
      <c r="A251" s="2" t="s">
        <v>560</v>
      </c>
      <c r="B251" s="3">
        <v>43861</v>
      </c>
      <c r="C251" s="9">
        <f>YEAR(Orders_Table[[#This Row],[Order Date]])</f>
        <v>2020</v>
      </c>
      <c r="D251" s="9">
        <f>MONTH(Orders_Table[[#This Row],[Order Date]])</f>
        <v>1</v>
      </c>
      <c r="E251" s="9" t="str" cm="1">
        <f t="array" ref="E2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51" s="2" t="s">
        <v>561</v>
      </c>
      <c r="G251" t="s">
        <v>179</v>
      </c>
      <c r="H251" s="2">
        <v>1</v>
      </c>
      <c r="I251" s="2" t="str" cm="1">
        <f t="array" ref="I251">_xlfn.XLOOKUP(F251,Customers!A250:$A$1001,Customers!B250:$B$1001,"Not Found",0)</f>
        <v>Zacharias Kiffe</v>
      </c>
      <c r="J251" s="2" t="str" cm="1">
        <f t="array" ref="J251">IF(_xlfn.XLOOKUP(F251,Customers!A250:$A$1001,Customers!C250:$C$1001,"Not Found",0)=0,"",_xlfn.XLOOKUP(F251,Customers!A250:$A$1001,Customers!C250:$C$1001,"Not Found",0))</f>
        <v>zkiffe74@cyberchimps.com</v>
      </c>
      <c r="K251" s="2" t="str" cm="1">
        <f t="array" ref="K251">_xlfn.XLOOKUP(F251,Customers!A250:$A$1001,Customers!G250:$G$1001,"Not Found",0)</f>
        <v>United States</v>
      </c>
      <c r="L251" t="str">
        <f>INDEX(Products!$A$1:$G$49,MATCH(Orders!$G251,Products!$A$1:$A$49,0),MATCH(Orders!L$1,Products!$A$1:$G$1,0))</f>
        <v>Lib</v>
      </c>
      <c r="M251" t="str">
        <f>INDEX(Products!$A$1:$G$49,MATCH(Orders!$G251,Products!$A$1:$A$49,0),MATCH(Orders!M$1,Products!$A$1:$G$1,0))</f>
        <v>L</v>
      </c>
      <c r="N251" s="4">
        <f>INDEX(Products!$A$1:$G$49,MATCH(Orders!$G251,Products!$A$1:$A$49,0),MATCH(Orders!N$1,Products!$A$1:$G$1,0))</f>
        <v>1</v>
      </c>
      <c r="O251" s="7">
        <f>INDEX(Products!$A$1:$G$49,MATCH(Orders!$G251,Products!$A$1:$A$49,0),MATCH(Orders!O$1,Products!$A$1:$G$1,0))</f>
        <v>15.85</v>
      </c>
      <c r="P251" s="7">
        <f t="shared" si="3"/>
        <v>15.85</v>
      </c>
      <c r="Q251" t="str" cm="1">
        <f t="array" ref="Q251">_xlfn.IFS(L251="Rob","Robusta",L251="Exc", "Excelsa",L251="Ara", "Arabica",L251="Lib", "Liberica")</f>
        <v>Liberica</v>
      </c>
      <c r="R251" t="str" cm="1">
        <f t="array" ref="R251">_xlfn.IFS(M251="M","Medium",M251="L","Light",M251="D","Dark")</f>
        <v>Light</v>
      </c>
    </row>
    <row r="252" spans="1:18">
      <c r="A252" s="2" t="s">
        <v>562</v>
      </c>
      <c r="B252" s="3">
        <v>43879</v>
      </c>
      <c r="C252" s="9">
        <f>YEAR(Orders_Table[[#This Row],[Order Date]])</f>
        <v>2020</v>
      </c>
      <c r="D252" s="9">
        <f>MONTH(Orders_Table[[#This Row],[Order Date]])</f>
        <v>2</v>
      </c>
      <c r="E252" s="9" t="str" cm="1">
        <f t="array" ref="E2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52" s="2" t="s">
        <v>563</v>
      </c>
      <c r="G252" t="s">
        <v>209</v>
      </c>
      <c r="H252" s="2">
        <v>1</v>
      </c>
      <c r="I252" s="2" t="str" cm="1">
        <f t="array" ref="I252">_xlfn.XLOOKUP(F252,Customers!A251:$A$1001,Customers!B251:$B$1001,"Not Found",0)</f>
        <v>Mercedes Acott</v>
      </c>
      <c r="J252" s="2" t="str" cm="1">
        <f t="array" ref="J252">IF(_xlfn.XLOOKUP(F252,Customers!A251:$A$1001,Customers!C251:$C$1001,"Not Found",0)=0,"",_xlfn.XLOOKUP(F252,Customers!A251:$A$1001,Customers!C251:$C$1001,"Not Found",0))</f>
        <v>macott6y@pagesperso-orange.fr</v>
      </c>
      <c r="K252" s="2" t="str" cm="1">
        <f t="array" ref="K252">_xlfn.XLOOKUP(F252,Customers!A251:$A$1001,Customers!G251:$G$1001,"Not Found",0)</f>
        <v>United States</v>
      </c>
      <c r="L252" t="str">
        <f>INDEX(Products!$A$1:$G$49,MATCH(Orders!$G252,Products!$A$1:$A$49,0),MATCH(Orders!L$1,Products!$A$1:$G$1,0))</f>
        <v>Rob</v>
      </c>
      <c r="M252" t="str">
        <f>INDEX(Products!$A$1:$G$49,MATCH(Orders!$G252,Products!$A$1:$A$49,0),MATCH(Orders!M$1,Products!$A$1:$G$1,0))</f>
        <v>M</v>
      </c>
      <c r="N252" s="4">
        <f>INDEX(Products!$A$1:$G$49,MATCH(Orders!$G252,Products!$A$1:$A$49,0),MATCH(Orders!N$1,Products!$A$1:$G$1,0))</f>
        <v>0.2</v>
      </c>
      <c r="O252" s="7">
        <f>INDEX(Products!$A$1:$G$49,MATCH(Orders!$G252,Products!$A$1:$A$49,0),MATCH(Orders!O$1,Products!$A$1:$G$1,0))</f>
        <v>2.9849999999999999</v>
      </c>
      <c r="P252" s="7">
        <f t="shared" si="3"/>
        <v>2.9849999999999999</v>
      </c>
      <c r="Q252" t="str" cm="1">
        <f t="array" ref="Q252">_xlfn.IFS(L252="Rob","Robusta",L252="Exc", "Excelsa",L252="Ara", "Arabica",L252="Lib", "Liberica")</f>
        <v>Robusta</v>
      </c>
      <c r="R252" t="str" cm="1">
        <f t="array" ref="R252">_xlfn.IFS(M252="M","Medium",M252="L","Light",M252="D","Dark")</f>
        <v>Medium</v>
      </c>
    </row>
    <row r="253" spans="1:18">
      <c r="A253" s="2" t="s">
        <v>564</v>
      </c>
      <c r="B253" s="3">
        <v>44360</v>
      </c>
      <c r="C253" s="9">
        <f>YEAR(Orders_Table[[#This Row],[Order Date]])</f>
        <v>2021</v>
      </c>
      <c r="D253" s="9">
        <f>MONTH(Orders_Table[[#This Row],[Order Date]])</f>
        <v>6</v>
      </c>
      <c r="E253" s="9" t="str" cm="1">
        <f t="array" ref="E2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53" s="2" t="s">
        <v>565</v>
      </c>
      <c r="G253" t="s">
        <v>56</v>
      </c>
      <c r="H253" s="2">
        <v>5</v>
      </c>
      <c r="I253" s="2" t="str" cm="1">
        <f t="array" ref="I253">_xlfn.XLOOKUP(F253,Customers!A252:$A$1001,Customers!B252:$B$1001,"Not Found",0)</f>
        <v>Connor Heaviside</v>
      </c>
      <c r="J253" s="2" t="str" cm="1">
        <f t="array" ref="J253">IF(_xlfn.XLOOKUP(F253,Customers!A252:$A$1001,Customers!C252:$C$1001,"Not Found",0)=0,"",_xlfn.XLOOKUP(F253,Customers!A252:$A$1001,Customers!C252:$C$1001,"Not Found",0))</f>
        <v>cheaviside6z@rediff.com</v>
      </c>
      <c r="K253" s="2" t="str" cm="1">
        <f t="array" ref="K253">_xlfn.XLOOKUP(F253,Customers!A252:$A$1001,Customers!G252:$G$1001,"Not Found",0)</f>
        <v>United States</v>
      </c>
      <c r="L253" t="str">
        <f>INDEX(Products!$A$1:$G$49,MATCH(Orders!$G253,Products!$A$1:$A$49,0),MATCH(Orders!L$1,Products!$A$1:$G$1,0))</f>
        <v>Exc</v>
      </c>
      <c r="M253" t="str">
        <f>INDEX(Products!$A$1:$G$49,MATCH(Orders!$G253,Products!$A$1:$A$49,0),MATCH(Orders!M$1,Products!$A$1:$G$1,0))</f>
        <v>M</v>
      </c>
      <c r="N253" s="4">
        <f>INDEX(Products!$A$1:$G$49,MATCH(Orders!$G253,Products!$A$1:$A$49,0),MATCH(Orders!N$1,Products!$A$1:$G$1,0))</f>
        <v>1</v>
      </c>
      <c r="O253" s="7">
        <f>INDEX(Products!$A$1:$G$49,MATCH(Orders!$G253,Products!$A$1:$A$49,0),MATCH(Orders!O$1,Products!$A$1:$G$1,0))</f>
        <v>13.75</v>
      </c>
      <c r="P253" s="7">
        <f t="shared" si="3"/>
        <v>68.75</v>
      </c>
      <c r="Q253" t="str" cm="1">
        <f t="array" ref="Q253">_xlfn.IFS(L253="Rob","Robusta",L253="Exc", "Excelsa",L253="Ara", "Arabica",L253="Lib", "Liberica")</f>
        <v>Excelsa</v>
      </c>
      <c r="R253" t="str" cm="1">
        <f t="array" ref="R253">_xlfn.IFS(M253="M","Medium",M253="L","Light",M253="D","Dark")</f>
        <v>Medium</v>
      </c>
    </row>
    <row r="254" spans="1:18">
      <c r="A254" s="2" t="s">
        <v>566</v>
      </c>
      <c r="B254" s="3">
        <v>44779</v>
      </c>
      <c r="C254" s="9">
        <f>YEAR(Orders_Table[[#This Row],[Order Date]])</f>
        <v>2022</v>
      </c>
      <c r="D254" s="9">
        <f>MONTH(Orders_Table[[#This Row],[Order Date]])</f>
        <v>8</v>
      </c>
      <c r="E254" s="9" t="str" cm="1">
        <f t="array" ref="E2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54" s="2" t="s">
        <v>567</v>
      </c>
      <c r="G254" t="s">
        <v>74</v>
      </c>
      <c r="H254" s="2">
        <v>3</v>
      </c>
      <c r="I254" s="2" t="str" cm="1">
        <f t="array" ref="I254">_xlfn.XLOOKUP(F254,Customers!A253:$A$1001,Customers!B253:$B$1001,"Not Found",0)</f>
        <v>Devy Bulbrook</v>
      </c>
      <c r="J254" s="2" t="str" cm="1">
        <f t="array" ref="J254">IF(_xlfn.XLOOKUP(F254,Customers!A253:$A$1001,Customers!C253:$C$1001,"Not Found",0)=0,"",_xlfn.XLOOKUP(F254,Customers!A253:$A$1001,Customers!C253:$C$1001,"Not Found",0))</f>
        <v/>
      </c>
      <c r="K254" s="2" t="str" cm="1">
        <f t="array" ref="K254">_xlfn.XLOOKUP(F254,Customers!A253:$A$1001,Customers!G253:$G$1001,"Not Found",0)</f>
        <v>United States</v>
      </c>
      <c r="L254" t="str">
        <f>INDEX(Products!$A$1:$G$49,MATCH(Orders!$G254,Products!$A$1:$A$49,0),MATCH(Orders!L$1,Products!$A$1:$G$1,0))</f>
        <v>Ara</v>
      </c>
      <c r="M254" t="str">
        <f>INDEX(Products!$A$1:$G$49,MATCH(Orders!$G254,Products!$A$1:$A$49,0),MATCH(Orders!M$1,Products!$A$1:$G$1,0))</f>
        <v>D</v>
      </c>
      <c r="N254" s="4">
        <f>INDEX(Products!$A$1:$G$49,MATCH(Orders!$G254,Products!$A$1:$A$49,0),MATCH(Orders!N$1,Products!$A$1:$G$1,0))</f>
        <v>1</v>
      </c>
      <c r="O254" s="7">
        <f>INDEX(Products!$A$1:$G$49,MATCH(Orders!$G254,Products!$A$1:$A$49,0),MATCH(Orders!O$1,Products!$A$1:$G$1,0))</f>
        <v>9.9499999999999993</v>
      </c>
      <c r="P254" s="7">
        <f t="shared" si="3"/>
        <v>29.849999999999998</v>
      </c>
      <c r="Q254" t="str" cm="1">
        <f t="array" ref="Q254">_xlfn.IFS(L254="Rob","Robusta",L254="Exc", "Excelsa",L254="Ara", "Arabica",L254="Lib", "Liberica")</f>
        <v>Arabica</v>
      </c>
      <c r="R254" t="str" cm="1">
        <f t="array" ref="R254">_xlfn.IFS(M254="M","Medium",M254="L","Light",M254="D","Dark")</f>
        <v>Dark</v>
      </c>
    </row>
    <row r="255" spans="1:18">
      <c r="A255" s="2" t="s">
        <v>568</v>
      </c>
      <c r="B255" s="3">
        <v>44523</v>
      </c>
      <c r="C255" s="9">
        <f>YEAR(Orders_Table[[#This Row],[Order Date]])</f>
        <v>2021</v>
      </c>
      <c r="D255" s="9">
        <f>MONTH(Orders_Table[[#This Row],[Order Date]])</f>
        <v>11</v>
      </c>
      <c r="E255" s="9" t="str" cm="1">
        <f t="array" ref="E2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55" s="2" t="s">
        <v>569</v>
      </c>
      <c r="G255" t="s">
        <v>143</v>
      </c>
      <c r="H255" s="2">
        <v>4</v>
      </c>
      <c r="I255" s="2" t="str" cm="1">
        <f t="array" ref="I255">_xlfn.XLOOKUP(F255,Customers!A254:$A$1001,Customers!B254:$B$1001,"Not Found",0)</f>
        <v>Leia Kernan</v>
      </c>
      <c r="J255" s="2" t="str" cm="1">
        <f t="array" ref="J255">IF(_xlfn.XLOOKUP(F255,Customers!A254:$A$1001,Customers!C254:$C$1001,"Not Found",0)=0,"",_xlfn.XLOOKUP(F255,Customers!A254:$A$1001,Customers!C254:$C$1001,"Not Found",0))</f>
        <v>lkernan71@wsj.com</v>
      </c>
      <c r="K255" s="2" t="str" cm="1">
        <f t="array" ref="K255">_xlfn.XLOOKUP(F255,Customers!A254:$A$1001,Customers!G254:$G$1001,"Not Found",0)</f>
        <v>United States</v>
      </c>
      <c r="L255" t="str">
        <f>INDEX(Products!$A$1:$G$49,MATCH(Orders!$G255,Products!$A$1:$A$49,0),MATCH(Orders!L$1,Products!$A$1:$G$1,0))</f>
        <v>Lib</v>
      </c>
      <c r="M255" t="str">
        <f>INDEX(Products!$A$1:$G$49,MATCH(Orders!$G255,Products!$A$1:$A$49,0),MATCH(Orders!M$1,Products!$A$1:$G$1,0))</f>
        <v>M</v>
      </c>
      <c r="N255" s="4">
        <f>INDEX(Products!$A$1:$G$49,MATCH(Orders!$G255,Products!$A$1:$A$49,0),MATCH(Orders!N$1,Products!$A$1:$G$1,0))</f>
        <v>1</v>
      </c>
      <c r="O255" s="7">
        <f>INDEX(Products!$A$1:$G$49,MATCH(Orders!$G255,Products!$A$1:$A$49,0),MATCH(Orders!O$1,Products!$A$1:$G$1,0))</f>
        <v>14.55</v>
      </c>
      <c r="P255" s="7">
        <f t="shared" si="3"/>
        <v>58.2</v>
      </c>
      <c r="Q255" t="str" cm="1">
        <f t="array" ref="Q255">_xlfn.IFS(L255="Rob","Robusta",L255="Exc", "Excelsa",L255="Ara", "Arabica",L255="Lib", "Liberica")</f>
        <v>Liberica</v>
      </c>
      <c r="R255" t="str" cm="1">
        <f t="array" ref="R255">_xlfn.IFS(M255="M","Medium",M255="L","Light",M255="D","Dark")</f>
        <v>Medium</v>
      </c>
    </row>
    <row r="256" spans="1:18">
      <c r="A256" s="2" t="s">
        <v>570</v>
      </c>
      <c r="B256" s="3">
        <v>44482</v>
      </c>
      <c r="C256" s="9">
        <f>YEAR(Orders_Table[[#This Row],[Order Date]])</f>
        <v>2021</v>
      </c>
      <c r="D256" s="9">
        <f>MONTH(Orders_Table[[#This Row],[Order Date]])</f>
        <v>10</v>
      </c>
      <c r="E256" s="9" t="str" cm="1">
        <f t="array" ref="E2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56" s="2" t="s">
        <v>571</v>
      </c>
      <c r="G256" t="s">
        <v>204</v>
      </c>
      <c r="H256" s="2">
        <v>4</v>
      </c>
      <c r="I256" s="2" t="str" cm="1">
        <f t="array" ref="I256">_xlfn.XLOOKUP(F256,Customers!A255:$A$1001,Customers!B255:$B$1001,"Not Found",0)</f>
        <v>Rosaline McLae</v>
      </c>
      <c r="J256" s="2" t="str" cm="1">
        <f t="array" ref="J256">IF(_xlfn.XLOOKUP(F256,Customers!A255:$A$1001,Customers!C255:$C$1001,"Not Found",0)=0,"",_xlfn.XLOOKUP(F256,Customers!A255:$A$1001,Customers!C255:$C$1001,"Not Found",0))</f>
        <v>rmclae72@dailymotion.com</v>
      </c>
      <c r="K256" s="2" t="str" cm="1">
        <f t="array" ref="K256">_xlfn.XLOOKUP(F256,Customers!A255:$A$1001,Customers!G255:$G$1001,"Not Found",0)</f>
        <v>United Kingdom</v>
      </c>
      <c r="L256" t="str">
        <f>INDEX(Products!$A$1:$G$49,MATCH(Orders!$G256,Products!$A$1:$A$49,0),MATCH(Orders!L$1,Products!$A$1:$G$1,0))</f>
        <v>Rob</v>
      </c>
      <c r="M256" t="str">
        <f>INDEX(Products!$A$1:$G$49,MATCH(Orders!$G256,Products!$A$1:$A$49,0),MATCH(Orders!M$1,Products!$A$1:$G$1,0))</f>
        <v>L</v>
      </c>
      <c r="N256" s="4">
        <f>INDEX(Products!$A$1:$G$49,MATCH(Orders!$G256,Products!$A$1:$A$49,0),MATCH(Orders!N$1,Products!$A$1:$G$1,0))</f>
        <v>0.5</v>
      </c>
      <c r="O256" s="7">
        <f>INDEX(Products!$A$1:$G$49,MATCH(Orders!$G256,Products!$A$1:$A$49,0),MATCH(Orders!O$1,Products!$A$1:$G$1,0))</f>
        <v>7.169999999999999</v>
      </c>
      <c r="P256" s="7">
        <f t="shared" si="3"/>
        <v>28.679999999999996</v>
      </c>
      <c r="Q256" t="str" cm="1">
        <f t="array" ref="Q256">_xlfn.IFS(L256="Rob","Robusta",L256="Exc", "Excelsa",L256="Ara", "Arabica",L256="Lib", "Liberica")</f>
        <v>Robusta</v>
      </c>
      <c r="R256" t="str" cm="1">
        <f t="array" ref="R256">_xlfn.IFS(M256="M","Medium",M256="L","Light",M256="D","Dark")</f>
        <v>Light</v>
      </c>
    </row>
    <row r="257" spans="1:18">
      <c r="A257" s="2" t="s">
        <v>572</v>
      </c>
      <c r="B257" s="3">
        <v>44439</v>
      </c>
      <c r="C257" s="9">
        <f>YEAR(Orders_Table[[#This Row],[Order Date]])</f>
        <v>2021</v>
      </c>
      <c r="D257" s="9">
        <f>MONTH(Orders_Table[[#This Row],[Order Date]])</f>
        <v>8</v>
      </c>
      <c r="E257" s="9" t="str" cm="1">
        <f t="array" ref="E2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57" s="2" t="s">
        <v>573</v>
      </c>
      <c r="G257" t="s">
        <v>204</v>
      </c>
      <c r="H257" s="2">
        <v>3</v>
      </c>
      <c r="I257" s="2" t="str" cm="1">
        <f t="array" ref="I257">_xlfn.XLOOKUP(F257,Customers!A256:$A$1001,Customers!B256:$B$1001,"Not Found",0)</f>
        <v>Cleve Blowfelde</v>
      </c>
      <c r="J257" s="2" t="str" cm="1">
        <f t="array" ref="J257">IF(_xlfn.XLOOKUP(F257,Customers!A256:$A$1001,Customers!C256:$C$1001,"Not Found",0)=0,"",_xlfn.XLOOKUP(F257,Customers!A256:$A$1001,Customers!C256:$C$1001,"Not Found",0))</f>
        <v>cblowfelde73@ustream.tv</v>
      </c>
      <c r="K257" s="2" t="str" cm="1">
        <f t="array" ref="K257">_xlfn.XLOOKUP(F257,Customers!A256:$A$1001,Customers!G256:$G$1001,"Not Found",0)</f>
        <v>United States</v>
      </c>
      <c r="L257" t="str">
        <f>INDEX(Products!$A$1:$G$49,MATCH(Orders!$G257,Products!$A$1:$A$49,0),MATCH(Orders!L$1,Products!$A$1:$G$1,0))</f>
        <v>Rob</v>
      </c>
      <c r="M257" t="str">
        <f>INDEX(Products!$A$1:$G$49,MATCH(Orders!$G257,Products!$A$1:$A$49,0),MATCH(Orders!M$1,Products!$A$1:$G$1,0))</f>
        <v>L</v>
      </c>
      <c r="N257" s="4">
        <f>INDEX(Products!$A$1:$G$49,MATCH(Orders!$G257,Products!$A$1:$A$49,0),MATCH(Orders!N$1,Products!$A$1:$G$1,0))</f>
        <v>0.5</v>
      </c>
      <c r="O257" s="7">
        <f>INDEX(Products!$A$1:$G$49,MATCH(Orders!$G257,Products!$A$1:$A$49,0),MATCH(Orders!O$1,Products!$A$1:$G$1,0))</f>
        <v>7.169999999999999</v>
      </c>
      <c r="P257" s="7">
        <f t="shared" si="3"/>
        <v>21.509999999999998</v>
      </c>
      <c r="Q257" t="str" cm="1">
        <f t="array" ref="Q257">_xlfn.IFS(L257="Rob","Robusta",L257="Exc", "Excelsa",L257="Ara", "Arabica",L257="Lib", "Liberica")</f>
        <v>Robusta</v>
      </c>
      <c r="R257" t="str" cm="1">
        <f t="array" ref="R257">_xlfn.IFS(M257="M","Medium",M257="L","Light",M257="D","Dark")</f>
        <v>Light</v>
      </c>
    </row>
    <row r="258" spans="1:18">
      <c r="A258" s="2" t="s">
        <v>574</v>
      </c>
      <c r="B258" s="3">
        <v>43846</v>
      </c>
      <c r="C258" s="9">
        <f>YEAR(Orders_Table[[#This Row],[Order Date]])</f>
        <v>2020</v>
      </c>
      <c r="D258" s="9">
        <f>MONTH(Orders_Table[[#This Row],[Order Date]])</f>
        <v>1</v>
      </c>
      <c r="E258" s="9" t="str" cm="1">
        <f t="array" ref="E2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58" s="2" t="s">
        <v>561</v>
      </c>
      <c r="G258" t="s">
        <v>125</v>
      </c>
      <c r="H258" s="2">
        <v>2</v>
      </c>
      <c r="I258" s="2" t="str" cm="1">
        <f t="array" ref="I258">_xlfn.XLOOKUP(F258,Customers!A257:$A$1001,Customers!B257:$B$1001,"Not Found",0)</f>
        <v>Zacharias Kiffe</v>
      </c>
      <c r="J258" s="2" t="str" cm="1">
        <f t="array" ref="J258">IF(_xlfn.XLOOKUP(F258,Customers!A257:$A$1001,Customers!C257:$C$1001,"Not Found",0)=0,"",_xlfn.XLOOKUP(F258,Customers!A257:$A$1001,Customers!C257:$C$1001,"Not Found",0))</f>
        <v>zkiffe74@cyberchimps.com</v>
      </c>
      <c r="K258" s="2" t="str" cm="1">
        <f t="array" ref="K258">_xlfn.XLOOKUP(F258,Customers!A257:$A$1001,Customers!G257:$G$1001,"Not Found",0)</f>
        <v>United States</v>
      </c>
      <c r="L258" t="str">
        <f>INDEX(Products!$A$1:$G$49,MATCH(Orders!$G258,Products!$A$1:$A$49,0),MATCH(Orders!L$1,Products!$A$1:$G$1,0))</f>
        <v>Lib</v>
      </c>
      <c r="M258" t="str">
        <f>INDEX(Products!$A$1:$G$49,MATCH(Orders!$G258,Products!$A$1:$A$49,0),MATCH(Orders!M$1,Products!$A$1:$G$1,0))</f>
        <v>M</v>
      </c>
      <c r="N258" s="4">
        <f>INDEX(Products!$A$1:$G$49,MATCH(Orders!$G258,Products!$A$1:$A$49,0),MATCH(Orders!N$1,Products!$A$1:$G$1,0))</f>
        <v>0.5</v>
      </c>
      <c r="O258" s="7">
        <f>INDEX(Products!$A$1:$G$49,MATCH(Orders!$G258,Products!$A$1:$A$49,0),MATCH(Orders!O$1,Products!$A$1:$G$1,0))</f>
        <v>8.73</v>
      </c>
      <c r="P258" s="7">
        <f t="shared" si="3"/>
        <v>17.46</v>
      </c>
      <c r="Q258" t="str" cm="1">
        <f t="array" ref="Q258">_xlfn.IFS(L258="Rob","Robusta",L258="Exc", "Excelsa",L258="Ara", "Arabica",L258="Lib", "Liberica")</f>
        <v>Liberica</v>
      </c>
      <c r="R258" t="str" cm="1">
        <f t="array" ref="R258">_xlfn.IFS(M258="M","Medium",M258="L","Light",M258="D","Dark")</f>
        <v>Medium</v>
      </c>
    </row>
    <row r="259" spans="1:18">
      <c r="A259" s="2" t="s">
        <v>575</v>
      </c>
      <c r="B259" s="3">
        <v>44676</v>
      </c>
      <c r="C259" s="9">
        <f>YEAR(Orders_Table[[#This Row],[Order Date]])</f>
        <v>2022</v>
      </c>
      <c r="D259" s="9">
        <f>MONTH(Orders_Table[[#This Row],[Order Date]])</f>
        <v>4</v>
      </c>
      <c r="E259" s="9" t="str" cm="1">
        <f t="array" ref="E2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59" s="2" t="s">
        <v>576</v>
      </c>
      <c r="G259" t="s">
        <v>577</v>
      </c>
      <c r="H259" s="2">
        <v>1</v>
      </c>
      <c r="I259" s="2" t="str" cm="1">
        <f t="array" ref="I259">_xlfn.XLOOKUP(F259,Customers!A258:$A$1001,Customers!B258:$B$1001,"Not Found",0)</f>
        <v>Denyse O'Calleran</v>
      </c>
      <c r="J259" s="2" t="str" cm="1">
        <f t="array" ref="J259">IF(_xlfn.XLOOKUP(F259,Customers!A258:$A$1001,Customers!C258:$C$1001,"Not Found",0)=0,"",_xlfn.XLOOKUP(F259,Customers!A258:$A$1001,Customers!C258:$C$1001,"Not Found",0))</f>
        <v>docalleran75@ucla.edu</v>
      </c>
      <c r="K259" s="2" t="str" cm="1">
        <f t="array" ref="K259">_xlfn.XLOOKUP(F259,Customers!A258:$A$1001,Customers!G258:$G$1001,"Not Found",0)</f>
        <v>United States</v>
      </c>
      <c r="L259" t="str">
        <f>INDEX(Products!$A$1:$G$49,MATCH(Orders!$G259,Products!$A$1:$A$49,0),MATCH(Orders!L$1,Products!$A$1:$G$1,0))</f>
        <v>Exc</v>
      </c>
      <c r="M259" t="str">
        <f>INDEX(Products!$A$1:$G$49,MATCH(Orders!$G259,Products!$A$1:$A$49,0),MATCH(Orders!M$1,Products!$A$1:$G$1,0))</f>
        <v>D</v>
      </c>
      <c r="N259" s="4">
        <f>INDEX(Products!$A$1:$G$49,MATCH(Orders!$G259,Products!$A$1:$A$49,0),MATCH(Orders!N$1,Products!$A$1:$G$1,0))</f>
        <v>2.5</v>
      </c>
      <c r="O259" s="7">
        <f>INDEX(Products!$A$1:$G$49,MATCH(Orders!$G259,Products!$A$1:$A$49,0),MATCH(Orders!O$1,Products!$A$1:$G$1,0))</f>
        <v>27.945</v>
      </c>
      <c r="P259" s="7">
        <f t="shared" ref="P259:P322" si="4">O259*H259</f>
        <v>27.945</v>
      </c>
      <c r="Q259" t="str" cm="1">
        <f t="array" ref="Q259">_xlfn.IFS(L259="Rob","Robusta",L259="Exc", "Excelsa",L259="Ara", "Arabica",L259="Lib", "Liberica")</f>
        <v>Excelsa</v>
      </c>
      <c r="R259" t="str" cm="1">
        <f t="array" ref="R259">_xlfn.IFS(M259="M","Medium",M259="L","Light",M259="D","Dark")</f>
        <v>Dark</v>
      </c>
    </row>
    <row r="260" spans="1:18">
      <c r="A260" s="2" t="s">
        <v>578</v>
      </c>
      <c r="B260" s="3">
        <v>44513</v>
      </c>
      <c r="C260" s="9">
        <f>YEAR(Orders_Table[[#This Row],[Order Date]])</f>
        <v>2021</v>
      </c>
      <c r="D260" s="9">
        <f>MONTH(Orders_Table[[#This Row],[Order Date]])</f>
        <v>11</v>
      </c>
      <c r="E260" s="9" t="str" cm="1">
        <f t="array" ref="E2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60" s="2" t="s">
        <v>579</v>
      </c>
      <c r="G260" t="s">
        <v>577</v>
      </c>
      <c r="H260" s="2">
        <v>5</v>
      </c>
      <c r="I260" s="2" t="str" cm="1">
        <f t="array" ref="I260">_xlfn.XLOOKUP(F260,Customers!A259:$A$1001,Customers!B259:$B$1001,"Not Found",0)</f>
        <v>Cobby Cromwell</v>
      </c>
      <c r="J260" s="2" t="str" cm="1">
        <f t="array" ref="J260">IF(_xlfn.XLOOKUP(F260,Customers!A259:$A$1001,Customers!C259:$C$1001,"Not Found",0)=0,"",_xlfn.XLOOKUP(F260,Customers!A259:$A$1001,Customers!C259:$C$1001,"Not Found",0))</f>
        <v>ccromwell76@desdev.cn</v>
      </c>
      <c r="K260" s="2" t="str" cm="1">
        <f t="array" ref="K260">_xlfn.XLOOKUP(F260,Customers!A259:$A$1001,Customers!G259:$G$1001,"Not Found",0)</f>
        <v>United States</v>
      </c>
      <c r="L260" t="str">
        <f>INDEX(Products!$A$1:$G$49,MATCH(Orders!$G260,Products!$A$1:$A$49,0),MATCH(Orders!L$1,Products!$A$1:$G$1,0))</f>
        <v>Exc</v>
      </c>
      <c r="M260" t="str">
        <f>INDEX(Products!$A$1:$G$49,MATCH(Orders!$G260,Products!$A$1:$A$49,0),MATCH(Orders!M$1,Products!$A$1:$G$1,0))</f>
        <v>D</v>
      </c>
      <c r="N260" s="4">
        <f>INDEX(Products!$A$1:$G$49,MATCH(Orders!$G260,Products!$A$1:$A$49,0),MATCH(Orders!N$1,Products!$A$1:$G$1,0))</f>
        <v>2.5</v>
      </c>
      <c r="O260" s="7">
        <f>INDEX(Products!$A$1:$G$49,MATCH(Orders!$G260,Products!$A$1:$A$49,0),MATCH(Orders!O$1,Products!$A$1:$G$1,0))</f>
        <v>27.945</v>
      </c>
      <c r="P260" s="7">
        <f t="shared" si="4"/>
        <v>139.72499999999999</v>
      </c>
      <c r="Q260" t="str" cm="1">
        <f t="array" ref="Q260">_xlfn.IFS(L260="Rob","Robusta",L260="Exc", "Excelsa",L260="Ara", "Arabica",L260="Lib", "Liberica")</f>
        <v>Excelsa</v>
      </c>
      <c r="R260" t="str" cm="1">
        <f t="array" ref="R260">_xlfn.IFS(M260="M","Medium",M260="L","Light",M260="D","Dark")</f>
        <v>Dark</v>
      </c>
    </row>
    <row r="261" spans="1:18">
      <c r="A261" s="2" t="s">
        <v>580</v>
      </c>
      <c r="B261" s="3">
        <v>44355</v>
      </c>
      <c r="C261" s="9">
        <f>YEAR(Orders_Table[[#This Row],[Order Date]])</f>
        <v>2021</v>
      </c>
      <c r="D261" s="9">
        <f>MONTH(Orders_Table[[#This Row],[Order Date]])</f>
        <v>6</v>
      </c>
      <c r="E261" s="9" t="str" cm="1">
        <f t="array" ref="E2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61" s="2" t="s">
        <v>581</v>
      </c>
      <c r="G261" t="s">
        <v>209</v>
      </c>
      <c r="H261" s="2">
        <v>2</v>
      </c>
      <c r="I261" s="2" t="str" cm="1">
        <f t="array" ref="I261">_xlfn.XLOOKUP(F261,Customers!A260:$A$1001,Customers!B260:$B$1001,"Not Found",0)</f>
        <v>Irv Hay</v>
      </c>
      <c r="J261" s="2" t="str" cm="1">
        <f t="array" ref="J261">IF(_xlfn.XLOOKUP(F261,Customers!A260:$A$1001,Customers!C260:$C$1001,"Not Found",0)=0,"",_xlfn.XLOOKUP(F261,Customers!A260:$A$1001,Customers!C260:$C$1001,"Not Found",0))</f>
        <v>ihay77@lulu.com</v>
      </c>
      <c r="K261" s="2" t="str" cm="1">
        <f t="array" ref="K261">_xlfn.XLOOKUP(F261,Customers!A260:$A$1001,Customers!G260:$G$1001,"Not Found",0)</f>
        <v>United Kingdom</v>
      </c>
      <c r="L261" t="str">
        <f>INDEX(Products!$A$1:$G$49,MATCH(Orders!$G261,Products!$A$1:$A$49,0),MATCH(Orders!L$1,Products!$A$1:$G$1,0))</f>
        <v>Rob</v>
      </c>
      <c r="M261" t="str">
        <f>INDEX(Products!$A$1:$G$49,MATCH(Orders!$G261,Products!$A$1:$A$49,0),MATCH(Orders!M$1,Products!$A$1:$G$1,0))</f>
        <v>M</v>
      </c>
      <c r="N261" s="4">
        <f>INDEX(Products!$A$1:$G$49,MATCH(Orders!$G261,Products!$A$1:$A$49,0),MATCH(Orders!N$1,Products!$A$1:$G$1,0))</f>
        <v>0.2</v>
      </c>
      <c r="O261" s="7">
        <f>INDEX(Products!$A$1:$G$49,MATCH(Orders!$G261,Products!$A$1:$A$49,0),MATCH(Orders!O$1,Products!$A$1:$G$1,0))</f>
        <v>2.9849999999999999</v>
      </c>
      <c r="P261" s="7">
        <f t="shared" si="4"/>
        <v>5.97</v>
      </c>
      <c r="Q261" t="str" cm="1">
        <f t="array" ref="Q261">_xlfn.IFS(L261="Rob","Robusta",L261="Exc", "Excelsa",L261="Ara", "Arabica",L261="Lib", "Liberica")</f>
        <v>Robusta</v>
      </c>
      <c r="R261" t="str" cm="1">
        <f t="array" ref="R261">_xlfn.IFS(M261="M","Medium",M261="L","Light",M261="D","Dark")</f>
        <v>Medium</v>
      </c>
    </row>
    <row r="262" spans="1:18">
      <c r="A262" s="2" t="s">
        <v>582</v>
      </c>
      <c r="B262" s="3">
        <v>44156</v>
      </c>
      <c r="C262" s="9">
        <f>YEAR(Orders_Table[[#This Row],[Order Date]])</f>
        <v>2020</v>
      </c>
      <c r="D262" s="9">
        <f>MONTH(Orders_Table[[#This Row],[Order Date]])</f>
        <v>11</v>
      </c>
      <c r="E262" s="9" t="str" cm="1">
        <f t="array" ref="E2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62" s="2" t="s">
        <v>583</v>
      </c>
      <c r="G262" t="s">
        <v>57</v>
      </c>
      <c r="H262" s="2">
        <v>1</v>
      </c>
      <c r="I262" s="2" t="str" cm="1">
        <f t="array" ref="I262">_xlfn.XLOOKUP(F262,Customers!A261:$A$1001,Customers!B261:$B$1001,"Not Found",0)</f>
        <v>Tani Taffarello</v>
      </c>
      <c r="J262" s="2" t="str" cm="1">
        <f t="array" ref="J262">IF(_xlfn.XLOOKUP(F262,Customers!A261:$A$1001,Customers!C261:$C$1001,"Not Found",0)=0,"",_xlfn.XLOOKUP(F262,Customers!A261:$A$1001,Customers!C261:$C$1001,"Not Found",0))</f>
        <v>ttaffarello78@sciencedaily.com</v>
      </c>
      <c r="K262" s="2" t="str" cm="1">
        <f t="array" ref="K262">_xlfn.XLOOKUP(F262,Customers!A261:$A$1001,Customers!G261:$G$1001,"Not Found",0)</f>
        <v>United States</v>
      </c>
      <c r="L262" t="str">
        <f>INDEX(Products!$A$1:$G$49,MATCH(Orders!$G262,Products!$A$1:$A$49,0),MATCH(Orders!L$1,Products!$A$1:$G$1,0))</f>
        <v>Rob</v>
      </c>
      <c r="M262" t="str">
        <f>INDEX(Products!$A$1:$G$49,MATCH(Orders!$G262,Products!$A$1:$A$49,0),MATCH(Orders!M$1,Products!$A$1:$G$1,0))</f>
        <v>L</v>
      </c>
      <c r="N262" s="4">
        <f>INDEX(Products!$A$1:$G$49,MATCH(Orders!$G262,Products!$A$1:$A$49,0),MATCH(Orders!N$1,Products!$A$1:$G$1,0))</f>
        <v>2.5</v>
      </c>
      <c r="O262" s="7">
        <f>INDEX(Products!$A$1:$G$49,MATCH(Orders!$G262,Products!$A$1:$A$49,0),MATCH(Orders!O$1,Products!$A$1:$G$1,0))</f>
        <v>27.484999999999996</v>
      </c>
      <c r="P262" s="7">
        <f t="shared" si="4"/>
        <v>27.484999999999996</v>
      </c>
      <c r="Q262" t="str" cm="1">
        <f t="array" ref="Q262">_xlfn.IFS(L262="Rob","Robusta",L262="Exc", "Excelsa",L262="Ara", "Arabica",L262="Lib", "Liberica")</f>
        <v>Robusta</v>
      </c>
      <c r="R262" t="str" cm="1">
        <f t="array" ref="R262">_xlfn.IFS(M262="M","Medium",M262="L","Light",M262="D","Dark")</f>
        <v>Light</v>
      </c>
    </row>
    <row r="263" spans="1:18">
      <c r="A263" s="2" t="s">
        <v>584</v>
      </c>
      <c r="B263" s="3">
        <v>43538</v>
      </c>
      <c r="C263" s="9">
        <f>YEAR(Orders_Table[[#This Row],[Order Date]])</f>
        <v>2019</v>
      </c>
      <c r="D263" s="9">
        <f>MONTH(Orders_Table[[#This Row],[Order Date]])</f>
        <v>3</v>
      </c>
      <c r="E263" s="9" t="str" cm="1">
        <f t="array" ref="E2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63" s="2" t="s">
        <v>585</v>
      </c>
      <c r="G263" t="s">
        <v>236</v>
      </c>
      <c r="H263" s="2">
        <v>5</v>
      </c>
      <c r="I263" s="2" t="str" cm="1">
        <f t="array" ref="I263">_xlfn.XLOOKUP(F263,Customers!A262:$A$1001,Customers!B262:$B$1001,"Not Found",0)</f>
        <v>Monique Canty</v>
      </c>
      <c r="J263" s="2" t="str" cm="1">
        <f t="array" ref="J263">IF(_xlfn.XLOOKUP(F263,Customers!A262:$A$1001,Customers!C262:$C$1001,"Not Found",0)=0,"",_xlfn.XLOOKUP(F263,Customers!A262:$A$1001,Customers!C262:$C$1001,"Not Found",0))</f>
        <v>mcanty79@jigsy.com</v>
      </c>
      <c r="K263" s="2" t="str" cm="1">
        <f t="array" ref="K263">_xlfn.XLOOKUP(F263,Customers!A262:$A$1001,Customers!G262:$G$1001,"Not Found",0)</f>
        <v>United States</v>
      </c>
      <c r="L263" t="str">
        <f>INDEX(Products!$A$1:$G$49,MATCH(Orders!$G263,Products!$A$1:$A$49,0),MATCH(Orders!L$1,Products!$A$1:$G$1,0))</f>
        <v>Rob</v>
      </c>
      <c r="M263" t="str">
        <f>INDEX(Products!$A$1:$G$49,MATCH(Orders!$G263,Products!$A$1:$A$49,0),MATCH(Orders!M$1,Products!$A$1:$G$1,0))</f>
        <v>L</v>
      </c>
      <c r="N263" s="4">
        <f>INDEX(Products!$A$1:$G$49,MATCH(Orders!$G263,Products!$A$1:$A$49,0),MATCH(Orders!N$1,Products!$A$1:$G$1,0))</f>
        <v>1</v>
      </c>
      <c r="O263" s="7">
        <f>INDEX(Products!$A$1:$G$49,MATCH(Orders!$G263,Products!$A$1:$A$49,0),MATCH(Orders!O$1,Products!$A$1:$G$1,0))</f>
        <v>11.95</v>
      </c>
      <c r="P263" s="7">
        <f t="shared" si="4"/>
        <v>59.75</v>
      </c>
      <c r="Q263" t="str" cm="1">
        <f t="array" ref="Q263">_xlfn.IFS(L263="Rob","Robusta",L263="Exc", "Excelsa",L263="Ara", "Arabica",L263="Lib", "Liberica")</f>
        <v>Robusta</v>
      </c>
      <c r="R263" t="str" cm="1">
        <f t="array" ref="R263">_xlfn.IFS(M263="M","Medium",M263="L","Light",M263="D","Dark")</f>
        <v>Light</v>
      </c>
    </row>
    <row r="264" spans="1:18">
      <c r="A264" s="2" t="s">
        <v>586</v>
      </c>
      <c r="B264" s="3">
        <v>43693</v>
      </c>
      <c r="C264" s="9">
        <f>YEAR(Orders_Table[[#This Row],[Order Date]])</f>
        <v>2019</v>
      </c>
      <c r="D264" s="9">
        <f>MONTH(Orders_Table[[#This Row],[Order Date]])</f>
        <v>8</v>
      </c>
      <c r="E264" s="9" t="str" cm="1">
        <f t="array" ref="E2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64" s="2" t="s">
        <v>587</v>
      </c>
      <c r="G264" t="s">
        <v>56</v>
      </c>
      <c r="H264" s="2">
        <v>3</v>
      </c>
      <c r="I264" s="2" t="str" cm="1">
        <f t="array" ref="I264">_xlfn.XLOOKUP(F264,Customers!A263:$A$1001,Customers!B263:$B$1001,"Not Found",0)</f>
        <v>Javier Kopke</v>
      </c>
      <c r="J264" s="2" t="str" cm="1">
        <f t="array" ref="J264">IF(_xlfn.XLOOKUP(F264,Customers!A263:$A$1001,Customers!C263:$C$1001,"Not Found",0)=0,"",_xlfn.XLOOKUP(F264,Customers!A263:$A$1001,Customers!C263:$C$1001,"Not Found",0))</f>
        <v>jkopke7a@auda.org.au</v>
      </c>
      <c r="K264" s="2" t="str" cm="1">
        <f t="array" ref="K264">_xlfn.XLOOKUP(F264,Customers!A263:$A$1001,Customers!G263:$G$1001,"Not Found",0)</f>
        <v>United States</v>
      </c>
      <c r="L264" t="str">
        <f>INDEX(Products!$A$1:$G$49,MATCH(Orders!$G264,Products!$A$1:$A$49,0),MATCH(Orders!L$1,Products!$A$1:$G$1,0))</f>
        <v>Exc</v>
      </c>
      <c r="M264" t="str">
        <f>INDEX(Products!$A$1:$G$49,MATCH(Orders!$G264,Products!$A$1:$A$49,0),MATCH(Orders!M$1,Products!$A$1:$G$1,0))</f>
        <v>M</v>
      </c>
      <c r="N264" s="4">
        <f>INDEX(Products!$A$1:$G$49,MATCH(Orders!$G264,Products!$A$1:$A$49,0),MATCH(Orders!N$1,Products!$A$1:$G$1,0))</f>
        <v>1</v>
      </c>
      <c r="O264" s="7">
        <f>INDEX(Products!$A$1:$G$49,MATCH(Orders!$G264,Products!$A$1:$A$49,0),MATCH(Orders!O$1,Products!$A$1:$G$1,0))</f>
        <v>13.75</v>
      </c>
      <c r="P264" s="7">
        <f t="shared" si="4"/>
        <v>41.25</v>
      </c>
      <c r="Q264" t="str" cm="1">
        <f t="array" ref="Q264">_xlfn.IFS(L264="Rob","Robusta",L264="Exc", "Excelsa",L264="Ara", "Arabica",L264="Lib", "Liberica")</f>
        <v>Excelsa</v>
      </c>
      <c r="R264" t="str" cm="1">
        <f t="array" ref="R264">_xlfn.IFS(M264="M","Medium",M264="L","Light",M264="D","Dark")</f>
        <v>Medium</v>
      </c>
    </row>
    <row r="265" spans="1:18">
      <c r="A265" s="2" t="s">
        <v>588</v>
      </c>
      <c r="B265" s="3">
        <v>43577</v>
      </c>
      <c r="C265" s="9">
        <f>YEAR(Orders_Table[[#This Row],[Order Date]])</f>
        <v>2019</v>
      </c>
      <c r="D265" s="9">
        <f>MONTH(Orders_Table[[#This Row],[Order Date]])</f>
        <v>4</v>
      </c>
      <c r="E265" s="9" t="str" cm="1">
        <f t="array" ref="E2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65" s="2" t="s">
        <v>589</v>
      </c>
      <c r="G265" t="s">
        <v>244</v>
      </c>
      <c r="H265" s="2">
        <v>4</v>
      </c>
      <c r="I265" s="2" t="str" cm="1">
        <f t="array" ref="I265">_xlfn.XLOOKUP(F265,Customers!A264:$A$1001,Customers!B264:$B$1001,"Not Found",0)</f>
        <v>Mar McIver</v>
      </c>
      <c r="J265" s="2" t="str" cm="1">
        <f t="array" ref="J265">IF(_xlfn.XLOOKUP(F265,Customers!A264:$A$1001,Customers!C264:$C$1001,"Not Found",0)=0,"",_xlfn.XLOOKUP(F265,Customers!A264:$A$1001,Customers!C264:$C$1001,"Not Found",0))</f>
        <v/>
      </c>
      <c r="K265" s="2" t="str" cm="1">
        <f t="array" ref="K265">_xlfn.XLOOKUP(F265,Customers!A264:$A$1001,Customers!G264:$G$1001,"Not Found",0)</f>
        <v>United States</v>
      </c>
      <c r="L265" t="str">
        <f>INDEX(Products!$A$1:$G$49,MATCH(Orders!$G265,Products!$A$1:$A$49,0),MATCH(Orders!L$1,Products!$A$1:$G$1,0))</f>
        <v>Lib</v>
      </c>
      <c r="M265" t="str">
        <f>INDEX(Products!$A$1:$G$49,MATCH(Orders!$G265,Products!$A$1:$A$49,0),MATCH(Orders!M$1,Products!$A$1:$G$1,0))</f>
        <v>M</v>
      </c>
      <c r="N265" s="4">
        <f>INDEX(Products!$A$1:$G$49,MATCH(Orders!$G265,Products!$A$1:$A$49,0),MATCH(Orders!N$1,Products!$A$1:$G$1,0))</f>
        <v>2.5</v>
      </c>
      <c r="O265" s="7">
        <f>INDEX(Products!$A$1:$G$49,MATCH(Orders!$G265,Products!$A$1:$A$49,0),MATCH(Orders!O$1,Products!$A$1:$G$1,0))</f>
        <v>33.464999999999996</v>
      </c>
      <c r="P265" s="7">
        <f t="shared" si="4"/>
        <v>133.85999999999999</v>
      </c>
      <c r="Q265" t="str" cm="1">
        <f t="array" ref="Q265">_xlfn.IFS(L265="Rob","Robusta",L265="Exc", "Excelsa",L265="Ara", "Arabica",L265="Lib", "Liberica")</f>
        <v>Liberica</v>
      </c>
      <c r="R265" t="str" cm="1">
        <f t="array" ref="R265">_xlfn.IFS(M265="M","Medium",M265="L","Light",M265="D","Dark")</f>
        <v>Medium</v>
      </c>
    </row>
    <row r="266" spans="1:18">
      <c r="A266" s="2" t="s">
        <v>590</v>
      </c>
      <c r="B266" s="3">
        <v>44683</v>
      </c>
      <c r="C266" s="9">
        <f>YEAR(Orders_Table[[#This Row],[Order Date]])</f>
        <v>2022</v>
      </c>
      <c r="D266" s="9">
        <f>MONTH(Orders_Table[[#This Row],[Order Date]])</f>
        <v>5</v>
      </c>
      <c r="E266" s="9" t="str" cm="1">
        <f t="array" ref="E2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66" s="2" t="s">
        <v>591</v>
      </c>
      <c r="G266" t="s">
        <v>236</v>
      </c>
      <c r="H266" s="2">
        <v>5</v>
      </c>
      <c r="I266" s="2" t="str" cm="1">
        <f t="array" ref="I266">_xlfn.XLOOKUP(F266,Customers!A265:$A$1001,Customers!B265:$B$1001,"Not Found",0)</f>
        <v>Arabella Fransewich</v>
      </c>
      <c r="J266" s="2" t="str" cm="1">
        <f t="array" ref="J266">IF(_xlfn.XLOOKUP(F266,Customers!A265:$A$1001,Customers!C265:$C$1001,"Not Found",0)=0,"",_xlfn.XLOOKUP(F266,Customers!A265:$A$1001,Customers!C265:$C$1001,"Not Found",0))</f>
        <v/>
      </c>
      <c r="K266" s="2" t="str" cm="1">
        <f t="array" ref="K266">_xlfn.XLOOKUP(F266,Customers!A265:$A$1001,Customers!G265:$G$1001,"Not Found",0)</f>
        <v>Ireland</v>
      </c>
      <c r="L266" t="str">
        <f>INDEX(Products!$A$1:$G$49,MATCH(Orders!$G266,Products!$A$1:$A$49,0),MATCH(Orders!L$1,Products!$A$1:$G$1,0))</f>
        <v>Rob</v>
      </c>
      <c r="M266" t="str">
        <f>INDEX(Products!$A$1:$G$49,MATCH(Orders!$G266,Products!$A$1:$A$49,0),MATCH(Orders!M$1,Products!$A$1:$G$1,0))</f>
        <v>L</v>
      </c>
      <c r="N266" s="4">
        <f>INDEX(Products!$A$1:$G$49,MATCH(Orders!$G266,Products!$A$1:$A$49,0),MATCH(Orders!N$1,Products!$A$1:$G$1,0))</f>
        <v>1</v>
      </c>
      <c r="O266" s="7">
        <f>INDEX(Products!$A$1:$G$49,MATCH(Orders!$G266,Products!$A$1:$A$49,0),MATCH(Orders!O$1,Products!$A$1:$G$1,0))</f>
        <v>11.95</v>
      </c>
      <c r="P266" s="7">
        <f t="shared" si="4"/>
        <v>59.75</v>
      </c>
      <c r="Q266" t="str" cm="1">
        <f t="array" ref="Q266">_xlfn.IFS(L266="Rob","Robusta",L266="Exc", "Excelsa",L266="Ara", "Arabica",L266="Lib", "Liberica")</f>
        <v>Robusta</v>
      </c>
      <c r="R266" t="str" cm="1">
        <f t="array" ref="R266">_xlfn.IFS(M266="M","Medium",M266="L","Light",M266="D","Dark")</f>
        <v>Light</v>
      </c>
    </row>
    <row r="267" spans="1:18">
      <c r="A267" s="2" t="s">
        <v>592</v>
      </c>
      <c r="B267" s="3">
        <v>43872</v>
      </c>
      <c r="C267" s="9">
        <f>YEAR(Orders_Table[[#This Row],[Order Date]])</f>
        <v>2020</v>
      </c>
      <c r="D267" s="9">
        <f>MONTH(Orders_Table[[#This Row],[Order Date]])</f>
        <v>2</v>
      </c>
      <c r="E267" s="9" t="str" cm="1">
        <f t="array" ref="E2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67" s="2" t="s">
        <v>593</v>
      </c>
      <c r="G267" t="s">
        <v>119</v>
      </c>
      <c r="H267" s="2">
        <v>1</v>
      </c>
      <c r="I267" s="2" t="str" cm="1">
        <f t="array" ref="I267">_xlfn.XLOOKUP(F267,Customers!A266:$A$1001,Customers!B266:$B$1001,"Not Found",0)</f>
        <v>Violette Hellmore</v>
      </c>
      <c r="J267" s="2" t="str" cm="1">
        <f t="array" ref="J267">IF(_xlfn.XLOOKUP(F267,Customers!A266:$A$1001,Customers!C266:$C$1001,"Not Found",0)=0,"",_xlfn.XLOOKUP(F267,Customers!A266:$A$1001,Customers!C266:$C$1001,"Not Found",0))</f>
        <v>vhellmore7d@bbc.co.uk</v>
      </c>
      <c r="K267" s="2" t="str" cm="1">
        <f t="array" ref="K267">_xlfn.XLOOKUP(F267,Customers!A266:$A$1001,Customers!G266:$G$1001,"Not Found",0)</f>
        <v>United States</v>
      </c>
      <c r="L267" t="str">
        <f>INDEX(Products!$A$1:$G$49,MATCH(Orders!$G267,Products!$A$1:$A$49,0),MATCH(Orders!L$1,Products!$A$1:$G$1,0))</f>
        <v>Ara</v>
      </c>
      <c r="M267" t="str">
        <f>INDEX(Products!$A$1:$G$49,MATCH(Orders!$G267,Products!$A$1:$A$49,0),MATCH(Orders!M$1,Products!$A$1:$G$1,0))</f>
        <v>D</v>
      </c>
      <c r="N267" s="4">
        <f>INDEX(Products!$A$1:$G$49,MATCH(Orders!$G267,Products!$A$1:$A$49,0),MATCH(Orders!N$1,Products!$A$1:$G$1,0))</f>
        <v>0.5</v>
      </c>
      <c r="O267" s="7">
        <f>INDEX(Products!$A$1:$G$49,MATCH(Orders!$G267,Products!$A$1:$A$49,0),MATCH(Orders!O$1,Products!$A$1:$G$1,0))</f>
        <v>5.97</v>
      </c>
      <c r="P267" s="7">
        <f t="shared" si="4"/>
        <v>5.97</v>
      </c>
      <c r="Q267" t="str" cm="1">
        <f t="array" ref="Q267">_xlfn.IFS(L267="Rob","Robusta",L267="Exc", "Excelsa",L267="Ara", "Arabica",L267="Lib", "Liberica")</f>
        <v>Arabica</v>
      </c>
      <c r="R267" t="str" cm="1">
        <f t="array" ref="R267">_xlfn.IFS(M267="M","Medium",M267="L","Light",M267="D","Dark")</f>
        <v>Dark</v>
      </c>
    </row>
    <row r="268" spans="1:18">
      <c r="A268" s="2" t="s">
        <v>594</v>
      </c>
      <c r="B268" s="3">
        <v>44283</v>
      </c>
      <c r="C268" s="9">
        <f>YEAR(Orders_Table[[#This Row],[Order Date]])</f>
        <v>2021</v>
      </c>
      <c r="D268" s="9">
        <f>MONTH(Orders_Table[[#This Row],[Order Date]])</f>
        <v>3</v>
      </c>
      <c r="E268" s="9" t="str" cm="1">
        <f t="array" ref="E2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68" s="2" t="s">
        <v>595</v>
      </c>
      <c r="G268" t="s">
        <v>292</v>
      </c>
      <c r="H268" s="2">
        <v>2</v>
      </c>
      <c r="I268" s="2" t="str" cm="1">
        <f t="array" ref="I268">_xlfn.XLOOKUP(F268,Customers!A267:$A$1001,Customers!B267:$B$1001,"Not Found",0)</f>
        <v>Myles Seawright</v>
      </c>
      <c r="J268" s="2" t="str" cm="1">
        <f t="array" ref="J268">IF(_xlfn.XLOOKUP(F268,Customers!A267:$A$1001,Customers!C267:$C$1001,"Not Found",0)=0,"",_xlfn.XLOOKUP(F268,Customers!A267:$A$1001,Customers!C267:$C$1001,"Not Found",0))</f>
        <v>mseawright7e@nbcnews.com</v>
      </c>
      <c r="K268" s="2" t="str" cm="1">
        <f t="array" ref="K268">_xlfn.XLOOKUP(F268,Customers!A267:$A$1001,Customers!G267:$G$1001,"Not Found",0)</f>
        <v>United Kingdom</v>
      </c>
      <c r="L268" t="str">
        <f>INDEX(Products!$A$1:$G$49,MATCH(Orders!$G268,Products!$A$1:$A$49,0),MATCH(Orders!L$1,Products!$A$1:$G$1,0))</f>
        <v>Exc</v>
      </c>
      <c r="M268" t="str">
        <f>INDEX(Products!$A$1:$G$49,MATCH(Orders!$G268,Products!$A$1:$A$49,0),MATCH(Orders!M$1,Products!$A$1:$G$1,0))</f>
        <v>D</v>
      </c>
      <c r="N268" s="4">
        <f>INDEX(Products!$A$1:$G$49,MATCH(Orders!$G268,Products!$A$1:$A$49,0),MATCH(Orders!N$1,Products!$A$1:$G$1,0))</f>
        <v>1</v>
      </c>
      <c r="O268" s="7">
        <f>INDEX(Products!$A$1:$G$49,MATCH(Orders!$G268,Products!$A$1:$A$49,0),MATCH(Orders!O$1,Products!$A$1:$G$1,0))</f>
        <v>12.15</v>
      </c>
      <c r="P268" s="7">
        <f t="shared" si="4"/>
        <v>24.3</v>
      </c>
      <c r="Q268" t="str" cm="1">
        <f t="array" ref="Q268">_xlfn.IFS(L268="Rob","Robusta",L268="Exc", "Excelsa",L268="Ara", "Arabica",L268="Lib", "Liberica")</f>
        <v>Excelsa</v>
      </c>
      <c r="R268" t="str" cm="1">
        <f t="array" ref="R268">_xlfn.IFS(M268="M","Medium",M268="L","Light",M268="D","Dark")</f>
        <v>Dark</v>
      </c>
    </row>
    <row r="269" spans="1:18">
      <c r="A269" s="2" t="s">
        <v>596</v>
      </c>
      <c r="B269" s="3">
        <v>44324</v>
      </c>
      <c r="C269" s="9">
        <f>YEAR(Orders_Table[[#This Row],[Order Date]])</f>
        <v>2021</v>
      </c>
      <c r="D269" s="9">
        <f>MONTH(Orders_Table[[#This Row],[Order Date]])</f>
        <v>5</v>
      </c>
      <c r="E269" s="9" t="str" cm="1">
        <f t="array" ref="E2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69" s="2" t="s">
        <v>597</v>
      </c>
      <c r="G269" t="s">
        <v>98</v>
      </c>
      <c r="H269" s="2">
        <v>6</v>
      </c>
      <c r="I269" s="2" t="str" cm="1">
        <f t="array" ref="I269">_xlfn.XLOOKUP(F269,Customers!A268:$A$1001,Customers!B268:$B$1001,"Not Found",0)</f>
        <v>Silvana Northeast</v>
      </c>
      <c r="J269" s="2" t="str" cm="1">
        <f t="array" ref="J269">IF(_xlfn.XLOOKUP(F269,Customers!A268:$A$1001,Customers!C268:$C$1001,"Not Found",0)=0,"",_xlfn.XLOOKUP(F269,Customers!A268:$A$1001,Customers!C268:$C$1001,"Not Found",0))</f>
        <v>snortheast7f@mashable.com</v>
      </c>
      <c r="K269" s="2" t="str" cm="1">
        <f t="array" ref="K269">_xlfn.XLOOKUP(F269,Customers!A268:$A$1001,Customers!G268:$G$1001,"Not Found",0)</f>
        <v>United States</v>
      </c>
      <c r="L269" t="str">
        <f>INDEX(Products!$A$1:$G$49,MATCH(Orders!$G269,Products!$A$1:$A$49,0),MATCH(Orders!L$1,Products!$A$1:$G$1,0))</f>
        <v>Exc</v>
      </c>
      <c r="M269" t="str">
        <f>INDEX(Products!$A$1:$G$49,MATCH(Orders!$G269,Products!$A$1:$A$49,0),MATCH(Orders!M$1,Products!$A$1:$G$1,0))</f>
        <v>D</v>
      </c>
      <c r="N269" s="4">
        <f>INDEX(Products!$A$1:$G$49,MATCH(Orders!$G269,Products!$A$1:$A$49,0),MATCH(Orders!N$1,Products!$A$1:$G$1,0))</f>
        <v>0.2</v>
      </c>
      <c r="O269" s="7">
        <f>INDEX(Products!$A$1:$G$49,MATCH(Orders!$G269,Products!$A$1:$A$49,0),MATCH(Orders!O$1,Products!$A$1:$G$1,0))</f>
        <v>3.645</v>
      </c>
      <c r="P269" s="7">
        <f t="shared" si="4"/>
        <v>21.87</v>
      </c>
      <c r="Q269" t="str" cm="1">
        <f t="array" ref="Q269">_xlfn.IFS(L269="Rob","Robusta",L269="Exc", "Excelsa",L269="Ara", "Arabica",L269="Lib", "Liberica")</f>
        <v>Excelsa</v>
      </c>
      <c r="R269" t="str" cm="1">
        <f t="array" ref="R269">_xlfn.IFS(M269="M","Medium",M269="L","Light",M269="D","Dark")</f>
        <v>Dark</v>
      </c>
    </row>
    <row r="270" spans="1:18">
      <c r="A270" s="2" t="s">
        <v>598</v>
      </c>
      <c r="B270" s="3">
        <v>43790</v>
      </c>
      <c r="C270" s="9">
        <f>YEAR(Orders_Table[[#This Row],[Order Date]])</f>
        <v>2019</v>
      </c>
      <c r="D270" s="9">
        <f>MONTH(Orders_Table[[#This Row],[Order Date]])</f>
        <v>11</v>
      </c>
      <c r="E270" s="9" t="str" cm="1">
        <f t="array" ref="E2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70" s="2" t="s">
        <v>485</v>
      </c>
      <c r="G270" t="s">
        <v>74</v>
      </c>
      <c r="H270" s="2">
        <v>2</v>
      </c>
      <c r="I270" s="2" t="str" cm="1">
        <f t="array" ref="I270">_xlfn.XLOOKUP(F270,Customers!A269:$A$1001,Customers!B269:$B$1001,"Not Found",0)</f>
        <v>Not Found</v>
      </c>
      <c r="J270" s="2" t="str" cm="1">
        <f t="array" ref="J270">IF(_xlfn.XLOOKUP(F270,Customers!A269:$A$1001,Customers!C269:$C$1001,"Not Found",0)=0,"",_xlfn.XLOOKUP(F270,Customers!A269:$A$1001,Customers!C269:$C$1001,"Not Found",0))</f>
        <v>Not Found</v>
      </c>
      <c r="K270" s="2" t="str" cm="1">
        <f t="array" ref="K270">_xlfn.XLOOKUP(F270,Customers!A269:$A$1001,Customers!G269:$G$1001,"Not Found",0)</f>
        <v>Not Found</v>
      </c>
      <c r="L270" t="str">
        <f>INDEX(Products!$A$1:$G$49,MATCH(Orders!$G270,Products!$A$1:$A$49,0),MATCH(Orders!L$1,Products!$A$1:$G$1,0))</f>
        <v>Ara</v>
      </c>
      <c r="M270" t="str">
        <f>INDEX(Products!$A$1:$G$49,MATCH(Orders!$G270,Products!$A$1:$A$49,0),MATCH(Orders!M$1,Products!$A$1:$G$1,0))</f>
        <v>D</v>
      </c>
      <c r="N270" s="4">
        <f>INDEX(Products!$A$1:$G$49,MATCH(Orders!$G270,Products!$A$1:$A$49,0),MATCH(Orders!N$1,Products!$A$1:$G$1,0))</f>
        <v>1</v>
      </c>
      <c r="O270" s="7">
        <f>INDEX(Products!$A$1:$G$49,MATCH(Orders!$G270,Products!$A$1:$A$49,0),MATCH(Orders!O$1,Products!$A$1:$G$1,0))</f>
        <v>9.9499999999999993</v>
      </c>
      <c r="P270" s="7">
        <f t="shared" si="4"/>
        <v>19.899999999999999</v>
      </c>
      <c r="Q270" t="str" cm="1">
        <f t="array" ref="Q270">_xlfn.IFS(L270="Rob","Robusta",L270="Exc", "Excelsa",L270="Ara", "Arabica",L270="Lib", "Liberica")</f>
        <v>Arabica</v>
      </c>
      <c r="R270" t="str" cm="1">
        <f t="array" ref="R270">_xlfn.IFS(M270="M","Medium",M270="L","Light",M270="D","Dark")</f>
        <v>Dark</v>
      </c>
    </row>
    <row r="271" spans="1:18">
      <c r="A271" s="2" t="s">
        <v>599</v>
      </c>
      <c r="B271" s="3">
        <v>44333</v>
      </c>
      <c r="C271" s="9">
        <f>YEAR(Orders_Table[[#This Row],[Order Date]])</f>
        <v>2021</v>
      </c>
      <c r="D271" s="9">
        <f>MONTH(Orders_Table[[#This Row],[Order Date]])</f>
        <v>5</v>
      </c>
      <c r="E271" s="9" t="str" cm="1">
        <f t="array" ref="E2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71" s="2" t="s">
        <v>600</v>
      </c>
      <c r="G271" t="s">
        <v>101</v>
      </c>
      <c r="H271" s="2">
        <v>2</v>
      </c>
      <c r="I271" s="2" t="str" cm="1">
        <f t="array" ref="I271">_xlfn.XLOOKUP(F271,Customers!A270:$A$1001,Customers!B270:$B$1001,"Not Found",0)</f>
        <v>Monica Fearon</v>
      </c>
      <c r="J271" s="2" t="str" cm="1">
        <f t="array" ref="J271">IF(_xlfn.XLOOKUP(F271,Customers!A270:$A$1001,Customers!C270:$C$1001,"Not Found",0)=0,"",_xlfn.XLOOKUP(F271,Customers!A270:$A$1001,Customers!C270:$C$1001,"Not Found",0))</f>
        <v>mfearon7h@reverbnation.com</v>
      </c>
      <c r="K271" s="2" t="str" cm="1">
        <f t="array" ref="K271">_xlfn.XLOOKUP(F271,Customers!A270:$A$1001,Customers!G270:$G$1001,"Not Found",0)</f>
        <v>United States</v>
      </c>
      <c r="L271" t="str">
        <f>INDEX(Products!$A$1:$G$49,MATCH(Orders!$G271,Products!$A$1:$A$49,0),MATCH(Orders!L$1,Products!$A$1:$G$1,0))</f>
        <v>Ara</v>
      </c>
      <c r="M271" t="str">
        <f>INDEX(Products!$A$1:$G$49,MATCH(Orders!$G271,Products!$A$1:$A$49,0),MATCH(Orders!M$1,Products!$A$1:$G$1,0))</f>
        <v>D</v>
      </c>
      <c r="N271" s="4">
        <f>INDEX(Products!$A$1:$G$49,MATCH(Orders!$G271,Products!$A$1:$A$49,0),MATCH(Orders!N$1,Products!$A$1:$G$1,0))</f>
        <v>0.2</v>
      </c>
      <c r="O271" s="7">
        <f>INDEX(Products!$A$1:$G$49,MATCH(Orders!$G271,Products!$A$1:$A$49,0),MATCH(Orders!O$1,Products!$A$1:$G$1,0))</f>
        <v>2.9849999999999999</v>
      </c>
      <c r="P271" s="7">
        <f t="shared" si="4"/>
        <v>5.97</v>
      </c>
      <c r="Q271" t="str" cm="1">
        <f t="array" ref="Q271">_xlfn.IFS(L271="Rob","Robusta",L271="Exc", "Excelsa",L271="Ara", "Arabica",L271="Lib", "Liberica")</f>
        <v>Arabica</v>
      </c>
      <c r="R271" t="str" cm="1">
        <f t="array" ref="R271">_xlfn.IFS(M271="M","Medium",M271="L","Light",M271="D","Dark")</f>
        <v>Dark</v>
      </c>
    </row>
    <row r="272" spans="1:18">
      <c r="A272" s="2" t="s">
        <v>601</v>
      </c>
      <c r="B272" s="3">
        <v>43655</v>
      </c>
      <c r="C272" s="9">
        <f>YEAR(Orders_Table[[#This Row],[Order Date]])</f>
        <v>2019</v>
      </c>
      <c r="D272" s="9">
        <f>MONTH(Orders_Table[[#This Row],[Order Date]])</f>
        <v>7</v>
      </c>
      <c r="E272" s="9" t="str" cm="1">
        <f t="array" ref="E2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272" s="2" t="s">
        <v>602</v>
      </c>
      <c r="G272" t="s">
        <v>63</v>
      </c>
      <c r="H272" s="2">
        <v>1</v>
      </c>
      <c r="I272" s="2" t="str" cm="1">
        <f t="array" ref="I272">_xlfn.XLOOKUP(F272,Customers!A271:$A$1001,Customers!B271:$B$1001,"Not Found",0)</f>
        <v>Barney Chisnell</v>
      </c>
      <c r="J272" s="2" t="str" cm="1">
        <f t="array" ref="J272">IF(_xlfn.XLOOKUP(F272,Customers!A271:$A$1001,Customers!C271:$C$1001,"Not Found",0)=0,"",_xlfn.XLOOKUP(F272,Customers!A271:$A$1001,Customers!C271:$C$1001,"Not Found",0))</f>
        <v/>
      </c>
      <c r="K272" s="2" t="str" cm="1">
        <f t="array" ref="K272">_xlfn.XLOOKUP(F272,Customers!A271:$A$1001,Customers!G271:$G$1001,"Not Found",0)</f>
        <v>Ireland</v>
      </c>
      <c r="L272" t="str">
        <f>INDEX(Products!$A$1:$G$49,MATCH(Orders!$G272,Products!$A$1:$A$49,0),MATCH(Orders!L$1,Products!$A$1:$G$1,0))</f>
        <v>Exc</v>
      </c>
      <c r="M272" t="str">
        <f>INDEX(Products!$A$1:$G$49,MATCH(Orders!$G272,Products!$A$1:$A$49,0),MATCH(Orders!M$1,Products!$A$1:$G$1,0))</f>
        <v>D</v>
      </c>
      <c r="N272" s="4">
        <f>INDEX(Products!$A$1:$G$49,MATCH(Orders!$G272,Products!$A$1:$A$49,0),MATCH(Orders!N$1,Products!$A$1:$G$1,0))</f>
        <v>0.5</v>
      </c>
      <c r="O272" s="7">
        <f>INDEX(Products!$A$1:$G$49,MATCH(Orders!$G272,Products!$A$1:$A$49,0),MATCH(Orders!O$1,Products!$A$1:$G$1,0))</f>
        <v>7.29</v>
      </c>
      <c r="P272" s="7">
        <f t="shared" si="4"/>
        <v>7.29</v>
      </c>
      <c r="Q272" t="str" cm="1">
        <f t="array" ref="Q272">_xlfn.IFS(L272="Rob","Robusta",L272="Exc", "Excelsa",L272="Ara", "Arabica",L272="Lib", "Liberica")</f>
        <v>Excelsa</v>
      </c>
      <c r="R272" t="str" cm="1">
        <f t="array" ref="R272">_xlfn.IFS(M272="M","Medium",M272="L","Light",M272="D","Dark")</f>
        <v>Dark</v>
      </c>
    </row>
    <row r="273" spans="1:18">
      <c r="A273" s="2" t="s">
        <v>603</v>
      </c>
      <c r="B273" s="3">
        <v>43971</v>
      </c>
      <c r="C273" s="9">
        <f>YEAR(Orders_Table[[#This Row],[Order Date]])</f>
        <v>2020</v>
      </c>
      <c r="D273" s="9">
        <f>MONTH(Orders_Table[[#This Row],[Order Date]])</f>
        <v>5</v>
      </c>
      <c r="E273" s="9" t="str" cm="1">
        <f t="array" ref="E2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73" s="2" t="s">
        <v>604</v>
      </c>
      <c r="G273" t="s">
        <v>101</v>
      </c>
      <c r="H273" s="2">
        <v>4</v>
      </c>
      <c r="I273" s="2" t="str" cm="1">
        <f t="array" ref="I273">_xlfn.XLOOKUP(F273,Customers!A272:$A$1001,Customers!B272:$B$1001,"Not Found",0)</f>
        <v>Jasper Sisneros</v>
      </c>
      <c r="J273" s="2" t="str" cm="1">
        <f t="array" ref="J273">IF(_xlfn.XLOOKUP(F273,Customers!A272:$A$1001,Customers!C272:$C$1001,"Not Found",0)=0,"",_xlfn.XLOOKUP(F273,Customers!A272:$A$1001,Customers!C272:$C$1001,"Not Found",0))</f>
        <v>jsisneros7j@a8.net</v>
      </c>
      <c r="K273" s="2" t="str" cm="1">
        <f t="array" ref="K273">_xlfn.XLOOKUP(F273,Customers!A272:$A$1001,Customers!G272:$G$1001,"Not Found",0)</f>
        <v>United States</v>
      </c>
      <c r="L273" t="str">
        <f>INDEX(Products!$A$1:$G$49,MATCH(Orders!$G273,Products!$A$1:$A$49,0),MATCH(Orders!L$1,Products!$A$1:$G$1,0))</f>
        <v>Ara</v>
      </c>
      <c r="M273" t="str">
        <f>INDEX(Products!$A$1:$G$49,MATCH(Orders!$G273,Products!$A$1:$A$49,0),MATCH(Orders!M$1,Products!$A$1:$G$1,0))</f>
        <v>D</v>
      </c>
      <c r="N273" s="4">
        <f>INDEX(Products!$A$1:$G$49,MATCH(Orders!$G273,Products!$A$1:$A$49,0),MATCH(Orders!N$1,Products!$A$1:$G$1,0))</f>
        <v>0.2</v>
      </c>
      <c r="O273" s="7">
        <f>INDEX(Products!$A$1:$G$49,MATCH(Orders!$G273,Products!$A$1:$A$49,0),MATCH(Orders!O$1,Products!$A$1:$G$1,0))</f>
        <v>2.9849999999999999</v>
      </c>
      <c r="P273" s="7">
        <f t="shared" si="4"/>
        <v>11.94</v>
      </c>
      <c r="Q273" t="str" cm="1">
        <f t="array" ref="Q273">_xlfn.IFS(L273="Rob","Robusta",L273="Exc", "Excelsa",L273="Ara", "Arabica",L273="Lib", "Liberica")</f>
        <v>Arabica</v>
      </c>
      <c r="R273" t="str" cm="1">
        <f t="array" ref="R273">_xlfn.IFS(M273="M","Medium",M273="L","Light",M273="D","Dark")</f>
        <v>Dark</v>
      </c>
    </row>
    <row r="274" spans="1:18">
      <c r="A274" s="2" t="s">
        <v>605</v>
      </c>
      <c r="B274" s="3">
        <v>44435</v>
      </c>
      <c r="C274" s="9">
        <f>YEAR(Orders_Table[[#This Row],[Order Date]])</f>
        <v>2021</v>
      </c>
      <c r="D274" s="9">
        <f>MONTH(Orders_Table[[#This Row],[Order Date]])</f>
        <v>8</v>
      </c>
      <c r="E274" s="9" t="str" cm="1">
        <f t="array" ref="E2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74" s="2" t="s">
        <v>606</v>
      </c>
      <c r="G274" t="s">
        <v>236</v>
      </c>
      <c r="H274" s="2">
        <v>6</v>
      </c>
      <c r="I274" s="2" t="str" cm="1">
        <f t="array" ref="I274">_xlfn.XLOOKUP(F274,Customers!A273:$A$1001,Customers!B273:$B$1001,"Not Found",0)</f>
        <v>Zachariah Carlson</v>
      </c>
      <c r="J274" s="2" t="str" cm="1">
        <f t="array" ref="J274">IF(_xlfn.XLOOKUP(F274,Customers!A273:$A$1001,Customers!C273:$C$1001,"Not Found",0)=0,"",_xlfn.XLOOKUP(F274,Customers!A273:$A$1001,Customers!C273:$C$1001,"Not Found",0))</f>
        <v>zcarlson7k@bigcartel.com</v>
      </c>
      <c r="K274" s="2" t="str" cm="1">
        <f t="array" ref="K274">_xlfn.XLOOKUP(F274,Customers!A273:$A$1001,Customers!G273:$G$1001,"Not Found",0)</f>
        <v>Ireland</v>
      </c>
      <c r="L274" t="str">
        <f>INDEX(Products!$A$1:$G$49,MATCH(Orders!$G274,Products!$A$1:$A$49,0),MATCH(Orders!L$1,Products!$A$1:$G$1,0))</f>
        <v>Rob</v>
      </c>
      <c r="M274" t="str">
        <f>INDEX(Products!$A$1:$G$49,MATCH(Orders!$G274,Products!$A$1:$A$49,0),MATCH(Orders!M$1,Products!$A$1:$G$1,0))</f>
        <v>L</v>
      </c>
      <c r="N274" s="4">
        <f>INDEX(Products!$A$1:$G$49,MATCH(Orders!$G274,Products!$A$1:$A$49,0),MATCH(Orders!N$1,Products!$A$1:$G$1,0))</f>
        <v>1</v>
      </c>
      <c r="O274" s="7">
        <f>INDEX(Products!$A$1:$G$49,MATCH(Orders!$G274,Products!$A$1:$A$49,0),MATCH(Orders!O$1,Products!$A$1:$G$1,0))</f>
        <v>11.95</v>
      </c>
      <c r="P274" s="7">
        <f t="shared" si="4"/>
        <v>71.699999999999989</v>
      </c>
      <c r="Q274" t="str" cm="1">
        <f t="array" ref="Q274">_xlfn.IFS(L274="Rob","Robusta",L274="Exc", "Excelsa",L274="Ara", "Arabica",L274="Lib", "Liberica")</f>
        <v>Robusta</v>
      </c>
      <c r="R274" t="str" cm="1">
        <f t="array" ref="R274">_xlfn.IFS(M274="M","Medium",M274="L","Light",M274="D","Dark")</f>
        <v>Light</v>
      </c>
    </row>
    <row r="275" spans="1:18">
      <c r="A275" s="2" t="s">
        <v>607</v>
      </c>
      <c r="B275" s="3">
        <v>44681</v>
      </c>
      <c r="C275" s="9">
        <f>YEAR(Orders_Table[[#This Row],[Order Date]])</f>
        <v>2022</v>
      </c>
      <c r="D275" s="9">
        <f>MONTH(Orders_Table[[#This Row],[Order Date]])</f>
        <v>4</v>
      </c>
      <c r="E275" s="9" t="str" cm="1">
        <f t="array" ref="E2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75" s="2" t="s">
        <v>608</v>
      </c>
      <c r="G275" t="s">
        <v>162</v>
      </c>
      <c r="H275" s="2">
        <v>2</v>
      </c>
      <c r="I275" s="2" t="str" cm="1">
        <f t="array" ref="I275">_xlfn.XLOOKUP(F275,Customers!A274:$A$1001,Customers!B274:$B$1001,"Not Found",0)</f>
        <v>Warner Maddox</v>
      </c>
      <c r="J275" s="2" t="str" cm="1">
        <f t="array" ref="J275">IF(_xlfn.XLOOKUP(F275,Customers!A274:$A$1001,Customers!C274:$C$1001,"Not Found",0)=0,"",_xlfn.XLOOKUP(F275,Customers!A274:$A$1001,Customers!C274:$C$1001,"Not Found",0))</f>
        <v>wmaddox7l@timesonline.co.uk</v>
      </c>
      <c r="K275" s="2" t="str" cm="1">
        <f t="array" ref="K275">_xlfn.XLOOKUP(F275,Customers!A274:$A$1001,Customers!G274:$G$1001,"Not Found",0)</f>
        <v>United States</v>
      </c>
      <c r="L275" t="str">
        <f>INDEX(Products!$A$1:$G$49,MATCH(Orders!$G275,Products!$A$1:$A$49,0),MATCH(Orders!L$1,Products!$A$1:$G$1,0))</f>
        <v>Ara</v>
      </c>
      <c r="M275" t="str">
        <f>INDEX(Products!$A$1:$G$49,MATCH(Orders!$G275,Products!$A$1:$A$49,0),MATCH(Orders!M$1,Products!$A$1:$G$1,0))</f>
        <v>L</v>
      </c>
      <c r="N275" s="4">
        <f>INDEX(Products!$A$1:$G$49,MATCH(Orders!$G275,Products!$A$1:$A$49,0),MATCH(Orders!N$1,Products!$A$1:$G$1,0))</f>
        <v>0.2</v>
      </c>
      <c r="O275" s="7">
        <f>INDEX(Products!$A$1:$G$49,MATCH(Orders!$G275,Products!$A$1:$A$49,0),MATCH(Orders!O$1,Products!$A$1:$G$1,0))</f>
        <v>3.8849999999999998</v>
      </c>
      <c r="P275" s="7">
        <f t="shared" si="4"/>
        <v>7.77</v>
      </c>
      <c r="Q275" t="str" cm="1">
        <f t="array" ref="Q275">_xlfn.IFS(L275="Rob","Robusta",L275="Exc", "Excelsa",L275="Ara", "Arabica",L275="Lib", "Liberica")</f>
        <v>Arabica</v>
      </c>
      <c r="R275" t="str" cm="1">
        <f t="array" ref="R275">_xlfn.IFS(M275="M","Medium",M275="L","Light",M275="D","Dark")</f>
        <v>Light</v>
      </c>
    </row>
    <row r="276" spans="1:18">
      <c r="A276" s="2" t="s">
        <v>609</v>
      </c>
      <c r="B276" s="3">
        <v>43985</v>
      </c>
      <c r="C276" s="9">
        <f>YEAR(Orders_Table[[#This Row],[Order Date]])</f>
        <v>2020</v>
      </c>
      <c r="D276" s="9">
        <f>MONTH(Orders_Table[[#This Row],[Order Date]])</f>
        <v>6</v>
      </c>
      <c r="E276" s="9" t="str" cm="1">
        <f t="array" ref="E2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76" s="2" t="s">
        <v>610</v>
      </c>
      <c r="G276" t="s">
        <v>218</v>
      </c>
      <c r="H276" s="2">
        <v>1</v>
      </c>
      <c r="I276" s="2" t="str" cm="1">
        <f t="array" ref="I276">_xlfn.XLOOKUP(F276,Customers!A275:$A$1001,Customers!B275:$B$1001,"Not Found",0)</f>
        <v>Donnie Hedlestone</v>
      </c>
      <c r="J276" s="2" t="str" cm="1">
        <f t="array" ref="J276">IF(_xlfn.XLOOKUP(F276,Customers!A275:$A$1001,Customers!C275:$C$1001,"Not Found",0)=0,"",_xlfn.XLOOKUP(F276,Customers!A275:$A$1001,Customers!C275:$C$1001,"Not Found",0))</f>
        <v>dhedlestone7m@craigslist.org</v>
      </c>
      <c r="K276" s="2" t="str" cm="1">
        <f t="array" ref="K276">_xlfn.XLOOKUP(F276,Customers!A275:$A$1001,Customers!G275:$G$1001,"Not Found",0)</f>
        <v>United States</v>
      </c>
      <c r="L276" t="str">
        <f>INDEX(Products!$A$1:$G$49,MATCH(Orders!$G276,Products!$A$1:$A$49,0),MATCH(Orders!L$1,Products!$A$1:$G$1,0))</f>
        <v>Ara</v>
      </c>
      <c r="M276" t="str">
        <f>INDEX(Products!$A$1:$G$49,MATCH(Orders!$G276,Products!$A$1:$A$49,0),MATCH(Orders!M$1,Products!$A$1:$G$1,0))</f>
        <v>M</v>
      </c>
      <c r="N276" s="4">
        <f>INDEX(Products!$A$1:$G$49,MATCH(Orders!$G276,Products!$A$1:$A$49,0),MATCH(Orders!N$1,Products!$A$1:$G$1,0))</f>
        <v>2.5</v>
      </c>
      <c r="O276" s="7">
        <f>INDEX(Products!$A$1:$G$49,MATCH(Orders!$G276,Products!$A$1:$A$49,0),MATCH(Orders!O$1,Products!$A$1:$G$1,0))</f>
        <v>25.874999999999996</v>
      </c>
      <c r="P276" s="7">
        <f t="shared" si="4"/>
        <v>25.874999999999996</v>
      </c>
      <c r="Q276" t="str" cm="1">
        <f t="array" ref="Q276">_xlfn.IFS(L276="Rob","Robusta",L276="Exc", "Excelsa",L276="Ara", "Arabica",L276="Lib", "Liberica")</f>
        <v>Arabica</v>
      </c>
      <c r="R276" t="str" cm="1">
        <f t="array" ref="R276">_xlfn.IFS(M276="M","Medium",M276="L","Light",M276="D","Dark")</f>
        <v>Medium</v>
      </c>
    </row>
    <row r="277" spans="1:18">
      <c r="A277" s="2" t="s">
        <v>611</v>
      </c>
      <c r="B277" s="3">
        <v>44725</v>
      </c>
      <c r="C277" s="9">
        <f>YEAR(Orders_Table[[#This Row],[Order Date]])</f>
        <v>2022</v>
      </c>
      <c r="D277" s="9">
        <f>MONTH(Orders_Table[[#This Row],[Order Date]])</f>
        <v>6</v>
      </c>
      <c r="E277" s="9" t="str" cm="1">
        <f t="array" ref="E2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77" s="2" t="s">
        <v>612</v>
      </c>
      <c r="G277" t="s">
        <v>77</v>
      </c>
      <c r="H277" s="2">
        <v>6</v>
      </c>
      <c r="I277" s="2" t="str" cm="1">
        <f t="array" ref="I277">_xlfn.XLOOKUP(F277,Customers!A276:$A$1001,Customers!B276:$B$1001,"Not Found",0)</f>
        <v>Teddi Crowthe</v>
      </c>
      <c r="J277" s="2" t="str" cm="1">
        <f t="array" ref="J277">IF(_xlfn.XLOOKUP(F277,Customers!A276:$A$1001,Customers!C276:$C$1001,"Not Found",0)=0,"",_xlfn.XLOOKUP(F277,Customers!A276:$A$1001,Customers!C276:$C$1001,"Not Found",0))</f>
        <v>tcrowthe7n@europa.eu</v>
      </c>
      <c r="K277" s="2" t="str" cm="1">
        <f t="array" ref="K277">_xlfn.XLOOKUP(F277,Customers!A276:$A$1001,Customers!G276:$G$1001,"Not Found",0)</f>
        <v>United States</v>
      </c>
      <c r="L277" t="str">
        <f>INDEX(Products!$A$1:$G$49,MATCH(Orders!$G277,Products!$A$1:$A$49,0),MATCH(Orders!L$1,Products!$A$1:$G$1,0))</f>
        <v>Exc</v>
      </c>
      <c r="M277" t="str">
        <f>INDEX(Products!$A$1:$G$49,MATCH(Orders!$G277,Products!$A$1:$A$49,0),MATCH(Orders!M$1,Products!$A$1:$G$1,0))</f>
        <v>L</v>
      </c>
      <c r="N277" s="4">
        <f>INDEX(Products!$A$1:$G$49,MATCH(Orders!$G277,Products!$A$1:$A$49,0),MATCH(Orders!N$1,Products!$A$1:$G$1,0))</f>
        <v>2.5</v>
      </c>
      <c r="O277" s="7">
        <f>INDEX(Products!$A$1:$G$49,MATCH(Orders!$G277,Products!$A$1:$A$49,0),MATCH(Orders!O$1,Products!$A$1:$G$1,0))</f>
        <v>34.154999999999994</v>
      </c>
      <c r="P277" s="7">
        <f t="shared" si="4"/>
        <v>204.92999999999995</v>
      </c>
      <c r="Q277" t="str" cm="1">
        <f t="array" ref="Q277">_xlfn.IFS(L277="Rob","Robusta",L277="Exc", "Excelsa",L277="Ara", "Arabica",L277="Lib", "Liberica")</f>
        <v>Excelsa</v>
      </c>
      <c r="R277" t="str" cm="1">
        <f t="array" ref="R277">_xlfn.IFS(M277="M","Medium",M277="L","Light",M277="D","Dark")</f>
        <v>Light</v>
      </c>
    </row>
    <row r="278" spans="1:18">
      <c r="A278" s="2" t="s">
        <v>613</v>
      </c>
      <c r="B278" s="3">
        <v>43992</v>
      </c>
      <c r="C278" s="9">
        <f>YEAR(Orders_Table[[#This Row],[Order Date]])</f>
        <v>2020</v>
      </c>
      <c r="D278" s="9">
        <f>MONTH(Orders_Table[[#This Row],[Order Date]])</f>
        <v>6</v>
      </c>
      <c r="E278" s="9" t="str" cm="1">
        <f t="array" ref="E2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78" s="2" t="s">
        <v>614</v>
      </c>
      <c r="G278" t="s">
        <v>57</v>
      </c>
      <c r="H278" s="2">
        <v>4</v>
      </c>
      <c r="I278" s="2" t="str" cm="1">
        <f t="array" ref="I278">_xlfn.XLOOKUP(F278,Customers!A277:$A$1001,Customers!B277:$B$1001,"Not Found",0)</f>
        <v>Dorelia Bury</v>
      </c>
      <c r="J278" s="2" t="str" cm="1">
        <f t="array" ref="J278">IF(_xlfn.XLOOKUP(F278,Customers!A277:$A$1001,Customers!C277:$C$1001,"Not Found",0)=0,"",_xlfn.XLOOKUP(F278,Customers!A277:$A$1001,Customers!C277:$C$1001,"Not Found",0))</f>
        <v>dbury7o@tinyurl.com</v>
      </c>
      <c r="K278" s="2" t="str" cm="1">
        <f t="array" ref="K278">_xlfn.XLOOKUP(F278,Customers!A277:$A$1001,Customers!G277:$G$1001,"Not Found",0)</f>
        <v>Ireland</v>
      </c>
      <c r="L278" t="str">
        <f>INDEX(Products!$A$1:$G$49,MATCH(Orders!$G278,Products!$A$1:$A$49,0),MATCH(Orders!L$1,Products!$A$1:$G$1,0))</f>
        <v>Rob</v>
      </c>
      <c r="M278" t="str">
        <f>INDEX(Products!$A$1:$G$49,MATCH(Orders!$G278,Products!$A$1:$A$49,0),MATCH(Orders!M$1,Products!$A$1:$G$1,0))</f>
        <v>L</v>
      </c>
      <c r="N278" s="4">
        <f>INDEX(Products!$A$1:$G$49,MATCH(Orders!$G278,Products!$A$1:$A$49,0),MATCH(Orders!N$1,Products!$A$1:$G$1,0))</f>
        <v>2.5</v>
      </c>
      <c r="O278" s="7">
        <f>INDEX(Products!$A$1:$G$49,MATCH(Orders!$G278,Products!$A$1:$A$49,0),MATCH(Orders!O$1,Products!$A$1:$G$1,0))</f>
        <v>27.484999999999996</v>
      </c>
      <c r="P278" s="7">
        <f t="shared" si="4"/>
        <v>109.93999999999998</v>
      </c>
      <c r="Q278" t="str" cm="1">
        <f t="array" ref="Q278">_xlfn.IFS(L278="Rob","Robusta",L278="Exc", "Excelsa",L278="Ara", "Arabica",L278="Lib", "Liberica")</f>
        <v>Robusta</v>
      </c>
      <c r="R278" t="str" cm="1">
        <f t="array" ref="R278">_xlfn.IFS(M278="M","Medium",M278="L","Light",M278="D","Dark")</f>
        <v>Light</v>
      </c>
    </row>
    <row r="279" spans="1:18">
      <c r="A279" s="2" t="s">
        <v>615</v>
      </c>
      <c r="B279" s="3">
        <v>44183</v>
      </c>
      <c r="C279" s="9">
        <f>YEAR(Orders_Table[[#This Row],[Order Date]])</f>
        <v>2020</v>
      </c>
      <c r="D279" s="9">
        <f>MONTH(Orders_Table[[#This Row],[Order Date]])</f>
        <v>12</v>
      </c>
      <c r="E279" s="9" t="str" cm="1">
        <f t="array" ref="E2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79" s="2" t="s">
        <v>616</v>
      </c>
      <c r="G279" t="s">
        <v>184</v>
      </c>
      <c r="H279" s="2">
        <v>6</v>
      </c>
      <c r="I279" s="2" t="str" cm="1">
        <f t="array" ref="I279">_xlfn.XLOOKUP(F279,Customers!A278:$A$1001,Customers!B278:$B$1001,"Not Found",0)</f>
        <v>Gussy Broadbear</v>
      </c>
      <c r="J279" s="2" t="str" cm="1">
        <f t="array" ref="J279">IF(_xlfn.XLOOKUP(F279,Customers!A278:$A$1001,Customers!C278:$C$1001,"Not Found",0)=0,"",_xlfn.XLOOKUP(F279,Customers!A278:$A$1001,Customers!C278:$C$1001,"Not Found",0))</f>
        <v>gbroadbear7p@omniture.com</v>
      </c>
      <c r="K279" s="2" t="str" cm="1">
        <f t="array" ref="K279">_xlfn.XLOOKUP(F279,Customers!A278:$A$1001,Customers!G278:$G$1001,"Not Found",0)</f>
        <v>United States</v>
      </c>
      <c r="L279" t="str">
        <f>INDEX(Products!$A$1:$G$49,MATCH(Orders!$G279,Products!$A$1:$A$49,0),MATCH(Orders!L$1,Products!$A$1:$G$1,0))</f>
        <v>Exc</v>
      </c>
      <c r="M279" t="str">
        <f>INDEX(Products!$A$1:$G$49,MATCH(Orders!$G279,Products!$A$1:$A$49,0),MATCH(Orders!M$1,Products!$A$1:$G$1,0))</f>
        <v>L</v>
      </c>
      <c r="N279" s="4">
        <f>INDEX(Products!$A$1:$G$49,MATCH(Orders!$G279,Products!$A$1:$A$49,0),MATCH(Orders!N$1,Products!$A$1:$G$1,0))</f>
        <v>1</v>
      </c>
      <c r="O279" s="7">
        <f>INDEX(Products!$A$1:$G$49,MATCH(Orders!$G279,Products!$A$1:$A$49,0),MATCH(Orders!O$1,Products!$A$1:$G$1,0))</f>
        <v>14.85</v>
      </c>
      <c r="P279" s="7">
        <f t="shared" si="4"/>
        <v>89.1</v>
      </c>
      <c r="Q279" t="str" cm="1">
        <f t="array" ref="Q279">_xlfn.IFS(L279="Rob","Robusta",L279="Exc", "Excelsa",L279="Ara", "Arabica",L279="Lib", "Liberica")</f>
        <v>Excelsa</v>
      </c>
      <c r="R279" t="str" cm="1">
        <f t="array" ref="R279">_xlfn.IFS(M279="M","Medium",M279="L","Light",M279="D","Dark")</f>
        <v>Light</v>
      </c>
    </row>
    <row r="280" spans="1:18">
      <c r="A280" s="2" t="s">
        <v>617</v>
      </c>
      <c r="B280" s="3">
        <v>43708</v>
      </c>
      <c r="C280" s="9">
        <f>YEAR(Orders_Table[[#This Row],[Order Date]])</f>
        <v>2019</v>
      </c>
      <c r="D280" s="9">
        <f>MONTH(Orders_Table[[#This Row],[Order Date]])</f>
        <v>8</v>
      </c>
      <c r="E280" s="9" t="str" cm="1">
        <f t="array" ref="E2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80" s="2" t="s">
        <v>618</v>
      </c>
      <c r="G280" t="s">
        <v>162</v>
      </c>
      <c r="H280" s="2">
        <v>2</v>
      </c>
      <c r="I280" s="2" t="str" cm="1">
        <f t="array" ref="I280">_xlfn.XLOOKUP(F280,Customers!A279:$A$1001,Customers!B279:$B$1001,"Not Found",0)</f>
        <v>Emlynne Palfrey</v>
      </c>
      <c r="J280" s="2" t="str" cm="1">
        <f t="array" ref="J280">IF(_xlfn.XLOOKUP(F280,Customers!A279:$A$1001,Customers!C279:$C$1001,"Not Found",0)=0,"",_xlfn.XLOOKUP(F280,Customers!A279:$A$1001,Customers!C279:$C$1001,"Not Found",0))</f>
        <v>epalfrey7q@devhub.com</v>
      </c>
      <c r="K280" s="2" t="str" cm="1">
        <f t="array" ref="K280">_xlfn.XLOOKUP(F280,Customers!A279:$A$1001,Customers!G279:$G$1001,"Not Found",0)</f>
        <v>United States</v>
      </c>
      <c r="L280" t="str">
        <f>INDEX(Products!$A$1:$G$49,MATCH(Orders!$G280,Products!$A$1:$A$49,0),MATCH(Orders!L$1,Products!$A$1:$G$1,0))</f>
        <v>Ara</v>
      </c>
      <c r="M280" t="str">
        <f>INDEX(Products!$A$1:$G$49,MATCH(Orders!$G280,Products!$A$1:$A$49,0),MATCH(Orders!M$1,Products!$A$1:$G$1,0))</f>
        <v>L</v>
      </c>
      <c r="N280" s="4">
        <f>INDEX(Products!$A$1:$G$49,MATCH(Orders!$G280,Products!$A$1:$A$49,0),MATCH(Orders!N$1,Products!$A$1:$G$1,0))</f>
        <v>0.2</v>
      </c>
      <c r="O280" s="7">
        <f>INDEX(Products!$A$1:$G$49,MATCH(Orders!$G280,Products!$A$1:$A$49,0),MATCH(Orders!O$1,Products!$A$1:$G$1,0))</f>
        <v>3.8849999999999998</v>
      </c>
      <c r="P280" s="7">
        <f t="shared" si="4"/>
        <v>7.77</v>
      </c>
      <c r="Q280" t="str" cm="1">
        <f t="array" ref="Q280">_xlfn.IFS(L280="Rob","Robusta",L280="Exc", "Excelsa",L280="Ara", "Arabica",L280="Lib", "Liberica")</f>
        <v>Arabica</v>
      </c>
      <c r="R280" t="str" cm="1">
        <f t="array" ref="R280">_xlfn.IFS(M280="M","Medium",M280="L","Light",M280="D","Dark")</f>
        <v>Light</v>
      </c>
    </row>
    <row r="281" spans="1:18">
      <c r="A281" s="2" t="s">
        <v>619</v>
      </c>
      <c r="B281" s="3">
        <v>43521</v>
      </c>
      <c r="C281" s="9">
        <f>YEAR(Orders_Table[[#This Row],[Order Date]])</f>
        <v>2019</v>
      </c>
      <c r="D281" s="9">
        <f>MONTH(Orders_Table[[#This Row],[Order Date]])</f>
        <v>2</v>
      </c>
      <c r="E281" s="9" t="str" cm="1">
        <f t="array" ref="E2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81" s="2" t="s">
        <v>620</v>
      </c>
      <c r="G281" t="s">
        <v>244</v>
      </c>
      <c r="H281" s="2">
        <v>1</v>
      </c>
      <c r="I281" s="2" t="str" cm="1">
        <f t="array" ref="I281">_xlfn.XLOOKUP(F281,Customers!A280:$A$1001,Customers!B280:$B$1001,"Not Found",0)</f>
        <v>Parsifal Metrick</v>
      </c>
      <c r="J281" s="2" t="str" cm="1">
        <f t="array" ref="J281">IF(_xlfn.XLOOKUP(F281,Customers!A280:$A$1001,Customers!C280:$C$1001,"Not Found",0)=0,"",_xlfn.XLOOKUP(F281,Customers!A280:$A$1001,Customers!C280:$C$1001,"Not Found",0))</f>
        <v>pmetrick7r@rakuten.co.jp</v>
      </c>
      <c r="K281" s="2" t="str" cm="1">
        <f t="array" ref="K281">_xlfn.XLOOKUP(F281,Customers!A280:$A$1001,Customers!G280:$G$1001,"Not Found",0)</f>
        <v>United States</v>
      </c>
      <c r="L281" t="str">
        <f>INDEX(Products!$A$1:$G$49,MATCH(Orders!$G281,Products!$A$1:$A$49,0),MATCH(Orders!L$1,Products!$A$1:$G$1,0))</f>
        <v>Lib</v>
      </c>
      <c r="M281" t="str">
        <f>INDEX(Products!$A$1:$G$49,MATCH(Orders!$G281,Products!$A$1:$A$49,0),MATCH(Orders!M$1,Products!$A$1:$G$1,0))</f>
        <v>M</v>
      </c>
      <c r="N281" s="4">
        <f>INDEX(Products!$A$1:$G$49,MATCH(Orders!$G281,Products!$A$1:$A$49,0),MATCH(Orders!N$1,Products!$A$1:$G$1,0))</f>
        <v>2.5</v>
      </c>
      <c r="O281" s="7">
        <f>INDEX(Products!$A$1:$G$49,MATCH(Orders!$G281,Products!$A$1:$A$49,0),MATCH(Orders!O$1,Products!$A$1:$G$1,0))</f>
        <v>33.464999999999996</v>
      </c>
      <c r="P281" s="7">
        <f t="shared" si="4"/>
        <v>33.464999999999996</v>
      </c>
      <c r="Q281" t="str" cm="1">
        <f t="array" ref="Q281">_xlfn.IFS(L281="Rob","Robusta",L281="Exc", "Excelsa",L281="Ara", "Arabica",L281="Lib", "Liberica")</f>
        <v>Liberica</v>
      </c>
      <c r="R281" t="str" cm="1">
        <f t="array" ref="R281">_xlfn.IFS(M281="M","Medium",M281="L","Light",M281="D","Dark")</f>
        <v>Medium</v>
      </c>
    </row>
    <row r="282" spans="1:18">
      <c r="A282" s="2" t="s">
        <v>621</v>
      </c>
      <c r="B282" s="3">
        <v>44234</v>
      </c>
      <c r="C282" s="9">
        <f>YEAR(Orders_Table[[#This Row],[Order Date]])</f>
        <v>2021</v>
      </c>
      <c r="D282" s="9">
        <f>MONTH(Orders_Table[[#This Row],[Order Date]])</f>
        <v>2</v>
      </c>
      <c r="E282" s="9" t="str" cm="1">
        <f t="array" ref="E2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82" s="2" t="s">
        <v>622</v>
      </c>
      <c r="G282" t="s">
        <v>50</v>
      </c>
      <c r="H282" s="2">
        <v>5</v>
      </c>
      <c r="I282" s="2" t="str" cm="1">
        <f t="array" ref="I282">_xlfn.XLOOKUP(F282,Customers!A281:$A$1001,Customers!B281:$B$1001,"Not Found",0)</f>
        <v>Christopher Grieveson</v>
      </c>
      <c r="J282" s="2" t="str" cm="1">
        <f t="array" ref="J282">IF(_xlfn.XLOOKUP(F282,Customers!A281:$A$1001,Customers!C281:$C$1001,"Not Found",0)=0,"",_xlfn.XLOOKUP(F282,Customers!A281:$A$1001,Customers!C281:$C$1001,"Not Found",0))</f>
        <v/>
      </c>
      <c r="K282" s="2" t="str" cm="1">
        <f t="array" ref="K282">_xlfn.XLOOKUP(F282,Customers!A281:$A$1001,Customers!G281:$G$1001,"Not Found",0)</f>
        <v>United States</v>
      </c>
      <c r="L282" t="str">
        <f>INDEX(Products!$A$1:$G$49,MATCH(Orders!$G282,Products!$A$1:$A$49,0),MATCH(Orders!L$1,Products!$A$1:$G$1,0))</f>
        <v>Exc</v>
      </c>
      <c r="M282" t="str">
        <f>INDEX(Products!$A$1:$G$49,MATCH(Orders!$G282,Products!$A$1:$A$49,0),MATCH(Orders!M$1,Products!$A$1:$G$1,0))</f>
        <v>M</v>
      </c>
      <c r="N282" s="4">
        <f>INDEX(Products!$A$1:$G$49,MATCH(Orders!$G282,Products!$A$1:$A$49,0),MATCH(Orders!N$1,Products!$A$1:$G$1,0))</f>
        <v>0.5</v>
      </c>
      <c r="O282" s="7">
        <f>INDEX(Products!$A$1:$G$49,MATCH(Orders!$G282,Products!$A$1:$A$49,0),MATCH(Orders!O$1,Products!$A$1:$G$1,0))</f>
        <v>8.25</v>
      </c>
      <c r="P282" s="7">
        <f t="shared" si="4"/>
        <v>41.25</v>
      </c>
      <c r="Q282" t="str" cm="1">
        <f t="array" ref="Q282">_xlfn.IFS(L282="Rob","Robusta",L282="Exc", "Excelsa",L282="Ara", "Arabica",L282="Lib", "Liberica")</f>
        <v>Excelsa</v>
      </c>
      <c r="R282" t="str" cm="1">
        <f t="array" ref="R282">_xlfn.IFS(M282="M","Medium",M282="L","Light",M282="D","Dark")</f>
        <v>Medium</v>
      </c>
    </row>
    <row r="283" spans="1:18">
      <c r="A283" s="2" t="s">
        <v>623</v>
      </c>
      <c r="B283" s="3">
        <v>44210</v>
      </c>
      <c r="C283" s="9">
        <f>YEAR(Orders_Table[[#This Row],[Order Date]])</f>
        <v>2021</v>
      </c>
      <c r="D283" s="9">
        <f>MONTH(Orders_Table[[#This Row],[Order Date]])</f>
        <v>1</v>
      </c>
      <c r="E283" s="9" t="str" cm="1">
        <f t="array" ref="E2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283" s="2" t="s">
        <v>624</v>
      </c>
      <c r="G283" t="s">
        <v>184</v>
      </c>
      <c r="H283" s="2">
        <v>4</v>
      </c>
      <c r="I283" s="2" t="str" cm="1">
        <f t="array" ref="I283">_xlfn.XLOOKUP(F283,Customers!A282:$A$1001,Customers!B282:$B$1001,"Not Found",0)</f>
        <v>Karlan Karby</v>
      </c>
      <c r="J283" s="2" t="str" cm="1">
        <f t="array" ref="J283">IF(_xlfn.XLOOKUP(F283,Customers!A282:$A$1001,Customers!C282:$C$1001,"Not Found",0)=0,"",_xlfn.XLOOKUP(F283,Customers!A282:$A$1001,Customers!C282:$C$1001,"Not Found",0))</f>
        <v>kkarby7t@sbwire.com</v>
      </c>
      <c r="K283" s="2" t="str" cm="1">
        <f t="array" ref="K283">_xlfn.XLOOKUP(F283,Customers!A282:$A$1001,Customers!G282:$G$1001,"Not Found",0)</f>
        <v>United States</v>
      </c>
      <c r="L283" t="str">
        <f>INDEX(Products!$A$1:$G$49,MATCH(Orders!$G283,Products!$A$1:$A$49,0),MATCH(Orders!L$1,Products!$A$1:$G$1,0))</f>
        <v>Exc</v>
      </c>
      <c r="M283" t="str">
        <f>INDEX(Products!$A$1:$G$49,MATCH(Orders!$G283,Products!$A$1:$A$49,0),MATCH(Orders!M$1,Products!$A$1:$G$1,0))</f>
        <v>L</v>
      </c>
      <c r="N283" s="4">
        <f>INDEX(Products!$A$1:$G$49,MATCH(Orders!$G283,Products!$A$1:$A$49,0),MATCH(Orders!N$1,Products!$A$1:$G$1,0))</f>
        <v>1</v>
      </c>
      <c r="O283" s="7">
        <f>INDEX(Products!$A$1:$G$49,MATCH(Orders!$G283,Products!$A$1:$A$49,0),MATCH(Orders!O$1,Products!$A$1:$G$1,0))</f>
        <v>14.85</v>
      </c>
      <c r="P283" s="7">
        <f t="shared" si="4"/>
        <v>59.4</v>
      </c>
      <c r="Q283" t="str" cm="1">
        <f t="array" ref="Q283">_xlfn.IFS(L283="Rob","Robusta",L283="Exc", "Excelsa",L283="Ara", "Arabica",L283="Lib", "Liberica")</f>
        <v>Excelsa</v>
      </c>
      <c r="R283" t="str" cm="1">
        <f t="array" ref="R283">_xlfn.IFS(M283="M","Medium",M283="L","Light",M283="D","Dark")</f>
        <v>Light</v>
      </c>
    </row>
    <row r="284" spans="1:18">
      <c r="A284" s="2" t="s">
        <v>625</v>
      </c>
      <c r="B284" s="3">
        <v>43520</v>
      </c>
      <c r="C284" s="9">
        <f>YEAR(Orders_Table[[#This Row],[Order Date]])</f>
        <v>2019</v>
      </c>
      <c r="D284" s="9">
        <f>MONTH(Orders_Table[[#This Row],[Order Date]])</f>
        <v>2</v>
      </c>
      <c r="E284" s="9" t="str" cm="1">
        <f t="array" ref="E2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284" s="2" t="s">
        <v>626</v>
      </c>
      <c r="G284" t="s">
        <v>239</v>
      </c>
      <c r="H284" s="2">
        <v>1</v>
      </c>
      <c r="I284" s="2" t="str" cm="1">
        <f t="array" ref="I284">_xlfn.XLOOKUP(F284,Customers!A283:$A$1001,Customers!B283:$B$1001,"Not Found",0)</f>
        <v>Flory Crumpe</v>
      </c>
      <c r="J284" s="2" t="str" cm="1">
        <f t="array" ref="J284">IF(_xlfn.XLOOKUP(F284,Customers!A283:$A$1001,Customers!C283:$C$1001,"Not Found",0)=0,"",_xlfn.XLOOKUP(F284,Customers!A283:$A$1001,Customers!C283:$C$1001,"Not Found",0))</f>
        <v>fcrumpe7u@ftc.gov</v>
      </c>
      <c r="K284" s="2" t="str" cm="1">
        <f t="array" ref="K284">_xlfn.XLOOKUP(F284,Customers!A283:$A$1001,Customers!G283:$G$1001,"Not Found",0)</f>
        <v>United Kingdom</v>
      </c>
      <c r="L284" t="str">
        <f>INDEX(Products!$A$1:$G$49,MATCH(Orders!$G284,Products!$A$1:$A$49,0),MATCH(Orders!L$1,Products!$A$1:$G$1,0))</f>
        <v>Ara</v>
      </c>
      <c r="M284" t="str">
        <f>INDEX(Products!$A$1:$G$49,MATCH(Orders!$G284,Products!$A$1:$A$49,0),MATCH(Orders!M$1,Products!$A$1:$G$1,0))</f>
        <v>L</v>
      </c>
      <c r="N284" s="4">
        <f>INDEX(Products!$A$1:$G$49,MATCH(Orders!$G284,Products!$A$1:$A$49,0),MATCH(Orders!N$1,Products!$A$1:$G$1,0))</f>
        <v>0.5</v>
      </c>
      <c r="O284" s="7">
        <f>INDEX(Products!$A$1:$G$49,MATCH(Orders!$G284,Products!$A$1:$A$49,0),MATCH(Orders!O$1,Products!$A$1:$G$1,0))</f>
        <v>7.77</v>
      </c>
      <c r="P284" s="7">
        <f t="shared" si="4"/>
        <v>7.77</v>
      </c>
      <c r="Q284" t="str" cm="1">
        <f t="array" ref="Q284">_xlfn.IFS(L284="Rob","Robusta",L284="Exc", "Excelsa",L284="Ara", "Arabica",L284="Lib", "Liberica")</f>
        <v>Arabica</v>
      </c>
      <c r="R284" t="str" cm="1">
        <f t="array" ref="R284">_xlfn.IFS(M284="M","Medium",M284="L","Light",M284="D","Dark")</f>
        <v>Light</v>
      </c>
    </row>
    <row r="285" spans="1:18">
      <c r="A285" s="2" t="s">
        <v>627</v>
      </c>
      <c r="B285" s="3">
        <v>43639</v>
      </c>
      <c r="C285" s="9">
        <f>YEAR(Orders_Table[[#This Row],[Order Date]])</f>
        <v>2019</v>
      </c>
      <c r="D285" s="9">
        <f>MONTH(Orders_Table[[#This Row],[Order Date]])</f>
        <v>6</v>
      </c>
      <c r="E285" s="9" t="str" cm="1">
        <f t="array" ref="E2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285" s="2" t="s">
        <v>628</v>
      </c>
      <c r="G285" t="s">
        <v>193</v>
      </c>
      <c r="H285" s="2">
        <v>1</v>
      </c>
      <c r="I285" s="2" t="str" cm="1">
        <f t="array" ref="I285">_xlfn.XLOOKUP(F285,Customers!A284:$A$1001,Customers!B284:$B$1001,"Not Found",0)</f>
        <v>Amity Chatto</v>
      </c>
      <c r="J285" s="2" t="str" cm="1">
        <f t="array" ref="J285">IF(_xlfn.XLOOKUP(F285,Customers!A284:$A$1001,Customers!C284:$C$1001,"Not Found",0)=0,"",_xlfn.XLOOKUP(F285,Customers!A284:$A$1001,Customers!C284:$C$1001,"Not Found",0))</f>
        <v>achatto7v@sakura.ne.jp</v>
      </c>
      <c r="K285" s="2" t="str" cm="1">
        <f t="array" ref="K285">_xlfn.XLOOKUP(F285,Customers!A284:$A$1001,Customers!G284:$G$1001,"Not Found",0)</f>
        <v>United Kingdom</v>
      </c>
      <c r="L285" t="str">
        <f>INDEX(Products!$A$1:$G$49,MATCH(Orders!$G285,Products!$A$1:$A$49,0),MATCH(Orders!L$1,Products!$A$1:$G$1,0))</f>
        <v>Rob</v>
      </c>
      <c r="M285" t="str">
        <f>INDEX(Products!$A$1:$G$49,MATCH(Orders!$G285,Products!$A$1:$A$49,0),MATCH(Orders!M$1,Products!$A$1:$G$1,0))</f>
        <v>D</v>
      </c>
      <c r="N285" s="4">
        <f>INDEX(Products!$A$1:$G$49,MATCH(Orders!$G285,Products!$A$1:$A$49,0),MATCH(Orders!N$1,Products!$A$1:$G$1,0))</f>
        <v>0.5</v>
      </c>
      <c r="O285" s="7">
        <f>INDEX(Products!$A$1:$G$49,MATCH(Orders!$G285,Products!$A$1:$A$49,0),MATCH(Orders!O$1,Products!$A$1:$G$1,0))</f>
        <v>5.3699999999999992</v>
      </c>
      <c r="P285" s="7">
        <f t="shared" si="4"/>
        <v>5.3699999999999992</v>
      </c>
      <c r="Q285" t="str" cm="1">
        <f t="array" ref="Q285">_xlfn.IFS(L285="Rob","Robusta",L285="Exc", "Excelsa",L285="Ara", "Arabica",L285="Lib", "Liberica")</f>
        <v>Robusta</v>
      </c>
      <c r="R285" t="str" cm="1">
        <f t="array" ref="R285">_xlfn.IFS(M285="M","Medium",M285="L","Light",M285="D","Dark")</f>
        <v>Dark</v>
      </c>
    </row>
    <row r="286" spans="1:18">
      <c r="A286" s="2" t="s">
        <v>629</v>
      </c>
      <c r="B286" s="3">
        <v>43960</v>
      </c>
      <c r="C286" s="9">
        <f>YEAR(Orders_Table[[#This Row],[Order Date]])</f>
        <v>2020</v>
      </c>
      <c r="D286" s="9">
        <f>MONTH(Orders_Table[[#This Row],[Order Date]])</f>
        <v>5</v>
      </c>
      <c r="E286" s="9" t="str" cm="1">
        <f t="array" ref="E2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86" s="2" t="s">
        <v>630</v>
      </c>
      <c r="G286" t="s">
        <v>159</v>
      </c>
      <c r="H286" s="2">
        <v>3</v>
      </c>
      <c r="I286" s="2" t="str" cm="1">
        <f t="array" ref="I286">_xlfn.XLOOKUP(F286,Customers!A285:$A$1001,Customers!B285:$B$1001,"Not Found",0)</f>
        <v>Nanine McCarthy</v>
      </c>
      <c r="J286" s="2" t="str" cm="1">
        <f t="array" ref="J286">IF(_xlfn.XLOOKUP(F286,Customers!A285:$A$1001,Customers!C285:$C$1001,"Not Found",0)=0,"",_xlfn.XLOOKUP(F286,Customers!A285:$A$1001,Customers!C285:$C$1001,"Not Found",0))</f>
        <v/>
      </c>
      <c r="K286" s="2" t="str" cm="1">
        <f t="array" ref="K286">_xlfn.XLOOKUP(F286,Customers!A285:$A$1001,Customers!G285:$G$1001,"Not Found",0)</f>
        <v>United States</v>
      </c>
      <c r="L286" t="str">
        <f>INDEX(Products!$A$1:$G$49,MATCH(Orders!$G286,Products!$A$1:$A$49,0),MATCH(Orders!L$1,Products!$A$1:$G$1,0))</f>
        <v>Exc</v>
      </c>
      <c r="M286" t="str">
        <f>INDEX(Products!$A$1:$G$49,MATCH(Orders!$G286,Products!$A$1:$A$49,0),MATCH(Orders!M$1,Products!$A$1:$G$1,0))</f>
        <v>M</v>
      </c>
      <c r="N286" s="4">
        <f>INDEX(Products!$A$1:$G$49,MATCH(Orders!$G286,Products!$A$1:$A$49,0),MATCH(Orders!N$1,Products!$A$1:$G$1,0))</f>
        <v>2.5</v>
      </c>
      <c r="O286" s="7">
        <f>INDEX(Products!$A$1:$G$49,MATCH(Orders!$G286,Products!$A$1:$A$49,0),MATCH(Orders!O$1,Products!$A$1:$G$1,0))</f>
        <v>31.624999999999996</v>
      </c>
      <c r="P286" s="7">
        <f t="shared" si="4"/>
        <v>94.874999999999986</v>
      </c>
      <c r="Q286" t="str" cm="1">
        <f t="array" ref="Q286">_xlfn.IFS(L286="Rob","Robusta",L286="Exc", "Excelsa",L286="Ara", "Arabica",L286="Lib", "Liberica")</f>
        <v>Excelsa</v>
      </c>
      <c r="R286" t="str" cm="1">
        <f t="array" ref="R286">_xlfn.IFS(M286="M","Medium",M286="L","Light",M286="D","Dark")</f>
        <v>Medium</v>
      </c>
    </row>
    <row r="287" spans="1:18">
      <c r="A287" s="2" t="s">
        <v>631</v>
      </c>
      <c r="B287" s="3">
        <v>44030</v>
      </c>
      <c r="C287" s="9">
        <f>YEAR(Orders_Table[[#This Row],[Order Date]])</f>
        <v>2020</v>
      </c>
      <c r="D287" s="9">
        <f>MONTH(Orders_Table[[#This Row],[Order Date]])</f>
        <v>7</v>
      </c>
      <c r="E287" s="9" t="str" cm="1">
        <f t="array" ref="E2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287" s="2" t="s">
        <v>632</v>
      </c>
      <c r="G287" t="s">
        <v>151</v>
      </c>
      <c r="H287" s="2">
        <v>1</v>
      </c>
      <c r="I287" s="2" t="str" cm="1">
        <f t="array" ref="I287">_xlfn.XLOOKUP(F287,Customers!A286:$A$1001,Customers!B286:$B$1001,"Not Found",0)</f>
        <v>Lyndsey Megany</v>
      </c>
      <c r="J287" s="2" t="str" cm="1">
        <f t="array" ref="J287">IF(_xlfn.XLOOKUP(F287,Customers!A286:$A$1001,Customers!C286:$C$1001,"Not Found",0)=0,"",_xlfn.XLOOKUP(F287,Customers!A286:$A$1001,Customers!C286:$C$1001,"Not Found",0))</f>
        <v/>
      </c>
      <c r="K287" s="2" t="str" cm="1">
        <f t="array" ref="K287">_xlfn.XLOOKUP(F287,Customers!A286:$A$1001,Customers!G286:$G$1001,"Not Found",0)</f>
        <v>United States</v>
      </c>
      <c r="L287" t="str">
        <f>INDEX(Products!$A$1:$G$49,MATCH(Orders!$G287,Products!$A$1:$A$49,0),MATCH(Orders!L$1,Products!$A$1:$G$1,0))</f>
        <v>Lib</v>
      </c>
      <c r="M287" t="str">
        <f>INDEX(Products!$A$1:$G$49,MATCH(Orders!$G287,Products!$A$1:$A$49,0),MATCH(Orders!M$1,Products!$A$1:$G$1,0))</f>
        <v>L</v>
      </c>
      <c r="N287" s="4">
        <f>INDEX(Products!$A$1:$G$49,MATCH(Orders!$G287,Products!$A$1:$A$49,0),MATCH(Orders!N$1,Products!$A$1:$G$1,0))</f>
        <v>2.5</v>
      </c>
      <c r="O287" s="7">
        <f>INDEX(Products!$A$1:$G$49,MATCH(Orders!$G287,Products!$A$1:$A$49,0),MATCH(Orders!O$1,Products!$A$1:$G$1,0))</f>
        <v>36.454999999999998</v>
      </c>
      <c r="P287" s="7">
        <f t="shared" si="4"/>
        <v>36.454999999999998</v>
      </c>
      <c r="Q287" t="str" cm="1">
        <f t="array" ref="Q287">_xlfn.IFS(L287="Rob","Robusta",L287="Exc", "Excelsa",L287="Ara", "Arabica",L287="Lib", "Liberica")</f>
        <v>Liberica</v>
      </c>
      <c r="R287" t="str" cm="1">
        <f t="array" ref="R287">_xlfn.IFS(M287="M","Medium",M287="L","Light",M287="D","Dark")</f>
        <v>Light</v>
      </c>
    </row>
    <row r="288" spans="1:18">
      <c r="A288" s="2" t="s">
        <v>633</v>
      </c>
      <c r="B288" s="3">
        <v>43755</v>
      </c>
      <c r="C288" s="9">
        <f>YEAR(Orders_Table[[#This Row],[Order Date]])</f>
        <v>2019</v>
      </c>
      <c r="D288" s="9">
        <f>MONTH(Orders_Table[[#This Row],[Order Date]])</f>
        <v>10</v>
      </c>
      <c r="E288" s="9" t="str" cm="1">
        <f t="array" ref="E2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88" s="2" t="s">
        <v>634</v>
      </c>
      <c r="G288" t="s">
        <v>91</v>
      </c>
      <c r="H288" s="2">
        <v>4</v>
      </c>
      <c r="I288" s="2" t="str" cm="1">
        <f t="array" ref="I288">_xlfn.XLOOKUP(F288,Customers!A287:$A$1001,Customers!B287:$B$1001,"Not Found",0)</f>
        <v>Byram Mergue</v>
      </c>
      <c r="J288" s="2" t="str" cm="1">
        <f t="array" ref="J288">IF(_xlfn.XLOOKUP(F288,Customers!A287:$A$1001,Customers!C287:$C$1001,"Not Found",0)=0,"",_xlfn.XLOOKUP(F288,Customers!A287:$A$1001,Customers!C287:$C$1001,"Not Found",0))</f>
        <v>bmergue7y@umn.edu</v>
      </c>
      <c r="K288" s="2" t="str" cm="1">
        <f t="array" ref="K288">_xlfn.XLOOKUP(F288,Customers!A287:$A$1001,Customers!G287:$G$1001,"Not Found",0)</f>
        <v>United States</v>
      </c>
      <c r="L288" t="str">
        <f>INDEX(Products!$A$1:$G$49,MATCH(Orders!$G288,Products!$A$1:$A$49,0),MATCH(Orders!L$1,Products!$A$1:$G$1,0))</f>
        <v>Ara</v>
      </c>
      <c r="M288" t="str">
        <f>INDEX(Products!$A$1:$G$49,MATCH(Orders!$G288,Products!$A$1:$A$49,0),MATCH(Orders!M$1,Products!$A$1:$G$1,0))</f>
        <v>M</v>
      </c>
      <c r="N288" s="4">
        <f>INDEX(Products!$A$1:$G$49,MATCH(Orders!$G288,Products!$A$1:$A$49,0),MATCH(Orders!N$1,Products!$A$1:$G$1,0))</f>
        <v>0.2</v>
      </c>
      <c r="O288" s="7">
        <f>INDEX(Products!$A$1:$G$49,MATCH(Orders!$G288,Products!$A$1:$A$49,0),MATCH(Orders!O$1,Products!$A$1:$G$1,0))</f>
        <v>3.375</v>
      </c>
      <c r="P288" s="7">
        <f t="shared" si="4"/>
        <v>13.5</v>
      </c>
      <c r="Q288" t="str" cm="1">
        <f t="array" ref="Q288">_xlfn.IFS(L288="Rob","Robusta",L288="Exc", "Excelsa",L288="Ara", "Arabica",L288="Lib", "Liberica")</f>
        <v>Arabica</v>
      </c>
      <c r="R288" t="str" cm="1">
        <f t="array" ref="R288">_xlfn.IFS(M288="M","Medium",M288="L","Light",M288="D","Dark")</f>
        <v>Medium</v>
      </c>
    </row>
    <row r="289" spans="1:18">
      <c r="A289" s="2" t="s">
        <v>635</v>
      </c>
      <c r="B289" s="3">
        <v>44697</v>
      </c>
      <c r="C289" s="9">
        <f>YEAR(Orders_Table[[#This Row],[Order Date]])</f>
        <v>2022</v>
      </c>
      <c r="D289" s="9">
        <f>MONTH(Orders_Table[[#This Row],[Order Date]])</f>
        <v>5</v>
      </c>
      <c r="E289" s="9" t="str" cm="1">
        <f t="array" ref="E2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89" s="2" t="s">
        <v>636</v>
      </c>
      <c r="G289" t="s">
        <v>229</v>
      </c>
      <c r="H289" s="2">
        <v>4</v>
      </c>
      <c r="I289" s="2" t="str" cm="1">
        <f t="array" ref="I289">_xlfn.XLOOKUP(F289,Customers!A288:$A$1001,Customers!B288:$B$1001,"Not Found",0)</f>
        <v>Kerr Patise</v>
      </c>
      <c r="J289" s="2" t="str" cm="1">
        <f t="array" ref="J289">IF(_xlfn.XLOOKUP(F289,Customers!A288:$A$1001,Customers!C288:$C$1001,"Not Found",0)=0,"",_xlfn.XLOOKUP(F289,Customers!A288:$A$1001,Customers!C288:$C$1001,"Not Found",0))</f>
        <v>kpatise7z@jigsy.com</v>
      </c>
      <c r="K289" s="2" t="str" cm="1">
        <f t="array" ref="K289">_xlfn.XLOOKUP(F289,Customers!A288:$A$1001,Customers!G288:$G$1001,"Not Found",0)</f>
        <v>United States</v>
      </c>
      <c r="L289" t="str">
        <f>INDEX(Products!$A$1:$G$49,MATCH(Orders!$G289,Products!$A$1:$A$49,0),MATCH(Orders!L$1,Products!$A$1:$G$1,0))</f>
        <v>Rob</v>
      </c>
      <c r="M289" t="str">
        <f>INDEX(Products!$A$1:$G$49,MATCH(Orders!$G289,Products!$A$1:$A$49,0),MATCH(Orders!M$1,Products!$A$1:$G$1,0))</f>
        <v>L</v>
      </c>
      <c r="N289" s="4">
        <f>INDEX(Products!$A$1:$G$49,MATCH(Orders!$G289,Products!$A$1:$A$49,0),MATCH(Orders!N$1,Products!$A$1:$G$1,0))</f>
        <v>0.2</v>
      </c>
      <c r="O289" s="7">
        <f>INDEX(Products!$A$1:$G$49,MATCH(Orders!$G289,Products!$A$1:$A$49,0),MATCH(Orders!O$1,Products!$A$1:$G$1,0))</f>
        <v>3.5849999999999995</v>
      </c>
      <c r="P289" s="7">
        <f t="shared" si="4"/>
        <v>14.339999999999998</v>
      </c>
      <c r="Q289" t="str" cm="1">
        <f t="array" ref="Q289">_xlfn.IFS(L289="Rob","Robusta",L289="Exc", "Excelsa",L289="Ara", "Arabica",L289="Lib", "Liberica")</f>
        <v>Robusta</v>
      </c>
      <c r="R289" t="str" cm="1">
        <f t="array" ref="R289">_xlfn.IFS(M289="M","Medium",M289="L","Light",M289="D","Dark")</f>
        <v>Light</v>
      </c>
    </row>
    <row r="290" spans="1:18">
      <c r="A290" s="2" t="s">
        <v>637</v>
      </c>
      <c r="B290" s="3">
        <v>44279</v>
      </c>
      <c r="C290" s="9">
        <f>YEAR(Orders_Table[[#This Row],[Order Date]])</f>
        <v>2021</v>
      </c>
      <c r="D290" s="9">
        <f>MONTH(Orders_Table[[#This Row],[Order Date]])</f>
        <v>3</v>
      </c>
      <c r="E290" s="9" t="str" cm="1">
        <f t="array" ref="E2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90" s="2" t="s">
        <v>638</v>
      </c>
      <c r="G290" t="s">
        <v>50</v>
      </c>
      <c r="H290" s="2">
        <v>1</v>
      </c>
      <c r="I290" s="2" t="str" cm="1">
        <f t="array" ref="I290">_xlfn.XLOOKUP(F290,Customers!A289:$A$1001,Customers!B289:$B$1001,"Not Found",0)</f>
        <v>Mathew Goulter</v>
      </c>
      <c r="J290" s="2" t="str" cm="1">
        <f t="array" ref="J290">IF(_xlfn.XLOOKUP(F290,Customers!A289:$A$1001,Customers!C289:$C$1001,"Not Found",0)=0,"",_xlfn.XLOOKUP(F290,Customers!A289:$A$1001,Customers!C289:$C$1001,"Not Found",0))</f>
        <v/>
      </c>
      <c r="K290" s="2" t="str" cm="1">
        <f t="array" ref="K290">_xlfn.XLOOKUP(F290,Customers!A289:$A$1001,Customers!G289:$G$1001,"Not Found",0)</f>
        <v>Ireland</v>
      </c>
      <c r="L290" t="str">
        <f>INDEX(Products!$A$1:$G$49,MATCH(Orders!$G290,Products!$A$1:$A$49,0),MATCH(Orders!L$1,Products!$A$1:$G$1,0))</f>
        <v>Exc</v>
      </c>
      <c r="M290" t="str">
        <f>INDEX(Products!$A$1:$G$49,MATCH(Orders!$G290,Products!$A$1:$A$49,0),MATCH(Orders!M$1,Products!$A$1:$G$1,0))</f>
        <v>M</v>
      </c>
      <c r="N290" s="4">
        <f>INDEX(Products!$A$1:$G$49,MATCH(Orders!$G290,Products!$A$1:$A$49,0),MATCH(Orders!N$1,Products!$A$1:$G$1,0))</f>
        <v>0.5</v>
      </c>
      <c r="O290" s="7">
        <f>INDEX(Products!$A$1:$G$49,MATCH(Orders!$G290,Products!$A$1:$A$49,0),MATCH(Orders!O$1,Products!$A$1:$G$1,0))</f>
        <v>8.25</v>
      </c>
      <c r="P290" s="7">
        <f t="shared" si="4"/>
        <v>8.25</v>
      </c>
      <c r="Q290" t="str" cm="1">
        <f t="array" ref="Q290">_xlfn.IFS(L290="Rob","Robusta",L290="Exc", "Excelsa",L290="Ara", "Arabica",L290="Lib", "Liberica")</f>
        <v>Excelsa</v>
      </c>
      <c r="R290" t="str" cm="1">
        <f t="array" ref="R290">_xlfn.IFS(M290="M","Medium",M290="L","Light",M290="D","Dark")</f>
        <v>Medium</v>
      </c>
    </row>
    <row r="291" spans="1:18">
      <c r="A291" s="2" t="s">
        <v>639</v>
      </c>
      <c r="B291" s="3">
        <v>43772</v>
      </c>
      <c r="C291" s="9">
        <f>YEAR(Orders_Table[[#This Row],[Order Date]])</f>
        <v>2019</v>
      </c>
      <c r="D291" s="9">
        <f>MONTH(Orders_Table[[#This Row],[Order Date]])</f>
        <v>11</v>
      </c>
      <c r="E291" s="9" t="str" cm="1">
        <f t="array" ref="E2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91" s="2" t="s">
        <v>640</v>
      </c>
      <c r="G291" t="s">
        <v>148</v>
      </c>
      <c r="H291" s="2">
        <v>5</v>
      </c>
      <c r="I291" s="2" t="str" cm="1">
        <f t="array" ref="I291">_xlfn.XLOOKUP(F291,Customers!A290:$A$1001,Customers!B290:$B$1001,"Not Found",0)</f>
        <v>Marris Grcic</v>
      </c>
      <c r="J291" s="2" t="str" cm="1">
        <f t="array" ref="J291">IF(_xlfn.XLOOKUP(F291,Customers!A290:$A$1001,Customers!C290:$C$1001,"Not Found",0)=0,"",_xlfn.XLOOKUP(F291,Customers!A290:$A$1001,Customers!C290:$C$1001,"Not Found",0))</f>
        <v/>
      </c>
      <c r="K291" s="2" t="str" cm="1">
        <f t="array" ref="K291">_xlfn.XLOOKUP(F291,Customers!A290:$A$1001,Customers!G290:$G$1001,"Not Found",0)</f>
        <v>United States</v>
      </c>
      <c r="L291" t="str">
        <f>INDEX(Products!$A$1:$G$49,MATCH(Orders!$G291,Products!$A$1:$A$49,0),MATCH(Orders!L$1,Products!$A$1:$G$1,0))</f>
        <v>Rob</v>
      </c>
      <c r="M291" t="str">
        <f>INDEX(Products!$A$1:$G$49,MATCH(Orders!$G291,Products!$A$1:$A$49,0),MATCH(Orders!M$1,Products!$A$1:$G$1,0))</f>
        <v>D</v>
      </c>
      <c r="N291" s="4">
        <f>INDEX(Products!$A$1:$G$49,MATCH(Orders!$G291,Products!$A$1:$A$49,0),MATCH(Orders!N$1,Products!$A$1:$G$1,0))</f>
        <v>0.2</v>
      </c>
      <c r="O291" s="7">
        <f>INDEX(Products!$A$1:$G$49,MATCH(Orders!$G291,Products!$A$1:$A$49,0),MATCH(Orders!O$1,Products!$A$1:$G$1,0))</f>
        <v>2.6849999999999996</v>
      </c>
      <c r="P291" s="7">
        <f t="shared" si="4"/>
        <v>13.424999999999997</v>
      </c>
      <c r="Q291" t="str" cm="1">
        <f t="array" ref="Q291">_xlfn.IFS(L291="Rob","Robusta",L291="Exc", "Excelsa",L291="Ara", "Arabica",L291="Lib", "Liberica")</f>
        <v>Robusta</v>
      </c>
      <c r="R291" t="str" cm="1">
        <f t="array" ref="R291">_xlfn.IFS(M291="M","Medium",M291="L","Light",M291="D","Dark")</f>
        <v>Dark</v>
      </c>
    </row>
    <row r="292" spans="1:18">
      <c r="A292" s="2" t="s">
        <v>641</v>
      </c>
      <c r="B292" s="3">
        <v>44497</v>
      </c>
      <c r="C292" s="9">
        <f>YEAR(Orders_Table[[#This Row],[Order Date]])</f>
        <v>2021</v>
      </c>
      <c r="D292" s="9">
        <f>MONTH(Orders_Table[[#This Row],[Order Date]])</f>
        <v>10</v>
      </c>
      <c r="E292" s="9" t="str" cm="1">
        <f t="array" ref="E2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292" s="2" t="s">
        <v>642</v>
      </c>
      <c r="G292" t="s">
        <v>74</v>
      </c>
      <c r="H292" s="2">
        <v>5</v>
      </c>
      <c r="I292" s="2" t="str" cm="1">
        <f t="array" ref="I292">_xlfn.XLOOKUP(F292,Customers!A291:$A$1001,Customers!B291:$B$1001,"Not Found",0)</f>
        <v>Domeniga Duke</v>
      </c>
      <c r="J292" s="2" t="str" cm="1">
        <f t="array" ref="J292">IF(_xlfn.XLOOKUP(F292,Customers!A291:$A$1001,Customers!C291:$C$1001,"Not Found",0)=0,"",_xlfn.XLOOKUP(F292,Customers!A291:$A$1001,Customers!C291:$C$1001,"Not Found",0))</f>
        <v>dduke82@vkontakte.ru</v>
      </c>
      <c r="K292" s="2" t="str" cm="1">
        <f t="array" ref="K292">_xlfn.XLOOKUP(F292,Customers!A291:$A$1001,Customers!G291:$G$1001,"Not Found",0)</f>
        <v>United States</v>
      </c>
      <c r="L292" t="str">
        <f>INDEX(Products!$A$1:$G$49,MATCH(Orders!$G292,Products!$A$1:$A$49,0),MATCH(Orders!L$1,Products!$A$1:$G$1,0))</f>
        <v>Ara</v>
      </c>
      <c r="M292" t="str">
        <f>INDEX(Products!$A$1:$G$49,MATCH(Orders!$G292,Products!$A$1:$A$49,0),MATCH(Orders!M$1,Products!$A$1:$G$1,0))</f>
        <v>D</v>
      </c>
      <c r="N292" s="4">
        <f>INDEX(Products!$A$1:$G$49,MATCH(Orders!$G292,Products!$A$1:$A$49,0),MATCH(Orders!N$1,Products!$A$1:$G$1,0))</f>
        <v>1</v>
      </c>
      <c r="O292" s="7">
        <f>INDEX(Products!$A$1:$G$49,MATCH(Orders!$G292,Products!$A$1:$A$49,0),MATCH(Orders!O$1,Products!$A$1:$G$1,0))</f>
        <v>9.9499999999999993</v>
      </c>
      <c r="P292" s="7">
        <f t="shared" si="4"/>
        <v>49.75</v>
      </c>
      <c r="Q292" t="str" cm="1">
        <f t="array" ref="Q292">_xlfn.IFS(L292="Rob","Robusta",L292="Exc", "Excelsa",L292="Ara", "Arabica",L292="Lib", "Liberica")</f>
        <v>Arabica</v>
      </c>
      <c r="R292" t="str" cm="1">
        <f t="array" ref="R292">_xlfn.IFS(M292="M","Medium",M292="L","Light",M292="D","Dark")</f>
        <v>Dark</v>
      </c>
    </row>
    <row r="293" spans="1:18">
      <c r="A293" s="2" t="s">
        <v>643</v>
      </c>
      <c r="B293" s="3">
        <v>44181</v>
      </c>
      <c r="C293" s="9">
        <f>YEAR(Orders_Table[[#This Row],[Order Date]])</f>
        <v>2020</v>
      </c>
      <c r="D293" s="9">
        <f>MONTH(Orders_Table[[#This Row],[Order Date]])</f>
        <v>12</v>
      </c>
      <c r="E293" s="9" t="str" cm="1">
        <f t="array" ref="E2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293" s="2" t="s">
        <v>644</v>
      </c>
      <c r="G293" t="s">
        <v>50</v>
      </c>
      <c r="H293" s="2">
        <v>2</v>
      </c>
      <c r="I293" s="2" t="str" cm="1">
        <f t="array" ref="I293">_xlfn.XLOOKUP(F293,Customers!A292:$A$1001,Customers!B292:$B$1001,"Not Found",0)</f>
        <v>Violante Skouling</v>
      </c>
      <c r="J293" s="2" t="str" cm="1">
        <f t="array" ref="J293">IF(_xlfn.XLOOKUP(F293,Customers!A292:$A$1001,Customers!C292:$C$1001,"Not Found",0)=0,"",_xlfn.XLOOKUP(F293,Customers!A292:$A$1001,Customers!C292:$C$1001,"Not Found",0))</f>
        <v/>
      </c>
      <c r="K293" s="2" t="str" cm="1">
        <f t="array" ref="K293">_xlfn.XLOOKUP(F293,Customers!A292:$A$1001,Customers!G292:$G$1001,"Not Found",0)</f>
        <v>Ireland</v>
      </c>
      <c r="L293" t="str">
        <f>INDEX(Products!$A$1:$G$49,MATCH(Orders!$G293,Products!$A$1:$A$49,0),MATCH(Orders!L$1,Products!$A$1:$G$1,0))</f>
        <v>Exc</v>
      </c>
      <c r="M293" t="str">
        <f>INDEX(Products!$A$1:$G$49,MATCH(Orders!$G293,Products!$A$1:$A$49,0),MATCH(Orders!M$1,Products!$A$1:$G$1,0))</f>
        <v>M</v>
      </c>
      <c r="N293" s="4">
        <f>INDEX(Products!$A$1:$G$49,MATCH(Orders!$G293,Products!$A$1:$A$49,0),MATCH(Orders!N$1,Products!$A$1:$G$1,0))</f>
        <v>0.5</v>
      </c>
      <c r="O293" s="7">
        <f>INDEX(Products!$A$1:$G$49,MATCH(Orders!$G293,Products!$A$1:$A$49,0),MATCH(Orders!O$1,Products!$A$1:$G$1,0))</f>
        <v>8.25</v>
      </c>
      <c r="P293" s="7">
        <f t="shared" si="4"/>
        <v>16.5</v>
      </c>
      <c r="Q293" t="str" cm="1">
        <f t="array" ref="Q293">_xlfn.IFS(L293="Rob","Robusta",L293="Exc", "Excelsa",L293="Ara", "Arabica",L293="Lib", "Liberica")</f>
        <v>Excelsa</v>
      </c>
      <c r="R293" t="str" cm="1">
        <f t="array" ref="R293">_xlfn.IFS(M293="M","Medium",M293="L","Light",M293="D","Dark")</f>
        <v>Medium</v>
      </c>
    </row>
    <row r="294" spans="1:18">
      <c r="A294" s="2" t="s">
        <v>645</v>
      </c>
      <c r="B294" s="3">
        <v>44529</v>
      </c>
      <c r="C294" s="9">
        <f>YEAR(Orders_Table[[#This Row],[Order Date]])</f>
        <v>2021</v>
      </c>
      <c r="D294" s="9">
        <f>MONTH(Orders_Table[[#This Row],[Order Date]])</f>
        <v>11</v>
      </c>
      <c r="E294" s="9" t="str" cm="1">
        <f t="array" ref="E2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294" s="2" t="s">
        <v>646</v>
      </c>
      <c r="G294" t="s">
        <v>119</v>
      </c>
      <c r="H294" s="2">
        <v>3</v>
      </c>
      <c r="I294" s="2" t="str" cm="1">
        <f t="array" ref="I294">_xlfn.XLOOKUP(F294,Customers!A293:$A$1001,Customers!B293:$B$1001,"Not Found",0)</f>
        <v>Isidore Hussey</v>
      </c>
      <c r="J294" s="2" t="str" cm="1">
        <f t="array" ref="J294">IF(_xlfn.XLOOKUP(F294,Customers!A293:$A$1001,Customers!C293:$C$1001,"Not Found",0)=0,"",_xlfn.XLOOKUP(F294,Customers!A293:$A$1001,Customers!C293:$C$1001,"Not Found",0))</f>
        <v>ihussey84@mapy.cz</v>
      </c>
      <c r="K294" s="2" t="str" cm="1">
        <f t="array" ref="K294">_xlfn.XLOOKUP(F294,Customers!A293:$A$1001,Customers!G293:$G$1001,"Not Found",0)</f>
        <v>United States</v>
      </c>
      <c r="L294" t="str">
        <f>INDEX(Products!$A$1:$G$49,MATCH(Orders!$G294,Products!$A$1:$A$49,0),MATCH(Orders!L$1,Products!$A$1:$G$1,0))</f>
        <v>Ara</v>
      </c>
      <c r="M294" t="str">
        <f>INDEX(Products!$A$1:$G$49,MATCH(Orders!$G294,Products!$A$1:$A$49,0),MATCH(Orders!M$1,Products!$A$1:$G$1,0))</f>
        <v>D</v>
      </c>
      <c r="N294" s="4">
        <f>INDEX(Products!$A$1:$G$49,MATCH(Orders!$G294,Products!$A$1:$A$49,0),MATCH(Orders!N$1,Products!$A$1:$G$1,0))</f>
        <v>0.5</v>
      </c>
      <c r="O294" s="7">
        <f>INDEX(Products!$A$1:$G$49,MATCH(Orders!$G294,Products!$A$1:$A$49,0),MATCH(Orders!O$1,Products!$A$1:$G$1,0))</f>
        <v>5.97</v>
      </c>
      <c r="P294" s="7">
        <f t="shared" si="4"/>
        <v>17.91</v>
      </c>
      <c r="Q294" t="str" cm="1">
        <f t="array" ref="Q294">_xlfn.IFS(L294="Rob","Robusta",L294="Exc", "Excelsa",L294="Ara", "Arabica",L294="Lib", "Liberica")</f>
        <v>Arabica</v>
      </c>
      <c r="R294" t="str" cm="1">
        <f t="array" ref="R294">_xlfn.IFS(M294="M","Medium",M294="L","Light",M294="D","Dark")</f>
        <v>Dark</v>
      </c>
    </row>
    <row r="295" spans="1:18">
      <c r="A295" s="2" t="s">
        <v>647</v>
      </c>
      <c r="B295" s="3">
        <v>44275</v>
      </c>
      <c r="C295" s="9">
        <f>YEAR(Orders_Table[[#This Row],[Order Date]])</f>
        <v>2021</v>
      </c>
      <c r="D295" s="9">
        <f>MONTH(Orders_Table[[#This Row],[Order Date]])</f>
        <v>3</v>
      </c>
      <c r="E295" s="9" t="str" cm="1">
        <f t="array" ref="E2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95" s="2" t="s">
        <v>648</v>
      </c>
      <c r="G295" t="s">
        <v>119</v>
      </c>
      <c r="H295" s="2">
        <v>5</v>
      </c>
      <c r="I295" s="2" t="str" cm="1">
        <f t="array" ref="I295">_xlfn.XLOOKUP(F295,Customers!A294:$A$1001,Customers!B294:$B$1001,"Not Found",0)</f>
        <v>Cassie Pinkerton</v>
      </c>
      <c r="J295" s="2" t="str" cm="1">
        <f t="array" ref="J295">IF(_xlfn.XLOOKUP(F295,Customers!A294:$A$1001,Customers!C294:$C$1001,"Not Found",0)=0,"",_xlfn.XLOOKUP(F295,Customers!A294:$A$1001,Customers!C294:$C$1001,"Not Found",0))</f>
        <v>cpinkerton85@upenn.edu</v>
      </c>
      <c r="K295" s="2" t="str" cm="1">
        <f t="array" ref="K295">_xlfn.XLOOKUP(F295,Customers!A294:$A$1001,Customers!G294:$G$1001,"Not Found",0)</f>
        <v>United States</v>
      </c>
      <c r="L295" t="str">
        <f>INDEX(Products!$A$1:$G$49,MATCH(Orders!$G295,Products!$A$1:$A$49,0),MATCH(Orders!L$1,Products!$A$1:$G$1,0))</f>
        <v>Ara</v>
      </c>
      <c r="M295" t="str">
        <f>INDEX(Products!$A$1:$G$49,MATCH(Orders!$G295,Products!$A$1:$A$49,0),MATCH(Orders!M$1,Products!$A$1:$G$1,0))</f>
        <v>D</v>
      </c>
      <c r="N295" s="4">
        <f>INDEX(Products!$A$1:$G$49,MATCH(Orders!$G295,Products!$A$1:$A$49,0),MATCH(Orders!N$1,Products!$A$1:$G$1,0))</f>
        <v>0.5</v>
      </c>
      <c r="O295" s="7">
        <f>INDEX(Products!$A$1:$G$49,MATCH(Orders!$G295,Products!$A$1:$A$49,0),MATCH(Orders!O$1,Products!$A$1:$G$1,0))</f>
        <v>5.97</v>
      </c>
      <c r="P295" s="7">
        <f t="shared" si="4"/>
        <v>29.849999999999998</v>
      </c>
      <c r="Q295" t="str" cm="1">
        <f t="array" ref="Q295">_xlfn.IFS(L295="Rob","Robusta",L295="Exc", "Excelsa",L295="Ara", "Arabica",L295="Lib", "Liberica")</f>
        <v>Arabica</v>
      </c>
      <c r="R295" t="str" cm="1">
        <f t="array" ref="R295">_xlfn.IFS(M295="M","Medium",M295="L","Light",M295="D","Dark")</f>
        <v>Dark</v>
      </c>
    </row>
    <row r="296" spans="1:18">
      <c r="A296" s="2" t="s">
        <v>649</v>
      </c>
      <c r="B296" s="3">
        <v>44659</v>
      </c>
      <c r="C296" s="9">
        <f>YEAR(Orders_Table[[#This Row],[Order Date]])</f>
        <v>2022</v>
      </c>
      <c r="D296" s="9">
        <f>MONTH(Orders_Table[[#This Row],[Order Date]])</f>
        <v>4</v>
      </c>
      <c r="E296" s="9" t="str" cm="1">
        <f t="array" ref="E2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296" s="2" t="s">
        <v>650</v>
      </c>
      <c r="G296" t="s">
        <v>184</v>
      </c>
      <c r="H296" s="2">
        <v>3</v>
      </c>
      <c r="I296" s="2" t="str" cm="1">
        <f t="array" ref="I296">_xlfn.XLOOKUP(F296,Customers!A295:$A$1001,Customers!B295:$B$1001,"Not Found",0)</f>
        <v>Micki Fero</v>
      </c>
      <c r="J296" s="2" t="str" cm="1">
        <f t="array" ref="J296">IF(_xlfn.XLOOKUP(F296,Customers!A295:$A$1001,Customers!C295:$C$1001,"Not Found",0)=0,"",_xlfn.XLOOKUP(F296,Customers!A295:$A$1001,Customers!C295:$C$1001,"Not Found",0))</f>
        <v/>
      </c>
      <c r="K296" s="2" t="str" cm="1">
        <f t="array" ref="K296">_xlfn.XLOOKUP(F296,Customers!A295:$A$1001,Customers!G295:$G$1001,"Not Found",0)</f>
        <v>United States</v>
      </c>
      <c r="L296" t="str">
        <f>INDEX(Products!$A$1:$G$49,MATCH(Orders!$G296,Products!$A$1:$A$49,0),MATCH(Orders!L$1,Products!$A$1:$G$1,0))</f>
        <v>Exc</v>
      </c>
      <c r="M296" t="str">
        <f>INDEX(Products!$A$1:$G$49,MATCH(Orders!$G296,Products!$A$1:$A$49,0),MATCH(Orders!M$1,Products!$A$1:$G$1,0))</f>
        <v>L</v>
      </c>
      <c r="N296" s="4">
        <f>INDEX(Products!$A$1:$G$49,MATCH(Orders!$G296,Products!$A$1:$A$49,0),MATCH(Orders!N$1,Products!$A$1:$G$1,0))</f>
        <v>1</v>
      </c>
      <c r="O296" s="7">
        <f>INDEX(Products!$A$1:$G$49,MATCH(Orders!$G296,Products!$A$1:$A$49,0),MATCH(Orders!O$1,Products!$A$1:$G$1,0))</f>
        <v>14.85</v>
      </c>
      <c r="P296" s="7">
        <f t="shared" si="4"/>
        <v>44.55</v>
      </c>
      <c r="Q296" t="str" cm="1">
        <f t="array" ref="Q296">_xlfn.IFS(L296="Rob","Robusta",L296="Exc", "Excelsa",L296="Ara", "Arabica",L296="Lib", "Liberica")</f>
        <v>Excelsa</v>
      </c>
      <c r="R296" t="str" cm="1">
        <f t="array" ref="R296">_xlfn.IFS(M296="M","Medium",M296="L","Light",M296="D","Dark")</f>
        <v>Light</v>
      </c>
    </row>
    <row r="297" spans="1:18">
      <c r="A297" s="2" t="s">
        <v>651</v>
      </c>
      <c r="B297" s="3">
        <v>44057</v>
      </c>
      <c r="C297" s="9">
        <f>YEAR(Orders_Table[[#This Row],[Order Date]])</f>
        <v>2020</v>
      </c>
      <c r="D297" s="9">
        <f>MONTH(Orders_Table[[#This Row],[Order Date]])</f>
        <v>8</v>
      </c>
      <c r="E297" s="9" t="str" cm="1">
        <f t="array" ref="E2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297" s="2" t="s">
        <v>652</v>
      </c>
      <c r="G297" t="s">
        <v>56</v>
      </c>
      <c r="H297" s="2">
        <v>2</v>
      </c>
      <c r="I297" s="2" t="str" cm="1">
        <f t="array" ref="I297">_xlfn.XLOOKUP(F297,Customers!A296:$A$1001,Customers!B296:$B$1001,"Not Found",0)</f>
        <v>Cybill Graddell</v>
      </c>
      <c r="J297" s="2" t="str" cm="1">
        <f t="array" ref="J297">IF(_xlfn.XLOOKUP(F297,Customers!A296:$A$1001,Customers!C296:$C$1001,"Not Found",0)=0,"",_xlfn.XLOOKUP(F297,Customers!A296:$A$1001,Customers!C296:$C$1001,"Not Found",0))</f>
        <v/>
      </c>
      <c r="K297" s="2" t="str" cm="1">
        <f t="array" ref="K297">_xlfn.XLOOKUP(F297,Customers!A296:$A$1001,Customers!G296:$G$1001,"Not Found",0)</f>
        <v>United States</v>
      </c>
      <c r="L297" t="str">
        <f>INDEX(Products!$A$1:$G$49,MATCH(Orders!$G297,Products!$A$1:$A$49,0),MATCH(Orders!L$1,Products!$A$1:$G$1,0))</f>
        <v>Exc</v>
      </c>
      <c r="M297" t="str">
        <f>INDEX(Products!$A$1:$G$49,MATCH(Orders!$G297,Products!$A$1:$A$49,0),MATCH(Orders!M$1,Products!$A$1:$G$1,0))</f>
        <v>M</v>
      </c>
      <c r="N297" s="4">
        <f>INDEX(Products!$A$1:$G$49,MATCH(Orders!$G297,Products!$A$1:$A$49,0),MATCH(Orders!N$1,Products!$A$1:$G$1,0))</f>
        <v>1</v>
      </c>
      <c r="O297" s="7">
        <f>INDEX(Products!$A$1:$G$49,MATCH(Orders!$G297,Products!$A$1:$A$49,0),MATCH(Orders!O$1,Products!$A$1:$G$1,0))</f>
        <v>13.75</v>
      </c>
      <c r="P297" s="7">
        <f t="shared" si="4"/>
        <v>27.5</v>
      </c>
      <c r="Q297" t="str" cm="1">
        <f t="array" ref="Q297">_xlfn.IFS(L297="Rob","Robusta",L297="Exc", "Excelsa",L297="Ara", "Arabica",L297="Lib", "Liberica")</f>
        <v>Excelsa</v>
      </c>
      <c r="R297" t="str" cm="1">
        <f t="array" ref="R297">_xlfn.IFS(M297="M","Medium",M297="L","Light",M297="D","Dark")</f>
        <v>Medium</v>
      </c>
    </row>
    <row r="298" spans="1:18">
      <c r="A298" s="2" t="s">
        <v>653</v>
      </c>
      <c r="B298" s="3">
        <v>43597</v>
      </c>
      <c r="C298" s="9">
        <f>YEAR(Orders_Table[[#This Row],[Order Date]])</f>
        <v>2019</v>
      </c>
      <c r="D298" s="9">
        <f>MONTH(Orders_Table[[#This Row],[Order Date]])</f>
        <v>5</v>
      </c>
      <c r="E298" s="9" t="str" cm="1">
        <f t="array" ref="E2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298" s="2" t="s">
        <v>654</v>
      </c>
      <c r="G298" t="s">
        <v>69</v>
      </c>
      <c r="H298" s="2">
        <v>6</v>
      </c>
      <c r="I298" s="2" t="str" cm="1">
        <f t="array" ref="I298">_xlfn.XLOOKUP(F298,Customers!A297:$A$1001,Customers!B297:$B$1001,"Not Found",0)</f>
        <v>Dorian Vizor</v>
      </c>
      <c r="J298" s="2" t="str" cm="1">
        <f t="array" ref="J298">IF(_xlfn.XLOOKUP(F298,Customers!A297:$A$1001,Customers!C297:$C$1001,"Not Found",0)=0,"",_xlfn.XLOOKUP(F298,Customers!A297:$A$1001,Customers!C297:$C$1001,"Not Found",0))</f>
        <v>dvizor88@furl.net</v>
      </c>
      <c r="K298" s="2" t="str" cm="1">
        <f t="array" ref="K298">_xlfn.XLOOKUP(F298,Customers!A297:$A$1001,Customers!G297:$G$1001,"Not Found",0)</f>
        <v>United States</v>
      </c>
      <c r="L298" t="str">
        <f>INDEX(Products!$A$1:$G$49,MATCH(Orders!$G298,Products!$A$1:$A$49,0),MATCH(Orders!L$1,Products!$A$1:$G$1,0))</f>
        <v>Rob</v>
      </c>
      <c r="M298" t="str">
        <f>INDEX(Products!$A$1:$G$49,MATCH(Orders!$G298,Products!$A$1:$A$49,0),MATCH(Orders!M$1,Products!$A$1:$G$1,0))</f>
        <v>M</v>
      </c>
      <c r="N298" s="4">
        <f>INDEX(Products!$A$1:$G$49,MATCH(Orders!$G298,Products!$A$1:$A$49,0),MATCH(Orders!N$1,Products!$A$1:$G$1,0))</f>
        <v>0.5</v>
      </c>
      <c r="O298" s="7">
        <f>INDEX(Products!$A$1:$G$49,MATCH(Orders!$G298,Products!$A$1:$A$49,0),MATCH(Orders!O$1,Products!$A$1:$G$1,0))</f>
        <v>5.97</v>
      </c>
      <c r="P298" s="7">
        <f t="shared" si="4"/>
        <v>35.82</v>
      </c>
      <c r="Q298" t="str" cm="1">
        <f t="array" ref="Q298">_xlfn.IFS(L298="Rob","Robusta",L298="Exc", "Excelsa",L298="Ara", "Arabica",L298="Lib", "Liberica")</f>
        <v>Robusta</v>
      </c>
      <c r="R298" t="str" cm="1">
        <f t="array" ref="R298">_xlfn.IFS(M298="M","Medium",M298="L","Light",M298="D","Dark")</f>
        <v>Medium</v>
      </c>
    </row>
    <row r="299" spans="1:18">
      <c r="A299" s="2" t="s">
        <v>655</v>
      </c>
      <c r="B299" s="3">
        <v>44258</v>
      </c>
      <c r="C299" s="9">
        <f>YEAR(Orders_Table[[#This Row],[Order Date]])</f>
        <v>2021</v>
      </c>
      <c r="D299" s="9">
        <f>MONTH(Orders_Table[[#This Row],[Order Date]])</f>
        <v>3</v>
      </c>
      <c r="E299" s="9" t="str" cm="1">
        <f t="array" ref="E2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299" s="2" t="s">
        <v>656</v>
      </c>
      <c r="G299" t="s">
        <v>193</v>
      </c>
      <c r="H299" s="2">
        <v>3</v>
      </c>
      <c r="I299" s="2" t="str" cm="1">
        <f t="array" ref="I299">_xlfn.XLOOKUP(F299,Customers!A298:$A$1001,Customers!B298:$B$1001,"Not Found",0)</f>
        <v>Eddi Sedgebeer</v>
      </c>
      <c r="J299" s="2" t="str" cm="1">
        <f t="array" ref="J299">IF(_xlfn.XLOOKUP(F299,Customers!A298:$A$1001,Customers!C298:$C$1001,"Not Found",0)=0,"",_xlfn.XLOOKUP(F299,Customers!A298:$A$1001,Customers!C298:$C$1001,"Not Found",0))</f>
        <v>esedgebeer89@oaic.gov.au</v>
      </c>
      <c r="K299" s="2" t="str" cm="1">
        <f t="array" ref="K299">_xlfn.XLOOKUP(F299,Customers!A298:$A$1001,Customers!G298:$G$1001,"Not Found",0)</f>
        <v>United States</v>
      </c>
      <c r="L299" t="str">
        <f>INDEX(Products!$A$1:$G$49,MATCH(Orders!$G299,Products!$A$1:$A$49,0),MATCH(Orders!L$1,Products!$A$1:$G$1,0))</f>
        <v>Rob</v>
      </c>
      <c r="M299" t="str">
        <f>INDEX(Products!$A$1:$G$49,MATCH(Orders!$G299,Products!$A$1:$A$49,0),MATCH(Orders!M$1,Products!$A$1:$G$1,0))</f>
        <v>D</v>
      </c>
      <c r="N299" s="4">
        <f>INDEX(Products!$A$1:$G$49,MATCH(Orders!$G299,Products!$A$1:$A$49,0),MATCH(Orders!N$1,Products!$A$1:$G$1,0))</f>
        <v>0.5</v>
      </c>
      <c r="O299" s="7">
        <f>INDEX(Products!$A$1:$G$49,MATCH(Orders!$G299,Products!$A$1:$A$49,0),MATCH(Orders!O$1,Products!$A$1:$G$1,0))</f>
        <v>5.3699999999999992</v>
      </c>
      <c r="P299" s="7">
        <f t="shared" si="4"/>
        <v>16.11</v>
      </c>
      <c r="Q299" t="str" cm="1">
        <f t="array" ref="Q299">_xlfn.IFS(L299="Rob","Robusta",L299="Exc", "Excelsa",L299="Ara", "Arabica",L299="Lib", "Liberica")</f>
        <v>Robusta</v>
      </c>
      <c r="R299" t="str" cm="1">
        <f t="array" ref="R299">_xlfn.IFS(M299="M","Medium",M299="L","Light",M299="D","Dark")</f>
        <v>Dark</v>
      </c>
    </row>
    <row r="300" spans="1:18">
      <c r="A300" s="2" t="s">
        <v>657</v>
      </c>
      <c r="B300" s="3">
        <v>43872</v>
      </c>
      <c r="C300" s="9">
        <f>YEAR(Orders_Table[[#This Row],[Order Date]])</f>
        <v>2020</v>
      </c>
      <c r="D300" s="9">
        <f>MONTH(Orders_Table[[#This Row],[Order Date]])</f>
        <v>2</v>
      </c>
      <c r="E300" s="9" t="str" cm="1">
        <f t="array" ref="E3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00" s="2" t="s">
        <v>658</v>
      </c>
      <c r="G300" t="s">
        <v>301</v>
      </c>
      <c r="H300" s="2">
        <v>6</v>
      </c>
      <c r="I300" s="2" t="str" cm="1">
        <f t="array" ref="I300">_xlfn.XLOOKUP(F300,Customers!A299:$A$1001,Customers!B299:$B$1001,"Not Found",0)</f>
        <v>Ken Lestrange</v>
      </c>
      <c r="J300" s="2" t="str" cm="1">
        <f t="array" ref="J300">IF(_xlfn.XLOOKUP(F300,Customers!A299:$A$1001,Customers!C299:$C$1001,"Not Found",0)=0,"",_xlfn.XLOOKUP(F300,Customers!A299:$A$1001,Customers!C299:$C$1001,"Not Found",0))</f>
        <v>klestrange8a@lulu.com</v>
      </c>
      <c r="K300" s="2" t="str" cm="1">
        <f t="array" ref="K300">_xlfn.XLOOKUP(F300,Customers!A299:$A$1001,Customers!G299:$G$1001,"Not Found",0)</f>
        <v>United States</v>
      </c>
      <c r="L300" t="str">
        <f>INDEX(Products!$A$1:$G$49,MATCH(Orders!$G300,Products!$A$1:$A$49,0),MATCH(Orders!L$1,Products!$A$1:$G$1,0))</f>
        <v>Exc</v>
      </c>
      <c r="M300" t="str">
        <f>INDEX(Products!$A$1:$G$49,MATCH(Orders!$G300,Products!$A$1:$A$49,0),MATCH(Orders!M$1,Products!$A$1:$G$1,0))</f>
        <v>L</v>
      </c>
      <c r="N300" s="4">
        <f>INDEX(Products!$A$1:$G$49,MATCH(Orders!$G300,Products!$A$1:$A$49,0),MATCH(Orders!N$1,Products!$A$1:$G$1,0))</f>
        <v>0.2</v>
      </c>
      <c r="O300" s="7">
        <f>INDEX(Products!$A$1:$G$49,MATCH(Orders!$G300,Products!$A$1:$A$49,0),MATCH(Orders!O$1,Products!$A$1:$G$1,0))</f>
        <v>4.4550000000000001</v>
      </c>
      <c r="P300" s="7">
        <f t="shared" si="4"/>
        <v>26.73</v>
      </c>
      <c r="Q300" t="str" cm="1">
        <f t="array" ref="Q300">_xlfn.IFS(L300="Rob","Robusta",L300="Exc", "Excelsa",L300="Ara", "Arabica",L300="Lib", "Liberica")</f>
        <v>Excelsa</v>
      </c>
      <c r="R300" t="str" cm="1">
        <f t="array" ref="R300">_xlfn.IFS(M300="M","Medium",M300="L","Light",M300="D","Dark")</f>
        <v>Light</v>
      </c>
    </row>
    <row r="301" spans="1:18">
      <c r="A301" s="2" t="s">
        <v>659</v>
      </c>
      <c r="B301" s="3">
        <v>43582</v>
      </c>
      <c r="C301" s="9">
        <f>YEAR(Orders_Table[[#This Row],[Order Date]])</f>
        <v>2019</v>
      </c>
      <c r="D301" s="9">
        <f>MONTH(Orders_Table[[#This Row],[Order Date]])</f>
        <v>4</v>
      </c>
      <c r="E301" s="9" t="str" cm="1">
        <f t="array" ref="E3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301" s="2" t="s">
        <v>660</v>
      </c>
      <c r="G301" t="s">
        <v>77</v>
      </c>
      <c r="H301" s="2">
        <v>6</v>
      </c>
      <c r="I301" s="2" t="str" cm="1">
        <f t="array" ref="I301">_xlfn.XLOOKUP(F301,Customers!A300:$A$1001,Customers!B300:$B$1001,"Not Found",0)</f>
        <v>Lacee Tanti</v>
      </c>
      <c r="J301" s="2" t="str" cm="1">
        <f t="array" ref="J301">IF(_xlfn.XLOOKUP(F301,Customers!A300:$A$1001,Customers!C300:$C$1001,"Not Found",0)=0,"",_xlfn.XLOOKUP(F301,Customers!A300:$A$1001,Customers!C300:$C$1001,"Not Found",0))</f>
        <v>ltanti8b@techcrunch.com</v>
      </c>
      <c r="K301" s="2" t="str" cm="1">
        <f t="array" ref="K301">_xlfn.XLOOKUP(F301,Customers!A300:$A$1001,Customers!G300:$G$1001,"Not Found",0)</f>
        <v>United States</v>
      </c>
      <c r="L301" t="str">
        <f>INDEX(Products!$A$1:$G$49,MATCH(Orders!$G301,Products!$A$1:$A$49,0),MATCH(Orders!L$1,Products!$A$1:$G$1,0))</f>
        <v>Exc</v>
      </c>
      <c r="M301" t="str">
        <f>INDEX(Products!$A$1:$G$49,MATCH(Orders!$G301,Products!$A$1:$A$49,0),MATCH(Orders!M$1,Products!$A$1:$G$1,0))</f>
        <v>L</v>
      </c>
      <c r="N301" s="4">
        <f>INDEX(Products!$A$1:$G$49,MATCH(Orders!$G301,Products!$A$1:$A$49,0),MATCH(Orders!N$1,Products!$A$1:$G$1,0))</f>
        <v>2.5</v>
      </c>
      <c r="O301" s="7">
        <f>INDEX(Products!$A$1:$G$49,MATCH(Orders!$G301,Products!$A$1:$A$49,0),MATCH(Orders!O$1,Products!$A$1:$G$1,0))</f>
        <v>34.154999999999994</v>
      </c>
      <c r="P301" s="7">
        <f t="shared" si="4"/>
        <v>204.92999999999995</v>
      </c>
      <c r="Q301" t="str" cm="1">
        <f t="array" ref="Q301">_xlfn.IFS(L301="Rob","Robusta",L301="Exc", "Excelsa",L301="Ara", "Arabica",L301="Lib", "Liberica")</f>
        <v>Excelsa</v>
      </c>
      <c r="R301" t="str" cm="1">
        <f t="array" ref="R301">_xlfn.IFS(M301="M","Medium",M301="L","Light",M301="D","Dark")</f>
        <v>Light</v>
      </c>
    </row>
    <row r="302" spans="1:18">
      <c r="A302" s="2" t="s">
        <v>661</v>
      </c>
      <c r="B302" s="3">
        <v>44646</v>
      </c>
      <c r="C302" s="9">
        <f>YEAR(Orders_Table[[#This Row],[Order Date]])</f>
        <v>2022</v>
      </c>
      <c r="D302" s="9">
        <f>MONTH(Orders_Table[[#This Row],[Order Date]])</f>
        <v>3</v>
      </c>
      <c r="E302" s="9" t="str" cm="1">
        <f t="array" ref="E3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02" s="2" t="s">
        <v>662</v>
      </c>
      <c r="G302" t="s">
        <v>53</v>
      </c>
      <c r="H302" s="2">
        <v>3</v>
      </c>
      <c r="I302" s="2" t="str" cm="1">
        <f t="array" ref="I302">_xlfn.XLOOKUP(F302,Customers!A301:$A$1001,Customers!B301:$B$1001,"Not Found",0)</f>
        <v>Arel De Lasci</v>
      </c>
      <c r="J302" s="2" t="str" cm="1">
        <f t="array" ref="J302">IF(_xlfn.XLOOKUP(F302,Customers!A301:$A$1001,Customers!C301:$C$1001,"Not Found",0)=0,"",_xlfn.XLOOKUP(F302,Customers!A301:$A$1001,Customers!C301:$C$1001,"Not Found",0))</f>
        <v>ade8c@1und1.de</v>
      </c>
      <c r="K302" s="2" t="str" cm="1">
        <f t="array" ref="K302">_xlfn.XLOOKUP(F302,Customers!A301:$A$1001,Customers!G301:$G$1001,"Not Found",0)</f>
        <v>United States</v>
      </c>
      <c r="L302" t="str">
        <f>INDEX(Products!$A$1:$G$49,MATCH(Orders!$G302,Products!$A$1:$A$49,0),MATCH(Orders!L$1,Products!$A$1:$G$1,0))</f>
        <v>Ara</v>
      </c>
      <c r="M302" t="str">
        <f>INDEX(Products!$A$1:$G$49,MATCH(Orders!$G302,Products!$A$1:$A$49,0),MATCH(Orders!M$1,Products!$A$1:$G$1,0))</f>
        <v>L</v>
      </c>
      <c r="N302" s="4">
        <f>INDEX(Products!$A$1:$G$49,MATCH(Orders!$G302,Products!$A$1:$A$49,0),MATCH(Orders!N$1,Products!$A$1:$G$1,0))</f>
        <v>1</v>
      </c>
      <c r="O302" s="7">
        <f>INDEX(Products!$A$1:$G$49,MATCH(Orders!$G302,Products!$A$1:$A$49,0),MATCH(Orders!O$1,Products!$A$1:$G$1,0))</f>
        <v>12.95</v>
      </c>
      <c r="P302" s="7">
        <f t="shared" si="4"/>
        <v>38.849999999999994</v>
      </c>
      <c r="Q302" t="str" cm="1">
        <f t="array" ref="Q302">_xlfn.IFS(L302="Rob","Robusta",L302="Exc", "Excelsa",L302="Ara", "Arabica",L302="Lib", "Liberica")</f>
        <v>Arabica</v>
      </c>
      <c r="R302" t="str" cm="1">
        <f t="array" ref="R302">_xlfn.IFS(M302="M","Medium",M302="L","Light",M302="D","Dark")</f>
        <v>Light</v>
      </c>
    </row>
    <row r="303" spans="1:18">
      <c r="A303" s="2" t="s">
        <v>663</v>
      </c>
      <c r="B303" s="3">
        <v>44102</v>
      </c>
      <c r="C303" s="9">
        <f>YEAR(Orders_Table[[#This Row],[Order Date]])</f>
        <v>2020</v>
      </c>
      <c r="D303" s="9">
        <f>MONTH(Orders_Table[[#This Row],[Order Date]])</f>
        <v>9</v>
      </c>
      <c r="E303" s="9" t="str" cm="1">
        <f t="array" ref="E3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03" s="2" t="s">
        <v>664</v>
      </c>
      <c r="G303" t="s">
        <v>85</v>
      </c>
      <c r="H303" s="2">
        <v>4</v>
      </c>
      <c r="I303" s="2" t="str" cm="1">
        <f t="array" ref="I303">_xlfn.XLOOKUP(F303,Customers!A302:$A$1001,Customers!B302:$B$1001,"Not Found",0)</f>
        <v>Trescha Jedrachowicz</v>
      </c>
      <c r="J303" s="2" t="str" cm="1">
        <f t="array" ref="J303">IF(_xlfn.XLOOKUP(F303,Customers!A302:$A$1001,Customers!C302:$C$1001,"Not Found",0)=0,"",_xlfn.XLOOKUP(F303,Customers!A302:$A$1001,Customers!C302:$C$1001,"Not Found",0))</f>
        <v>tjedrachowicz8d@acquirethisname.com</v>
      </c>
      <c r="K303" s="2" t="str" cm="1">
        <f t="array" ref="K303">_xlfn.XLOOKUP(F303,Customers!A302:$A$1001,Customers!G302:$G$1001,"Not Found",0)</f>
        <v>United States</v>
      </c>
      <c r="L303" t="str">
        <f>INDEX(Products!$A$1:$G$49,MATCH(Orders!$G303,Products!$A$1:$A$49,0),MATCH(Orders!L$1,Products!$A$1:$G$1,0))</f>
        <v>Lib</v>
      </c>
      <c r="M303" t="str">
        <f>INDEX(Products!$A$1:$G$49,MATCH(Orders!$G303,Products!$A$1:$A$49,0),MATCH(Orders!M$1,Products!$A$1:$G$1,0))</f>
        <v>D</v>
      </c>
      <c r="N303" s="4">
        <f>INDEX(Products!$A$1:$G$49,MATCH(Orders!$G303,Products!$A$1:$A$49,0),MATCH(Orders!N$1,Products!$A$1:$G$1,0))</f>
        <v>0.2</v>
      </c>
      <c r="O303" s="7">
        <f>INDEX(Products!$A$1:$G$49,MATCH(Orders!$G303,Products!$A$1:$A$49,0),MATCH(Orders!O$1,Products!$A$1:$G$1,0))</f>
        <v>3.8849999999999998</v>
      </c>
      <c r="P303" s="7">
        <f t="shared" si="4"/>
        <v>15.54</v>
      </c>
      <c r="Q303" t="str" cm="1">
        <f t="array" ref="Q303">_xlfn.IFS(L303="Rob","Robusta",L303="Exc", "Excelsa",L303="Ara", "Arabica",L303="Lib", "Liberica")</f>
        <v>Liberica</v>
      </c>
      <c r="R303" t="str" cm="1">
        <f t="array" ref="R303">_xlfn.IFS(M303="M","Medium",M303="L","Light",M303="D","Dark")</f>
        <v>Dark</v>
      </c>
    </row>
    <row r="304" spans="1:18">
      <c r="A304" s="2" t="s">
        <v>665</v>
      </c>
      <c r="B304" s="3">
        <v>43762</v>
      </c>
      <c r="C304" s="9">
        <f>YEAR(Orders_Table[[#This Row],[Order Date]])</f>
        <v>2019</v>
      </c>
      <c r="D304" s="9">
        <f>MONTH(Orders_Table[[#This Row],[Order Date]])</f>
        <v>10</v>
      </c>
      <c r="E304" s="9" t="str" cm="1">
        <f t="array" ref="E3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04" s="2" t="s">
        <v>666</v>
      </c>
      <c r="G304" t="s">
        <v>114</v>
      </c>
      <c r="H304" s="2">
        <v>1</v>
      </c>
      <c r="I304" s="2" t="str" cm="1">
        <f t="array" ref="I304">_xlfn.XLOOKUP(F304,Customers!A303:$A$1001,Customers!B303:$B$1001,"Not Found",0)</f>
        <v>Perkin Stonner</v>
      </c>
      <c r="J304" s="2" t="str" cm="1">
        <f t="array" ref="J304">IF(_xlfn.XLOOKUP(F304,Customers!A303:$A$1001,Customers!C303:$C$1001,"Not Found",0)=0,"",_xlfn.XLOOKUP(F304,Customers!A303:$A$1001,Customers!C303:$C$1001,"Not Found",0))</f>
        <v>pstonner8e@moonfruit.com</v>
      </c>
      <c r="K304" s="2" t="str" cm="1">
        <f t="array" ref="K304">_xlfn.XLOOKUP(F304,Customers!A303:$A$1001,Customers!G303:$G$1001,"Not Found",0)</f>
        <v>United States</v>
      </c>
      <c r="L304" t="str">
        <f>INDEX(Products!$A$1:$G$49,MATCH(Orders!$G304,Products!$A$1:$A$49,0),MATCH(Orders!L$1,Products!$A$1:$G$1,0))</f>
        <v>Ara</v>
      </c>
      <c r="M304" t="str">
        <f>INDEX(Products!$A$1:$G$49,MATCH(Orders!$G304,Products!$A$1:$A$49,0),MATCH(Orders!M$1,Products!$A$1:$G$1,0))</f>
        <v>M</v>
      </c>
      <c r="N304" s="4">
        <f>INDEX(Products!$A$1:$G$49,MATCH(Orders!$G304,Products!$A$1:$A$49,0),MATCH(Orders!N$1,Products!$A$1:$G$1,0))</f>
        <v>0.5</v>
      </c>
      <c r="O304" s="7">
        <f>INDEX(Products!$A$1:$G$49,MATCH(Orders!$G304,Products!$A$1:$A$49,0),MATCH(Orders!O$1,Products!$A$1:$G$1,0))</f>
        <v>6.75</v>
      </c>
      <c r="P304" s="7">
        <f t="shared" si="4"/>
        <v>6.75</v>
      </c>
      <c r="Q304" t="str" cm="1">
        <f t="array" ref="Q304">_xlfn.IFS(L304="Rob","Robusta",L304="Exc", "Excelsa",L304="Ara", "Arabica",L304="Lib", "Liberica")</f>
        <v>Arabica</v>
      </c>
      <c r="R304" t="str" cm="1">
        <f t="array" ref="R304">_xlfn.IFS(M304="M","Medium",M304="L","Light",M304="D","Dark")</f>
        <v>Medium</v>
      </c>
    </row>
    <row r="305" spans="1:18">
      <c r="A305" s="2" t="s">
        <v>667</v>
      </c>
      <c r="B305" s="3">
        <v>44412</v>
      </c>
      <c r="C305" s="9">
        <f>YEAR(Orders_Table[[#This Row],[Order Date]])</f>
        <v>2021</v>
      </c>
      <c r="D305" s="9">
        <f>MONTH(Orders_Table[[#This Row],[Order Date]])</f>
        <v>8</v>
      </c>
      <c r="E305" s="9" t="str" cm="1">
        <f t="array" ref="E3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05" s="2" t="s">
        <v>668</v>
      </c>
      <c r="G305" t="s">
        <v>577</v>
      </c>
      <c r="H305" s="2">
        <v>4</v>
      </c>
      <c r="I305" s="2" t="str" cm="1">
        <f t="array" ref="I305">_xlfn.XLOOKUP(F305,Customers!A304:$A$1001,Customers!B304:$B$1001,"Not Found",0)</f>
        <v>Darrin Tingly</v>
      </c>
      <c r="J305" s="2" t="str" cm="1">
        <f t="array" ref="J305">IF(_xlfn.XLOOKUP(F305,Customers!A304:$A$1001,Customers!C304:$C$1001,"Not Found",0)=0,"",_xlfn.XLOOKUP(F305,Customers!A304:$A$1001,Customers!C304:$C$1001,"Not Found",0))</f>
        <v>dtingly8f@goo.ne.jp</v>
      </c>
      <c r="K305" s="2" t="str" cm="1">
        <f t="array" ref="K305">_xlfn.XLOOKUP(F305,Customers!A304:$A$1001,Customers!G304:$G$1001,"Not Found",0)</f>
        <v>United States</v>
      </c>
      <c r="L305" t="str">
        <f>INDEX(Products!$A$1:$G$49,MATCH(Orders!$G305,Products!$A$1:$A$49,0),MATCH(Orders!L$1,Products!$A$1:$G$1,0))</f>
        <v>Exc</v>
      </c>
      <c r="M305" t="str">
        <f>INDEX(Products!$A$1:$G$49,MATCH(Orders!$G305,Products!$A$1:$A$49,0),MATCH(Orders!M$1,Products!$A$1:$G$1,0))</f>
        <v>D</v>
      </c>
      <c r="N305" s="4">
        <f>INDEX(Products!$A$1:$G$49,MATCH(Orders!$G305,Products!$A$1:$A$49,0),MATCH(Orders!N$1,Products!$A$1:$G$1,0))</f>
        <v>2.5</v>
      </c>
      <c r="O305" s="7">
        <f>INDEX(Products!$A$1:$G$49,MATCH(Orders!$G305,Products!$A$1:$A$49,0),MATCH(Orders!O$1,Products!$A$1:$G$1,0))</f>
        <v>27.945</v>
      </c>
      <c r="P305" s="7">
        <f t="shared" si="4"/>
        <v>111.78</v>
      </c>
      <c r="Q305" t="str" cm="1">
        <f t="array" ref="Q305">_xlfn.IFS(L305="Rob","Robusta",L305="Exc", "Excelsa",L305="Ara", "Arabica",L305="Lib", "Liberica")</f>
        <v>Excelsa</v>
      </c>
      <c r="R305" t="str" cm="1">
        <f t="array" ref="R305">_xlfn.IFS(M305="M","Medium",M305="L","Light",M305="D","Dark")</f>
        <v>Dark</v>
      </c>
    </row>
    <row r="306" spans="1:18">
      <c r="A306" s="2" t="s">
        <v>669</v>
      </c>
      <c r="B306" s="3">
        <v>43828</v>
      </c>
      <c r="C306" s="9">
        <f>YEAR(Orders_Table[[#This Row],[Order Date]])</f>
        <v>2019</v>
      </c>
      <c r="D306" s="9">
        <f>MONTH(Orders_Table[[#This Row],[Order Date]])</f>
        <v>12</v>
      </c>
      <c r="E306" s="9" t="str" cm="1">
        <f t="array" ref="E3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306" s="2" t="s">
        <v>670</v>
      </c>
      <c r="G306" t="s">
        <v>162</v>
      </c>
      <c r="H306" s="2">
        <v>1</v>
      </c>
      <c r="I306" s="2" t="str" cm="1">
        <f t="array" ref="I306">_xlfn.XLOOKUP(F306,Customers!A305:$A$1001,Customers!B305:$B$1001,"Not Found",0)</f>
        <v>Claudetta Rushe</v>
      </c>
      <c r="J306" s="2" t="str" cm="1">
        <f t="array" ref="J306">IF(_xlfn.XLOOKUP(F306,Customers!A305:$A$1001,Customers!C305:$C$1001,"Not Found",0)=0,"",_xlfn.XLOOKUP(F306,Customers!A305:$A$1001,Customers!C305:$C$1001,"Not Found",0))</f>
        <v>crushe8n@about.me</v>
      </c>
      <c r="K306" s="2" t="str" cm="1">
        <f t="array" ref="K306">_xlfn.XLOOKUP(F306,Customers!A305:$A$1001,Customers!G305:$G$1001,"Not Found",0)</f>
        <v>United States</v>
      </c>
      <c r="L306" t="str">
        <f>INDEX(Products!$A$1:$G$49,MATCH(Orders!$G306,Products!$A$1:$A$49,0),MATCH(Orders!L$1,Products!$A$1:$G$1,0))</f>
        <v>Ara</v>
      </c>
      <c r="M306" t="str">
        <f>INDEX(Products!$A$1:$G$49,MATCH(Orders!$G306,Products!$A$1:$A$49,0),MATCH(Orders!M$1,Products!$A$1:$G$1,0))</f>
        <v>L</v>
      </c>
      <c r="N306" s="4">
        <f>INDEX(Products!$A$1:$G$49,MATCH(Orders!$G306,Products!$A$1:$A$49,0),MATCH(Orders!N$1,Products!$A$1:$G$1,0))</f>
        <v>0.2</v>
      </c>
      <c r="O306" s="7">
        <f>INDEX(Products!$A$1:$G$49,MATCH(Orders!$G306,Products!$A$1:$A$49,0),MATCH(Orders!O$1,Products!$A$1:$G$1,0))</f>
        <v>3.8849999999999998</v>
      </c>
      <c r="P306" s="7">
        <f t="shared" si="4"/>
        <v>3.8849999999999998</v>
      </c>
      <c r="Q306" t="str" cm="1">
        <f t="array" ref="Q306">_xlfn.IFS(L306="Rob","Robusta",L306="Exc", "Excelsa",L306="Ara", "Arabica",L306="Lib", "Liberica")</f>
        <v>Arabica</v>
      </c>
      <c r="R306" t="str" cm="1">
        <f t="array" ref="R306">_xlfn.IFS(M306="M","Medium",M306="L","Light",M306="D","Dark")</f>
        <v>Light</v>
      </c>
    </row>
    <row r="307" spans="1:18">
      <c r="A307" s="2" t="s">
        <v>671</v>
      </c>
      <c r="B307" s="3">
        <v>43796</v>
      </c>
      <c r="C307" s="9">
        <f>YEAR(Orders_Table[[#This Row],[Order Date]])</f>
        <v>2019</v>
      </c>
      <c r="D307" s="9">
        <f>MONTH(Orders_Table[[#This Row],[Order Date]])</f>
        <v>11</v>
      </c>
      <c r="E307" s="9" t="str" cm="1">
        <f t="array" ref="E3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307" s="2" t="s">
        <v>672</v>
      </c>
      <c r="G307" t="s">
        <v>124</v>
      </c>
      <c r="H307" s="2">
        <v>5</v>
      </c>
      <c r="I307" s="2" t="str" cm="1">
        <f t="array" ref="I307">_xlfn.XLOOKUP(F307,Customers!A306:$A$1001,Customers!B306:$B$1001,"Not Found",0)</f>
        <v>Benn Checci</v>
      </c>
      <c r="J307" s="2" t="str" cm="1">
        <f t="array" ref="J307">IF(_xlfn.XLOOKUP(F307,Customers!A306:$A$1001,Customers!C306:$C$1001,"Not Found",0)=0,"",_xlfn.XLOOKUP(F307,Customers!A306:$A$1001,Customers!C306:$C$1001,"Not Found",0))</f>
        <v>bchecci8h@usa.gov</v>
      </c>
      <c r="K307" s="2" t="str" cm="1">
        <f t="array" ref="K307">_xlfn.XLOOKUP(F307,Customers!A306:$A$1001,Customers!G306:$G$1001,"Not Found",0)</f>
        <v>United Kingdom</v>
      </c>
      <c r="L307" t="str">
        <f>INDEX(Products!$A$1:$G$49,MATCH(Orders!$G307,Products!$A$1:$A$49,0),MATCH(Orders!L$1,Products!$A$1:$G$1,0))</f>
        <v>Lib</v>
      </c>
      <c r="M307" t="str">
        <f>INDEX(Products!$A$1:$G$49,MATCH(Orders!$G307,Products!$A$1:$A$49,0),MATCH(Orders!M$1,Products!$A$1:$G$1,0))</f>
        <v>M</v>
      </c>
      <c r="N307" s="4">
        <f>INDEX(Products!$A$1:$G$49,MATCH(Orders!$G307,Products!$A$1:$A$49,0),MATCH(Orders!N$1,Products!$A$1:$G$1,0))</f>
        <v>0.2</v>
      </c>
      <c r="O307" s="7">
        <f>INDEX(Products!$A$1:$G$49,MATCH(Orders!$G307,Products!$A$1:$A$49,0),MATCH(Orders!O$1,Products!$A$1:$G$1,0))</f>
        <v>4.3650000000000002</v>
      </c>
      <c r="P307" s="7">
        <f t="shared" si="4"/>
        <v>21.825000000000003</v>
      </c>
      <c r="Q307" t="str" cm="1">
        <f t="array" ref="Q307">_xlfn.IFS(L307="Rob","Robusta",L307="Exc", "Excelsa",L307="Ara", "Arabica",L307="Lib", "Liberica")</f>
        <v>Liberica</v>
      </c>
      <c r="R307" t="str" cm="1">
        <f t="array" ref="R307">_xlfn.IFS(M307="M","Medium",M307="L","Light",M307="D","Dark")</f>
        <v>Medium</v>
      </c>
    </row>
    <row r="308" spans="1:18">
      <c r="A308" s="2" t="s">
        <v>673</v>
      </c>
      <c r="B308" s="3">
        <v>43890</v>
      </c>
      <c r="C308" s="9">
        <f>YEAR(Orders_Table[[#This Row],[Order Date]])</f>
        <v>2020</v>
      </c>
      <c r="D308" s="9">
        <f>MONTH(Orders_Table[[#This Row],[Order Date]])</f>
        <v>2</v>
      </c>
      <c r="E308" s="9" t="str" cm="1">
        <f t="array" ref="E3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08" s="2" t="s">
        <v>674</v>
      </c>
      <c r="G308" t="s">
        <v>209</v>
      </c>
      <c r="H308" s="2">
        <v>5</v>
      </c>
      <c r="I308" s="2" t="str" cm="1">
        <f t="array" ref="I308">_xlfn.XLOOKUP(F308,Customers!A307:$A$1001,Customers!B307:$B$1001,"Not Found",0)</f>
        <v>Janifer Bagot</v>
      </c>
      <c r="J308" s="2" t="str" cm="1">
        <f t="array" ref="J308">IF(_xlfn.XLOOKUP(F308,Customers!A307:$A$1001,Customers!C307:$C$1001,"Not Found",0)=0,"",_xlfn.XLOOKUP(F308,Customers!A307:$A$1001,Customers!C307:$C$1001,"Not Found",0))</f>
        <v>jbagot8i@mac.com</v>
      </c>
      <c r="K308" s="2" t="str" cm="1">
        <f t="array" ref="K308">_xlfn.XLOOKUP(F308,Customers!A307:$A$1001,Customers!G307:$G$1001,"Not Found",0)</f>
        <v>United States</v>
      </c>
      <c r="L308" t="str">
        <f>INDEX(Products!$A$1:$G$49,MATCH(Orders!$G308,Products!$A$1:$A$49,0),MATCH(Orders!L$1,Products!$A$1:$G$1,0))</f>
        <v>Rob</v>
      </c>
      <c r="M308" t="str">
        <f>INDEX(Products!$A$1:$G$49,MATCH(Orders!$G308,Products!$A$1:$A$49,0),MATCH(Orders!M$1,Products!$A$1:$G$1,0))</f>
        <v>M</v>
      </c>
      <c r="N308" s="4">
        <f>INDEX(Products!$A$1:$G$49,MATCH(Orders!$G308,Products!$A$1:$A$49,0),MATCH(Orders!N$1,Products!$A$1:$G$1,0))</f>
        <v>0.2</v>
      </c>
      <c r="O308" s="7">
        <f>INDEX(Products!$A$1:$G$49,MATCH(Orders!$G308,Products!$A$1:$A$49,0),MATCH(Orders!O$1,Products!$A$1:$G$1,0))</f>
        <v>2.9849999999999999</v>
      </c>
      <c r="P308" s="7">
        <f t="shared" si="4"/>
        <v>14.924999999999999</v>
      </c>
      <c r="Q308" t="str" cm="1">
        <f t="array" ref="Q308">_xlfn.IFS(L308="Rob","Robusta",L308="Exc", "Excelsa",L308="Ara", "Arabica",L308="Lib", "Liberica")</f>
        <v>Robusta</v>
      </c>
      <c r="R308" t="str" cm="1">
        <f t="array" ref="R308">_xlfn.IFS(M308="M","Medium",M308="L","Light",M308="D","Dark")</f>
        <v>Medium</v>
      </c>
    </row>
    <row r="309" spans="1:18">
      <c r="A309" s="2" t="s">
        <v>675</v>
      </c>
      <c r="B309" s="3">
        <v>44227</v>
      </c>
      <c r="C309" s="9">
        <f>YEAR(Orders_Table[[#This Row],[Order Date]])</f>
        <v>2021</v>
      </c>
      <c r="D309" s="9">
        <f>MONTH(Orders_Table[[#This Row],[Order Date]])</f>
        <v>1</v>
      </c>
      <c r="E309" s="9" t="str" cm="1">
        <f t="array" ref="E3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09" s="2" t="s">
        <v>676</v>
      </c>
      <c r="G309" t="s">
        <v>108</v>
      </c>
      <c r="H309" s="2">
        <v>3</v>
      </c>
      <c r="I309" s="2" t="str" cm="1">
        <f t="array" ref="I309">_xlfn.XLOOKUP(F309,Customers!A308:$A$1001,Customers!B308:$B$1001,"Not Found",0)</f>
        <v>Ermin Beeble</v>
      </c>
      <c r="J309" s="2" t="str" cm="1">
        <f t="array" ref="J309">IF(_xlfn.XLOOKUP(F309,Customers!A308:$A$1001,Customers!C308:$C$1001,"Not Found",0)=0,"",_xlfn.XLOOKUP(F309,Customers!A308:$A$1001,Customers!C308:$C$1001,"Not Found",0))</f>
        <v>ebeeble8j@soundcloud.com</v>
      </c>
      <c r="K309" s="2" t="str" cm="1">
        <f t="array" ref="K309">_xlfn.XLOOKUP(F309,Customers!A308:$A$1001,Customers!G308:$G$1001,"Not Found",0)</f>
        <v>United States</v>
      </c>
      <c r="L309" t="str">
        <f>INDEX(Products!$A$1:$G$49,MATCH(Orders!$G309,Products!$A$1:$A$49,0),MATCH(Orders!L$1,Products!$A$1:$G$1,0))</f>
        <v>Ara</v>
      </c>
      <c r="M309" t="str">
        <f>INDEX(Products!$A$1:$G$49,MATCH(Orders!$G309,Products!$A$1:$A$49,0),MATCH(Orders!M$1,Products!$A$1:$G$1,0))</f>
        <v>M</v>
      </c>
      <c r="N309" s="4">
        <f>INDEX(Products!$A$1:$G$49,MATCH(Orders!$G309,Products!$A$1:$A$49,0),MATCH(Orders!N$1,Products!$A$1:$G$1,0))</f>
        <v>1</v>
      </c>
      <c r="O309" s="7">
        <f>INDEX(Products!$A$1:$G$49,MATCH(Orders!$G309,Products!$A$1:$A$49,0),MATCH(Orders!O$1,Products!$A$1:$G$1,0))</f>
        <v>11.25</v>
      </c>
      <c r="P309" s="7">
        <f t="shared" si="4"/>
        <v>33.75</v>
      </c>
      <c r="Q309" t="str" cm="1">
        <f t="array" ref="Q309">_xlfn.IFS(L309="Rob","Robusta",L309="Exc", "Excelsa",L309="Ara", "Arabica",L309="Lib", "Liberica")</f>
        <v>Arabica</v>
      </c>
      <c r="R309" t="str" cm="1">
        <f t="array" ref="R309">_xlfn.IFS(M309="M","Medium",M309="L","Light",M309="D","Dark")</f>
        <v>Medium</v>
      </c>
    </row>
    <row r="310" spans="1:18">
      <c r="A310" s="2" t="s">
        <v>677</v>
      </c>
      <c r="B310" s="3">
        <v>44729</v>
      </c>
      <c r="C310" s="9">
        <f>YEAR(Orders_Table[[#This Row],[Order Date]])</f>
        <v>2022</v>
      </c>
      <c r="D310" s="9">
        <f>MONTH(Orders_Table[[#This Row],[Order Date]])</f>
        <v>6</v>
      </c>
      <c r="E310" s="9" t="str" cm="1">
        <f t="array" ref="E3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10" s="2" t="s">
        <v>678</v>
      </c>
      <c r="G310" t="s">
        <v>108</v>
      </c>
      <c r="H310" s="2">
        <v>3</v>
      </c>
      <c r="I310" s="2" t="str" cm="1">
        <f t="array" ref="I310">_xlfn.XLOOKUP(F310,Customers!A309:$A$1001,Customers!B309:$B$1001,"Not Found",0)</f>
        <v>Cos Fluin</v>
      </c>
      <c r="J310" s="2" t="str" cm="1">
        <f t="array" ref="J310">IF(_xlfn.XLOOKUP(F310,Customers!A309:$A$1001,Customers!C309:$C$1001,"Not Found",0)=0,"",_xlfn.XLOOKUP(F310,Customers!A309:$A$1001,Customers!C309:$C$1001,"Not Found",0))</f>
        <v>cfluin8k@flickr.com</v>
      </c>
      <c r="K310" s="2" t="str" cm="1">
        <f t="array" ref="K310">_xlfn.XLOOKUP(F310,Customers!A309:$A$1001,Customers!G309:$G$1001,"Not Found",0)</f>
        <v>United Kingdom</v>
      </c>
      <c r="L310" t="str">
        <f>INDEX(Products!$A$1:$G$49,MATCH(Orders!$G310,Products!$A$1:$A$49,0),MATCH(Orders!L$1,Products!$A$1:$G$1,0))</f>
        <v>Ara</v>
      </c>
      <c r="M310" t="str">
        <f>INDEX(Products!$A$1:$G$49,MATCH(Orders!$G310,Products!$A$1:$A$49,0),MATCH(Orders!M$1,Products!$A$1:$G$1,0))</f>
        <v>M</v>
      </c>
      <c r="N310" s="4">
        <f>INDEX(Products!$A$1:$G$49,MATCH(Orders!$G310,Products!$A$1:$A$49,0),MATCH(Orders!N$1,Products!$A$1:$G$1,0))</f>
        <v>1</v>
      </c>
      <c r="O310" s="7">
        <f>INDEX(Products!$A$1:$G$49,MATCH(Orders!$G310,Products!$A$1:$A$49,0),MATCH(Orders!O$1,Products!$A$1:$G$1,0))</f>
        <v>11.25</v>
      </c>
      <c r="P310" s="7">
        <f t="shared" si="4"/>
        <v>33.75</v>
      </c>
      <c r="Q310" t="str" cm="1">
        <f t="array" ref="Q310">_xlfn.IFS(L310="Rob","Robusta",L310="Exc", "Excelsa",L310="Ara", "Arabica",L310="Lib", "Liberica")</f>
        <v>Arabica</v>
      </c>
      <c r="R310" t="str" cm="1">
        <f t="array" ref="R310">_xlfn.IFS(M310="M","Medium",M310="L","Light",M310="D","Dark")</f>
        <v>Medium</v>
      </c>
    </row>
    <row r="311" spans="1:18">
      <c r="A311" s="2" t="s">
        <v>679</v>
      </c>
      <c r="B311" s="3">
        <v>43864</v>
      </c>
      <c r="C311" s="9">
        <f>YEAR(Orders_Table[[#This Row],[Order Date]])</f>
        <v>2020</v>
      </c>
      <c r="D311" s="9">
        <f>MONTH(Orders_Table[[#This Row],[Order Date]])</f>
        <v>2</v>
      </c>
      <c r="E311" s="9" t="str" cm="1">
        <f t="array" ref="E3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11" s="2" t="s">
        <v>680</v>
      </c>
      <c r="G311" t="s">
        <v>124</v>
      </c>
      <c r="H311" s="2">
        <v>6</v>
      </c>
      <c r="I311" s="2" t="str" cm="1">
        <f t="array" ref="I311">_xlfn.XLOOKUP(F311,Customers!A310:$A$1001,Customers!B310:$B$1001,"Not Found",0)</f>
        <v>Eveleen Bletsor</v>
      </c>
      <c r="J311" s="2" t="str" cm="1">
        <f t="array" ref="J311">IF(_xlfn.XLOOKUP(F311,Customers!A310:$A$1001,Customers!C310:$C$1001,"Not Found",0)=0,"",_xlfn.XLOOKUP(F311,Customers!A310:$A$1001,Customers!C310:$C$1001,"Not Found",0))</f>
        <v>ebletsor8l@vinaora.com</v>
      </c>
      <c r="K311" s="2" t="str" cm="1">
        <f t="array" ref="K311">_xlfn.XLOOKUP(F311,Customers!A310:$A$1001,Customers!G310:$G$1001,"Not Found",0)</f>
        <v>United States</v>
      </c>
      <c r="L311" t="str">
        <f>INDEX(Products!$A$1:$G$49,MATCH(Orders!$G311,Products!$A$1:$A$49,0),MATCH(Orders!L$1,Products!$A$1:$G$1,0))</f>
        <v>Lib</v>
      </c>
      <c r="M311" t="str">
        <f>INDEX(Products!$A$1:$G$49,MATCH(Orders!$G311,Products!$A$1:$A$49,0),MATCH(Orders!M$1,Products!$A$1:$G$1,0))</f>
        <v>M</v>
      </c>
      <c r="N311" s="4">
        <f>INDEX(Products!$A$1:$G$49,MATCH(Orders!$G311,Products!$A$1:$A$49,0),MATCH(Orders!N$1,Products!$A$1:$G$1,0))</f>
        <v>0.2</v>
      </c>
      <c r="O311" s="7">
        <f>INDEX(Products!$A$1:$G$49,MATCH(Orders!$G311,Products!$A$1:$A$49,0),MATCH(Orders!O$1,Products!$A$1:$G$1,0))</f>
        <v>4.3650000000000002</v>
      </c>
      <c r="P311" s="7">
        <f t="shared" si="4"/>
        <v>26.19</v>
      </c>
      <c r="Q311" t="str" cm="1">
        <f t="array" ref="Q311">_xlfn.IFS(L311="Rob","Robusta",L311="Exc", "Excelsa",L311="Ara", "Arabica",L311="Lib", "Liberica")</f>
        <v>Liberica</v>
      </c>
      <c r="R311" t="str" cm="1">
        <f t="array" ref="R311">_xlfn.IFS(M311="M","Medium",M311="L","Light",M311="D","Dark")</f>
        <v>Medium</v>
      </c>
    </row>
    <row r="312" spans="1:18">
      <c r="A312" s="2" t="s">
        <v>681</v>
      </c>
      <c r="B312" s="3">
        <v>44586</v>
      </c>
      <c r="C312" s="9">
        <f>YEAR(Orders_Table[[#This Row],[Order Date]])</f>
        <v>2022</v>
      </c>
      <c r="D312" s="9">
        <f>MONTH(Orders_Table[[#This Row],[Order Date]])</f>
        <v>1</v>
      </c>
      <c r="E312" s="9" t="str" cm="1">
        <f t="array" ref="E3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12" s="2" t="s">
        <v>682</v>
      </c>
      <c r="G312" t="s">
        <v>184</v>
      </c>
      <c r="H312" s="2">
        <v>1</v>
      </c>
      <c r="I312" s="2" t="str" cm="1">
        <f t="array" ref="I312">_xlfn.XLOOKUP(F312,Customers!A311:$A$1001,Customers!B311:$B$1001,"Not Found",0)</f>
        <v>Paola Brydell</v>
      </c>
      <c r="J312" s="2" t="str" cm="1">
        <f t="array" ref="J312">IF(_xlfn.XLOOKUP(F312,Customers!A311:$A$1001,Customers!C311:$C$1001,"Not Found",0)=0,"",_xlfn.XLOOKUP(F312,Customers!A311:$A$1001,Customers!C311:$C$1001,"Not Found",0))</f>
        <v>pbrydell8m@bloglovin.com</v>
      </c>
      <c r="K312" s="2" t="str" cm="1">
        <f t="array" ref="K312">_xlfn.XLOOKUP(F312,Customers!A311:$A$1001,Customers!G311:$G$1001,"Not Found",0)</f>
        <v>Ireland</v>
      </c>
      <c r="L312" t="str">
        <f>INDEX(Products!$A$1:$G$49,MATCH(Orders!$G312,Products!$A$1:$A$49,0),MATCH(Orders!L$1,Products!$A$1:$G$1,0))</f>
        <v>Exc</v>
      </c>
      <c r="M312" t="str">
        <f>INDEX(Products!$A$1:$G$49,MATCH(Orders!$G312,Products!$A$1:$A$49,0),MATCH(Orders!M$1,Products!$A$1:$G$1,0))</f>
        <v>L</v>
      </c>
      <c r="N312" s="4">
        <f>INDEX(Products!$A$1:$G$49,MATCH(Orders!$G312,Products!$A$1:$A$49,0),MATCH(Orders!N$1,Products!$A$1:$G$1,0))</f>
        <v>1</v>
      </c>
      <c r="O312" s="7">
        <f>INDEX(Products!$A$1:$G$49,MATCH(Orders!$G312,Products!$A$1:$A$49,0),MATCH(Orders!O$1,Products!$A$1:$G$1,0))</f>
        <v>14.85</v>
      </c>
      <c r="P312" s="7">
        <f t="shared" si="4"/>
        <v>14.85</v>
      </c>
      <c r="Q312" t="str" cm="1">
        <f t="array" ref="Q312">_xlfn.IFS(L312="Rob","Robusta",L312="Exc", "Excelsa",L312="Ara", "Arabica",L312="Lib", "Liberica")</f>
        <v>Excelsa</v>
      </c>
      <c r="R312" t="str" cm="1">
        <f t="array" ref="R312">_xlfn.IFS(M312="M","Medium",M312="L","Light",M312="D","Dark")</f>
        <v>Light</v>
      </c>
    </row>
    <row r="313" spans="1:18">
      <c r="A313" s="2" t="s">
        <v>683</v>
      </c>
      <c r="B313" s="3">
        <v>43951</v>
      </c>
      <c r="C313" s="9">
        <f>YEAR(Orders_Table[[#This Row],[Order Date]])</f>
        <v>2020</v>
      </c>
      <c r="D313" s="9">
        <f>MONTH(Orders_Table[[#This Row],[Order Date]])</f>
        <v>4</v>
      </c>
      <c r="E313" s="9" t="str" cm="1">
        <f t="array" ref="E3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313" s="2" t="s">
        <v>670</v>
      </c>
      <c r="G313" t="s">
        <v>159</v>
      </c>
      <c r="H313" s="2">
        <v>6</v>
      </c>
      <c r="I313" s="2" t="str" cm="1">
        <f t="array" ref="I313">_xlfn.XLOOKUP(F313,Customers!A312:$A$1001,Customers!B312:$B$1001,"Not Found",0)</f>
        <v>Claudetta Rushe</v>
      </c>
      <c r="J313" s="2" t="str" cm="1">
        <f t="array" ref="J313">IF(_xlfn.XLOOKUP(F313,Customers!A312:$A$1001,Customers!C312:$C$1001,"Not Found",0)=0,"",_xlfn.XLOOKUP(F313,Customers!A312:$A$1001,Customers!C312:$C$1001,"Not Found",0))</f>
        <v>crushe8n@about.me</v>
      </c>
      <c r="K313" s="2" t="str" cm="1">
        <f t="array" ref="K313">_xlfn.XLOOKUP(F313,Customers!A312:$A$1001,Customers!G312:$G$1001,"Not Found",0)</f>
        <v>United States</v>
      </c>
      <c r="L313" t="str">
        <f>INDEX(Products!$A$1:$G$49,MATCH(Orders!$G313,Products!$A$1:$A$49,0),MATCH(Orders!L$1,Products!$A$1:$G$1,0))</f>
        <v>Exc</v>
      </c>
      <c r="M313" t="str">
        <f>INDEX(Products!$A$1:$G$49,MATCH(Orders!$G313,Products!$A$1:$A$49,0),MATCH(Orders!M$1,Products!$A$1:$G$1,0))</f>
        <v>M</v>
      </c>
      <c r="N313" s="4">
        <f>INDEX(Products!$A$1:$G$49,MATCH(Orders!$G313,Products!$A$1:$A$49,0),MATCH(Orders!N$1,Products!$A$1:$G$1,0))</f>
        <v>2.5</v>
      </c>
      <c r="O313" s="7">
        <f>INDEX(Products!$A$1:$G$49,MATCH(Orders!$G313,Products!$A$1:$A$49,0),MATCH(Orders!O$1,Products!$A$1:$G$1,0))</f>
        <v>31.624999999999996</v>
      </c>
      <c r="P313" s="7">
        <f t="shared" si="4"/>
        <v>189.74999999999997</v>
      </c>
      <c r="Q313" t="str" cm="1">
        <f t="array" ref="Q313">_xlfn.IFS(L313="Rob","Robusta",L313="Exc", "Excelsa",L313="Ara", "Arabica",L313="Lib", "Liberica")</f>
        <v>Excelsa</v>
      </c>
      <c r="R313" t="str" cm="1">
        <f t="array" ref="R313">_xlfn.IFS(M313="M","Medium",M313="L","Light",M313="D","Dark")</f>
        <v>Medium</v>
      </c>
    </row>
    <row r="314" spans="1:18">
      <c r="A314" s="2" t="s">
        <v>684</v>
      </c>
      <c r="B314" s="3">
        <v>44317</v>
      </c>
      <c r="C314" s="9">
        <f>YEAR(Orders_Table[[#This Row],[Order Date]])</f>
        <v>2021</v>
      </c>
      <c r="D314" s="9">
        <f>MONTH(Orders_Table[[#This Row],[Order Date]])</f>
        <v>5</v>
      </c>
      <c r="E314" s="9" t="str" cm="1">
        <f t="array" ref="E3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14" s="2" t="s">
        <v>685</v>
      </c>
      <c r="G314" t="s">
        <v>69</v>
      </c>
      <c r="H314" s="2">
        <v>1</v>
      </c>
      <c r="I314" s="2" t="str" cm="1">
        <f t="array" ref="I314">_xlfn.XLOOKUP(F314,Customers!A313:$A$1001,Customers!B313:$B$1001,"Not Found",0)</f>
        <v>Natka Leethem</v>
      </c>
      <c r="J314" s="2" t="str" cm="1">
        <f t="array" ref="J314">IF(_xlfn.XLOOKUP(F314,Customers!A313:$A$1001,Customers!C313:$C$1001,"Not Found",0)=0,"",_xlfn.XLOOKUP(F314,Customers!A313:$A$1001,Customers!C313:$C$1001,"Not Found",0))</f>
        <v>nleethem8o@mac.com</v>
      </c>
      <c r="K314" s="2" t="str" cm="1">
        <f t="array" ref="K314">_xlfn.XLOOKUP(F314,Customers!A313:$A$1001,Customers!G313:$G$1001,"Not Found",0)</f>
        <v>United States</v>
      </c>
      <c r="L314" t="str">
        <f>INDEX(Products!$A$1:$G$49,MATCH(Orders!$G314,Products!$A$1:$A$49,0),MATCH(Orders!L$1,Products!$A$1:$G$1,0))</f>
        <v>Rob</v>
      </c>
      <c r="M314" t="str">
        <f>INDEX(Products!$A$1:$G$49,MATCH(Orders!$G314,Products!$A$1:$A$49,0),MATCH(Orders!M$1,Products!$A$1:$G$1,0))</f>
        <v>M</v>
      </c>
      <c r="N314" s="4">
        <f>INDEX(Products!$A$1:$G$49,MATCH(Orders!$G314,Products!$A$1:$A$49,0),MATCH(Orders!N$1,Products!$A$1:$G$1,0))</f>
        <v>0.5</v>
      </c>
      <c r="O314" s="7">
        <f>INDEX(Products!$A$1:$G$49,MATCH(Orders!$G314,Products!$A$1:$A$49,0),MATCH(Orders!O$1,Products!$A$1:$G$1,0))</f>
        <v>5.97</v>
      </c>
      <c r="P314" s="7">
        <f t="shared" si="4"/>
        <v>5.97</v>
      </c>
      <c r="Q314" t="str" cm="1">
        <f t="array" ref="Q314">_xlfn.IFS(L314="Rob","Robusta",L314="Exc", "Excelsa",L314="Ara", "Arabica",L314="Lib", "Liberica")</f>
        <v>Robusta</v>
      </c>
      <c r="R314" t="str" cm="1">
        <f t="array" ref="R314">_xlfn.IFS(M314="M","Medium",M314="L","Light",M314="D","Dark")</f>
        <v>Medium</v>
      </c>
    </row>
    <row r="315" spans="1:18">
      <c r="A315" s="2" t="s">
        <v>686</v>
      </c>
      <c r="B315" s="3">
        <v>44497</v>
      </c>
      <c r="C315" s="9">
        <f>YEAR(Orders_Table[[#This Row],[Order Date]])</f>
        <v>2021</v>
      </c>
      <c r="D315" s="9">
        <f>MONTH(Orders_Table[[#This Row],[Order Date]])</f>
        <v>10</v>
      </c>
      <c r="E315" s="9" t="str" cm="1">
        <f t="array" ref="E3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15" s="2" t="s">
        <v>687</v>
      </c>
      <c r="G315" t="s">
        <v>49</v>
      </c>
      <c r="H315" s="2">
        <v>3</v>
      </c>
      <c r="I315" s="2" t="str" cm="1">
        <f t="array" ref="I315">_xlfn.XLOOKUP(F315,Customers!A314:$A$1001,Customers!B314:$B$1001,"Not Found",0)</f>
        <v>Ailene Nesfield</v>
      </c>
      <c r="J315" s="2" t="str" cm="1">
        <f t="array" ref="J315">IF(_xlfn.XLOOKUP(F315,Customers!A314:$A$1001,Customers!C314:$C$1001,"Not Found",0)=0,"",_xlfn.XLOOKUP(F315,Customers!A314:$A$1001,Customers!C314:$C$1001,"Not Found",0))</f>
        <v>anesfield8p@people.com.cn</v>
      </c>
      <c r="K315" s="2" t="str" cm="1">
        <f t="array" ref="K315">_xlfn.XLOOKUP(F315,Customers!A314:$A$1001,Customers!G314:$G$1001,"Not Found",0)</f>
        <v>United Kingdom</v>
      </c>
      <c r="L315" t="str">
        <f>INDEX(Products!$A$1:$G$49,MATCH(Orders!$G315,Products!$A$1:$A$49,0),MATCH(Orders!L$1,Products!$A$1:$G$1,0))</f>
        <v>Rob</v>
      </c>
      <c r="M315" t="str">
        <f>INDEX(Products!$A$1:$G$49,MATCH(Orders!$G315,Products!$A$1:$A$49,0),MATCH(Orders!M$1,Products!$A$1:$G$1,0))</f>
        <v>M</v>
      </c>
      <c r="N315" s="4">
        <f>INDEX(Products!$A$1:$G$49,MATCH(Orders!$G315,Products!$A$1:$A$49,0),MATCH(Orders!N$1,Products!$A$1:$G$1,0))</f>
        <v>1</v>
      </c>
      <c r="O315" s="7">
        <f>INDEX(Products!$A$1:$G$49,MATCH(Orders!$G315,Products!$A$1:$A$49,0),MATCH(Orders!O$1,Products!$A$1:$G$1,0))</f>
        <v>9.9499999999999993</v>
      </c>
      <c r="P315" s="7">
        <f t="shared" si="4"/>
        <v>29.849999999999998</v>
      </c>
      <c r="Q315" t="str" cm="1">
        <f t="array" ref="Q315">_xlfn.IFS(L315="Rob","Robusta",L315="Exc", "Excelsa",L315="Ara", "Arabica",L315="Lib", "Liberica")</f>
        <v>Robusta</v>
      </c>
      <c r="R315" t="str" cm="1">
        <f t="array" ref="R315">_xlfn.IFS(M315="M","Medium",M315="L","Light",M315="D","Dark")</f>
        <v>Medium</v>
      </c>
    </row>
    <row r="316" spans="1:18">
      <c r="A316" s="2" t="s">
        <v>688</v>
      </c>
      <c r="B316" s="3">
        <v>44437</v>
      </c>
      <c r="C316" s="9">
        <f>YEAR(Orders_Table[[#This Row],[Order Date]])</f>
        <v>2021</v>
      </c>
      <c r="D316" s="9">
        <f>MONTH(Orders_Table[[#This Row],[Order Date]])</f>
        <v>8</v>
      </c>
      <c r="E316" s="9" t="str" cm="1">
        <f t="array" ref="E3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16" s="2" t="s">
        <v>689</v>
      </c>
      <c r="G316" t="s">
        <v>226</v>
      </c>
      <c r="H316" s="2">
        <v>5</v>
      </c>
      <c r="I316" s="2" t="str" cm="1">
        <f t="array" ref="I316">_xlfn.XLOOKUP(F316,Customers!A315:$A$1001,Customers!B315:$B$1001,"Not Found",0)</f>
        <v>Stacy Pickworth</v>
      </c>
      <c r="J316" s="2" t="str" cm="1">
        <f t="array" ref="J316">IF(_xlfn.XLOOKUP(F316,Customers!A315:$A$1001,Customers!C315:$C$1001,"Not Found",0)=0,"",_xlfn.XLOOKUP(F316,Customers!A315:$A$1001,Customers!C315:$C$1001,"Not Found",0))</f>
        <v/>
      </c>
      <c r="K316" s="2" t="str" cm="1">
        <f t="array" ref="K316">_xlfn.XLOOKUP(F316,Customers!A315:$A$1001,Customers!G315:$G$1001,"Not Found",0)</f>
        <v>United States</v>
      </c>
      <c r="L316" t="str">
        <f>INDEX(Products!$A$1:$G$49,MATCH(Orders!$G316,Products!$A$1:$A$49,0),MATCH(Orders!L$1,Products!$A$1:$G$1,0))</f>
        <v>Rob</v>
      </c>
      <c r="M316" t="str">
        <f>INDEX(Products!$A$1:$G$49,MATCH(Orders!$G316,Products!$A$1:$A$49,0),MATCH(Orders!M$1,Products!$A$1:$G$1,0))</f>
        <v>D</v>
      </c>
      <c r="N316" s="4">
        <f>INDEX(Products!$A$1:$G$49,MATCH(Orders!$G316,Products!$A$1:$A$49,0),MATCH(Orders!N$1,Products!$A$1:$G$1,0))</f>
        <v>1</v>
      </c>
      <c r="O316" s="7">
        <f>INDEX(Products!$A$1:$G$49,MATCH(Orders!$G316,Products!$A$1:$A$49,0),MATCH(Orders!O$1,Products!$A$1:$G$1,0))</f>
        <v>8.9499999999999993</v>
      </c>
      <c r="P316" s="7">
        <f t="shared" si="4"/>
        <v>44.75</v>
      </c>
      <c r="Q316" t="str" cm="1">
        <f t="array" ref="Q316">_xlfn.IFS(L316="Rob","Robusta",L316="Exc", "Excelsa",L316="Ara", "Arabica",L316="Lib", "Liberica")</f>
        <v>Robusta</v>
      </c>
      <c r="R316" t="str" cm="1">
        <f t="array" ref="R316">_xlfn.IFS(M316="M","Medium",M316="L","Light",M316="D","Dark")</f>
        <v>Dark</v>
      </c>
    </row>
    <row r="317" spans="1:18">
      <c r="A317" s="2" t="s">
        <v>690</v>
      </c>
      <c r="B317" s="3">
        <v>43826</v>
      </c>
      <c r="C317" s="9">
        <f>YEAR(Orders_Table[[#This Row],[Order Date]])</f>
        <v>2019</v>
      </c>
      <c r="D317" s="9">
        <f>MONTH(Orders_Table[[#This Row],[Order Date]])</f>
        <v>12</v>
      </c>
      <c r="E317" s="9" t="str" cm="1">
        <f t="array" ref="E3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317" s="2" t="s">
        <v>691</v>
      </c>
      <c r="G317" t="s">
        <v>77</v>
      </c>
      <c r="H317" s="2">
        <v>1</v>
      </c>
      <c r="I317" s="2" t="str" cm="1">
        <f t="array" ref="I317">_xlfn.XLOOKUP(F317,Customers!A316:$A$1001,Customers!B316:$B$1001,"Not Found",0)</f>
        <v>Melli Brockway</v>
      </c>
      <c r="J317" s="2" t="str" cm="1">
        <f t="array" ref="J317">IF(_xlfn.XLOOKUP(F317,Customers!A316:$A$1001,Customers!C316:$C$1001,"Not Found",0)=0,"",_xlfn.XLOOKUP(F317,Customers!A316:$A$1001,Customers!C316:$C$1001,"Not Found",0))</f>
        <v>mbrockway8r@ibm.com</v>
      </c>
      <c r="K317" s="2" t="str" cm="1">
        <f t="array" ref="K317">_xlfn.XLOOKUP(F317,Customers!A316:$A$1001,Customers!G316:$G$1001,"Not Found",0)</f>
        <v>United States</v>
      </c>
      <c r="L317" t="str">
        <f>INDEX(Products!$A$1:$G$49,MATCH(Orders!$G317,Products!$A$1:$A$49,0),MATCH(Orders!L$1,Products!$A$1:$G$1,0))</f>
        <v>Exc</v>
      </c>
      <c r="M317" t="str">
        <f>INDEX(Products!$A$1:$G$49,MATCH(Orders!$G317,Products!$A$1:$A$49,0),MATCH(Orders!M$1,Products!$A$1:$G$1,0))</f>
        <v>L</v>
      </c>
      <c r="N317" s="4">
        <f>INDEX(Products!$A$1:$G$49,MATCH(Orders!$G317,Products!$A$1:$A$49,0),MATCH(Orders!N$1,Products!$A$1:$G$1,0))</f>
        <v>2.5</v>
      </c>
      <c r="O317" s="7">
        <f>INDEX(Products!$A$1:$G$49,MATCH(Orders!$G317,Products!$A$1:$A$49,0),MATCH(Orders!O$1,Products!$A$1:$G$1,0))</f>
        <v>34.154999999999994</v>
      </c>
      <c r="P317" s="7">
        <f t="shared" si="4"/>
        <v>34.154999999999994</v>
      </c>
      <c r="Q317" t="str" cm="1">
        <f t="array" ref="Q317">_xlfn.IFS(L317="Rob","Robusta",L317="Exc", "Excelsa",L317="Ara", "Arabica",L317="Lib", "Liberica")</f>
        <v>Excelsa</v>
      </c>
      <c r="R317" t="str" cm="1">
        <f t="array" ref="R317">_xlfn.IFS(M317="M","Medium",M317="L","Light",M317="D","Dark")</f>
        <v>Light</v>
      </c>
    </row>
    <row r="318" spans="1:18">
      <c r="A318" s="2" t="s">
        <v>692</v>
      </c>
      <c r="B318" s="3">
        <v>43641</v>
      </c>
      <c r="C318" s="9">
        <f>YEAR(Orders_Table[[#This Row],[Order Date]])</f>
        <v>2019</v>
      </c>
      <c r="D318" s="9">
        <f>MONTH(Orders_Table[[#This Row],[Order Date]])</f>
        <v>6</v>
      </c>
      <c r="E318" s="9" t="str" cm="1">
        <f t="array" ref="E3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18" s="2" t="s">
        <v>693</v>
      </c>
      <c r="G318" t="s">
        <v>77</v>
      </c>
      <c r="H318" s="2">
        <v>6</v>
      </c>
      <c r="I318" s="2" t="str" cm="1">
        <f t="array" ref="I318">_xlfn.XLOOKUP(F318,Customers!A317:$A$1001,Customers!B317:$B$1001,"Not Found",0)</f>
        <v>Nanny Lush</v>
      </c>
      <c r="J318" s="2" t="str" cm="1">
        <f t="array" ref="J318">IF(_xlfn.XLOOKUP(F318,Customers!A317:$A$1001,Customers!C317:$C$1001,"Not Found",0)=0,"",_xlfn.XLOOKUP(F318,Customers!A317:$A$1001,Customers!C317:$C$1001,"Not Found",0))</f>
        <v>nlush8s@dedecms.com</v>
      </c>
      <c r="K318" s="2" t="str" cm="1">
        <f t="array" ref="K318">_xlfn.XLOOKUP(F318,Customers!A317:$A$1001,Customers!G317:$G$1001,"Not Found",0)</f>
        <v>Ireland</v>
      </c>
      <c r="L318" t="str">
        <f>INDEX(Products!$A$1:$G$49,MATCH(Orders!$G318,Products!$A$1:$A$49,0),MATCH(Orders!L$1,Products!$A$1:$G$1,0))</f>
        <v>Exc</v>
      </c>
      <c r="M318" t="str">
        <f>INDEX(Products!$A$1:$G$49,MATCH(Orders!$G318,Products!$A$1:$A$49,0),MATCH(Orders!M$1,Products!$A$1:$G$1,0))</f>
        <v>L</v>
      </c>
      <c r="N318" s="4">
        <f>INDEX(Products!$A$1:$G$49,MATCH(Orders!$G318,Products!$A$1:$A$49,0),MATCH(Orders!N$1,Products!$A$1:$G$1,0))</f>
        <v>2.5</v>
      </c>
      <c r="O318" s="7">
        <f>INDEX(Products!$A$1:$G$49,MATCH(Orders!$G318,Products!$A$1:$A$49,0),MATCH(Orders!O$1,Products!$A$1:$G$1,0))</f>
        <v>34.154999999999994</v>
      </c>
      <c r="P318" s="7">
        <f t="shared" si="4"/>
        <v>204.92999999999995</v>
      </c>
      <c r="Q318" t="str" cm="1">
        <f t="array" ref="Q318">_xlfn.IFS(L318="Rob","Robusta",L318="Exc", "Excelsa",L318="Ara", "Arabica",L318="Lib", "Liberica")</f>
        <v>Excelsa</v>
      </c>
      <c r="R318" t="str" cm="1">
        <f t="array" ref="R318">_xlfn.IFS(M318="M","Medium",M318="L","Light",M318="D","Dark")</f>
        <v>Light</v>
      </c>
    </row>
    <row r="319" spans="1:18">
      <c r="A319" s="2" t="s">
        <v>694</v>
      </c>
      <c r="B319" s="3">
        <v>43526</v>
      </c>
      <c r="C319" s="9">
        <f>YEAR(Orders_Table[[#This Row],[Order Date]])</f>
        <v>2019</v>
      </c>
      <c r="D319" s="9">
        <f>MONTH(Orders_Table[[#This Row],[Order Date]])</f>
        <v>3</v>
      </c>
      <c r="E319" s="9" t="str" cm="1">
        <f t="array" ref="E3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19" s="2" t="s">
        <v>695</v>
      </c>
      <c r="G319" t="s">
        <v>63</v>
      </c>
      <c r="H319" s="2">
        <v>3</v>
      </c>
      <c r="I319" s="2" t="str" cm="1">
        <f t="array" ref="I319">_xlfn.XLOOKUP(F319,Customers!A318:$A$1001,Customers!B318:$B$1001,"Not Found",0)</f>
        <v>Selma McMillian</v>
      </c>
      <c r="J319" s="2" t="str" cm="1">
        <f t="array" ref="J319">IF(_xlfn.XLOOKUP(F319,Customers!A318:$A$1001,Customers!C318:$C$1001,"Not Found",0)=0,"",_xlfn.XLOOKUP(F319,Customers!A318:$A$1001,Customers!C318:$C$1001,"Not Found",0))</f>
        <v>smcmillian8t@csmonitor.com</v>
      </c>
      <c r="K319" s="2" t="str" cm="1">
        <f t="array" ref="K319">_xlfn.XLOOKUP(F319,Customers!A318:$A$1001,Customers!G318:$G$1001,"Not Found",0)</f>
        <v>United States</v>
      </c>
      <c r="L319" t="str">
        <f>INDEX(Products!$A$1:$G$49,MATCH(Orders!$G319,Products!$A$1:$A$49,0),MATCH(Orders!L$1,Products!$A$1:$G$1,0))</f>
        <v>Exc</v>
      </c>
      <c r="M319" t="str">
        <f>INDEX(Products!$A$1:$G$49,MATCH(Orders!$G319,Products!$A$1:$A$49,0),MATCH(Orders!M$1,Products!$A$1:$G$1,0))</f>
        <v>D</v>
      </c>
      <c r="N319" s="4">
        <f>INDEX(Products!$A$1:$G$49,MATCH(Orders!$G319,Products!$A$1:$A$49,0),MATCH(Orders!N$1,Products!$A$1:$G$1,0))</f>
        <v>0.5</v>
      </c>
      <c r="O319" s="7">
        <f>INDEX(Products!$A$1:$G$49,MATCH(Orders!$G319,Products!$A$1:$A$49,0),MATCH(Orders!O$1,Products!$A$1:$G$1,0))</f>
        <v>7.29</v>
      </c>
      <c r="P319" s="7">
        <f t="shared" si="4"/>
        <v>21.87</v>
      </c>
      <c r="Q319" t="str" cm="1">
        <f t="array" ref="Q319">_xlfn.IFS(L319="Rob","Robusta",L319="Exc", "Excelsa",L319="Ara", "Arabica",L319="Lib", "Liberica")</f>
        <v>Excelsa</v>
      </c>
      <c r="R319" t="str" cm="1">
        <f t="array" ref="R319">_xlfn.IFS(M319="M","Medium",M319="L","Light",M319="D","Dark")</f>
        <v>Dark</v>
      </c>
    </row>
    <row r="320" spans="1:18">
      <c r="A320" s="2" t="s">
        <v>696</v>
      </c>
      <c r="B320" s="3">
        <v>44563</v>
      </c>
      <c r="C320" s="9">
        <f>YEAR(Orders_Table[[#This Row],[Order Date]])</f>
        <v>2022</v>
      </c>
      <c r="D320" s="9">
        <f>MONTH(Orders_Table[[#This Row],[Order Date]])</f>
        <v>1</v>
      </c>
      <c r="E320" s="9" t="str" cm="1">
        <f t="array" ref="E3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20" s="2" t="s">
        <v>697</v>
      </c>
      <c r="G320" t="s">
        <v>218</v>
      </c>
      <c r="H320" s="2">
        <v>2</v>
      </c>
      <c r="I320" s="2" t="str" cm="1">
        <f t="array" ref="I320">_xlfn.XLOOKUP(F320,Customers!A319:$A$1001,Customers!B319:$B$1001,"Not Found",0)</f>
        <v>Tess Bennison</v>
      </c>
      <c r="J320" s="2" t="str" cm="1">
        <f t="array" ref="J320">IF(_xlfn.XLOOKUP(F320,Customers!A319:$A$1001,Customers!C319:$C$1001,"Not Found",0)=0,"",_xlfn.XLOOKUP(F320,Customers!A319:$A$1001,Customers!C319:$C$1001,"Not Found",0))</f>
        <v>tbennison8u@google.cn</v>
      </c>
      <c r="K320" s="2" t="str" cm="1">
        <f t="array" ref="K320">_xlfn.XLOOKUP(F320,Customers!A319:$A$1001,Customers!G319:$G$1001,"Not Found",0)</f>
        <v>United States</v>
      </c>
      <c r="L320" t="str">
        <f>INDEX(Products!$A$1:$G$49,MATCH(Orders!$G320,Products!$A$1:$A$49,0),MATCH(Orders!L$1,Products!$A$1:$G$1,0))</f>
        <v>Ara</v>
      </c>
      <c r="M320" t="str">
        <f>INDEX(Products!$A$1:$G$49,MATCH(Orders!$G320,Products!$A$1:$A$49,0),MATCH(Orders!M$1,Products!$A$1:$G$1,0))</f>
        <v>M</v>
      </c>
      <c r="N320" s="4">
        <f>INDEX(Products!$A$1:$G$49,MATCH(Orders!$G320,Products!$A$1:$A$49,0),MATCH(Orders!N$1,Products!$A$1:$G$1,0))</f>
        <v>2.5</v>
      </c>
      <c r="O320" s="7">
        <f>INDEX(Products!$A$1:$G$49,MATCH(Orders!$G320,Products!$A$1:$A$49,0),MATCH(Orders!O$1,Products!$A$1:$G$1,0))</f>
        <v>25.874999999999996</v>
      </c>
      <c r="P320" s="7">
        <f t="shared" si="4"/>
        <v>51.749999999999993</v>
      </c>
      <c r="Q320" t="str" cm="1">
        <f t="array" ref="Q320">_xlfn.IFS(L320="Rob","Robusta",L320="Exc", "Excelsa",L320="Ara", "Arabica",L320="Lib", "Liberica")</f>
        <v>Arabica</v>
      </c>
      <c r="R320" t="str" cm="1">
        <f t="array" ref="R320">_xlfn.IFS(M320="M","Medium",M320="L","Light",M320="D","Dark")</f>
        <v>Medium</v>
      </c>
    </row>
    <row r="321" spans="1:18">
      <c r="A321" s="2" t="s">
        <v>698</v>
      </c>
      <c r="B321" s="3">
        <v>43676</v>
      </c>
      <c r="C321" s="9">
        <f>YEAR(Orders_Table[[#This Row],[Order Date]])</f>
        <v>2019</v>
      </c>
      <c r="D321" s="9">
        <f>MONTH(Orders_Table[[#This Row],[Order Date]])</f>
        <v>7</v>
      </c>
      <c r="E321" s="9" t="str" cm="1">
        <f t="array" ref="E3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21" s="2" t="s">
        <v>699</v>
      </c>
      <c r="G321" t="s">
        <v>111</v>
      </c>
      <c r="H321" s="2">
        <v>2</v>
      </c>
      <c r="I321" s="2" t="str" cm="1">
        <f t="array" ref="I321">_xlfn.XLOOKUP(F321,Customers!A320:$A$1001,Customers!B320:$B$1001,"Not Found",0)</f>
        <v>Gabie Tweed</v>
      </c>
      <c r="J321" s="2" t="str" cm="1">
        <f t="array" ref="J321">IF(_xlfn.XLOOKUP(F321,Customers!A320:$A$1001,Customers!C320:$C$1001,"Not Found",0)=0,"",_xlfn.XLOOKUP(F321,Customers!A320:$A$1001,Customers!C320:$C$1001,"Not Found",0))</f>
        <v>gtweed8v@yolasite.com</v>
      </c>
      <c r="K321" s="2" t="str" cm="1">
        <f t="array" ref="K321">_xlfn.XLOOKUP(F321,Customers!A320:$A$1001,Customers!G320:$G$1001,"Not Found",0)</f>
        <v>United States</v>
      </c>
      <c r="L321" t="str">
        <f>INDEX(Products!$A$1:$G$49,MATCH(Orders!$G321,Products!$A$1:$A$49,0),MATCH(Orders!L$1,Products!$A$1:$G$1,0))</f>
        <v>Exc</v>
      </c>
      <c r="M321" t="str">
        <f>INDEX(Products!$A$1:$G$49,MATCH(Orders!$G321,Products!$A$1:$A$49,0),MATCH(Orders!M$1,Products!$A$1:$G$1,0))</f>
        <v>M</v>
      </c>
      <c r="N321" s="4">
        <f>INDEX(Products!$A$1:$G$49,MATCH(Orders!$G321,Products!$A$1:$A$49,0),MATCH(Orders!N$1,Products!$A$1:$G$1,0))</f>
        <v>0.2</v>
      </c>
      <c r="O321" s="7">
        <f>INDEX(Products!$A$1:$G$49,MATCH(Orders!$G321,Products!$A$1:$A$49,0),MATCH(Orders!O$1,Products!$A$1:$G$1,0))</f>
        <v>4.125</v>
      </c>
      <c r="P321" s="7">
        <f t="shared" si="4"/>
        <v>8.25</v>
      </c>
      <c r="Q321" t="str" cm="1">
        <f t="array" ref="Q321">_xlfn.IFS(L321="Rob","Robusta",L321="Exc", "Excelsa",L321="Ara", "Arabica",L321="Lib", "Liberica")</f>
        <v>Excelsa</v>
      </c>
      <c r="R321" t="str" cm="1">
        <f t="array" ref="R321">_xlfn.IFS(M321="M","Medium",M321="L","Light",M321="D","Dark")</f>
        <v>Medium</v>
      </c>
    </row>
    <row r="322" spans="1:18">
      <c r="A322" s="2" t="s">
        <v>698</v>
      </c>
      <c r="B322" s="3">
        <v>43676</v>
      </c>
      <c r="C322" s="9">
        <f>YEAR(Orders_Table[[#This Row],[Order Date]])</f>
        <v>2019</v>
      </c>
      <c r="D322" s="9">
        <f>MONTH(Orders_Table[[#This Row],[Order Date]])</f>
        <v>7</v>
      </c>
      <c r="E322" s="9" t="str" cm="1">
        <f t="array" ref="E3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22" s="2" t="s">
        <v>699</v>
      </c>
      <c r="G322" t="s">
        <v>162</v>
      </c>
      <c r="H322" s="2">
        <v>5</v>
      </c>
      <c r="I322" s="2" t="str" cm="1">
        <f t="array" ref="I322">_xlfn.XLOOKUP(F322,Customers!A321:$A$1001,Customers!B321:$B$1001,"Not Found",0)</f>
        <v>Gabie Tweed</v>
      </c>
      <c r="J322" s="2" t="str" cm="1">
        <f t="array" ref="J322">IF(_xlfn.XLOOKUP(F322,Customers!A321:$A$1001,Customers!C321:$C$1001,"Not Found",0)=0,"",_xlfn.XLOOKUP(F322,Customers!A321:$A$1001,Customers!C321:$C$1001,"Not Found",0))</f>
        <v>gtweed8v@yolasite.com</v>
      </c>
      <c r="K322" s="2" t="str" cm="1">
        <f t="array" ref="K322">_xlfn.XLOOKUP(F322,Customers!A321:$A$1001,Customers!G321:$G$1001,"Not Found",0)</f>
        <v>United States</v>
      </c>
      <c r="L322" t="str">
        <f>INDEX(Products!$A$1:$G$49,MATCH(Orders!$G322,Products!$A$1:$A$49,0),MATCH(Orders!L$1,Products!$A$1:$G$1,0))</f>
        <v>Ara</v>
      </c>
      <c r="M322" t="str">
        <f>INDEX(Products!$A$1:$G$49,MATCH(Orders!$G322,Products!$A$1:$A$49,0),MATCH(Orders!M$1,Products!$A$1:$G$1,0))</f>
        <v>L</v>
      </c>
      <c r="N322" s="4">
        <f>INDEX(Products!$A$1:$G$49,MATCH(Orders!$G322,Products!$A$1:$A$49,0),MATCH(Orders!N$1,Products!$A$1:$G$1,0))</f>
        <v>0.2</v>
      </c>
      <c r="O322" s="7">
        <f>INDEX(Products!$A$1:$G$49,MATCH(Orders!$G322,Products!$A$1:$A$49,0),MATCH(Orders!O$1,Products!$A$1:$G$1,0))</f>
        <v>3.8849999999999998</v>
      </c>
      <c r="P322" s="7">
        <f t="shared" si="4"/>
        <v>19.424999999999997</v>
      </c>
      <c r="Q322" t="str" cm="1">
        <f t="array" ref="Q322">_xlfn.IFS(L322="Rob","Robusta",L322="Exc", "Excelsa",L322="Ara", "Arabica",L322="Lib", "Liberica")</f>
        <v>Arabica</v>
      </c>
      <c r="R322" t="str" cm="1">
        <f t="array" ref="R322">_xlfn.IFS(M322="M","Medium",M322="L","Light",M322="D","Dark")</f>
        <v>Light</v>
      </c>
    </row>
    <row r="323" spans="1:18">
      <c r="A323" s="2" t="s">
        <v>700</v>
      </c>
      <c r="B323" s="3">
        <v>44170</v>
      </c>
      <c r="C323" s="9">
        <f>YEAR(Orders_Table[[#This Row],[Order Date]])</f>
        <v>2020</v>
      </c>
      <c r="D323" s="9">
        <f>MONTH(Orders_Table[[#This Row],[Order Date]])</f>
        <v>12</v>
      </c>
      <c r="E323" s="9" t="str" cm="1">
        <f t="array" ref="E3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323" s="2" t="s">
        <v>701</v>
      </c>
      <c r="G323" t="s">
        <v>91</v>
      </c>
      <c r="H323" s="2">
        <v>6</v>
      </c>
      <c r="I323" s="2" t="str" cm="1">
        <f t="array" ref="I323">_xlfn.XLOOKUP(F323,Customers!A322:$A$1001,Customers!B322:$B$1001,"Not Found",0)</f>
        <v>Gaile Goggin</v>
      </c>
      <c r="J323" s="2" t="str" cm="1">
        <f t="array" ref="J323">IF(_xlfn.XLOOKUP(F323,Customers!A322:$A$1001,Customers!C322:$C$1001,"Not Found",0)=0,"",_xlfn.XLOOKUP(F323,Customers!A322:$A$1001,Customers!C322:$C$1001,"Not Found",0))</f>
        <v>ggoggin8x@wix.com</v>
      </c>
      <c r="K323" s="2" t="str" cm="1">
        <f t="array" ref="K323">_xlfn.XLOOKUP(F323,Customers!A322:$A$1001,Customers!G322:$G$1001,"Not Found",0)</f>
        <v>Ireland</v>
      </c>
      <c r="L323" t="str">
        <f>INDEX(Products!$A$1:$G$49,MATCH(Orders!$G323,Products!$A$1:$A$49,0),MATCH(Orders!L$1,Products!$A$1:$G$1,0))</f>
        <v>Ara</v>
      </c>
      <c r="M323" t="str">
        <f>INDEX(Products!$A$1:$G$49,MATCH(Orders!$G323,Products!$A$1:$A$49,0),MATCH(Orders!M$1,Products!$A$1:$G$1,0))</f>
        <v>M</v>
      </c>
      <c r="N323" s="4">
        <f>INDEX(Products!$A$1:$G$49,MATCH(Orders!$G323,Products!$A$1:$A$49,0),MATCH(Orders!N$1,Products!$A$1:$G$1,0))</f>
        <v>0.2</v>
      </c>
      <c r="O323" s="7">
        <f>INDEX(Products!$A$1:$G$49,MATCH(Orders!$G323,Products!$A$1:$A$49,0),MATCH(Orders!O$1,Products!$A$1:$G$1,0))</f>
        <v>3.375</v>
      </c>
      <c r="P323" s="7">
        <f t="shared" ref="P323:P386" si="5">O323*H323</f>
        <v>20.25</v>
      </c>
      <c r="Q323" t="str" cm="1">
        <f t="array" ref="Q323">_xlfn.IFS(L323="Rob","Robusta",L323="Exc", "Excelsa",L323="Ara", "Arabica",L323="Lib", "Liberica")</f>
        <v>Arabica</v>
      </c>
      <c r="R323" t="str" cm="1">
        <f t="array" ref="R323">_xlfn.IFS(M323="M","Medium",M323="L","Light",M323="D","Dark")</f>
        <v>Medium</v>
      </c>
    </row>
    <row r="324" spans="1:18">
      <c r="A324" s="2" t="s">
        <v>702</v>
      </c>
      <c r="B324" s="3">
        <v>44182</v>
      </c>
      <c r="C324" s="9">
        <f>YEAR(Orders_Table[[#This Row],[Order Date]])</f>
        <v>2020</v>
      </c>
      <c r="D324" s="9">
        <f>MONTH(Orders_Table[[#This Row],[Order Date]])</f>
        <v>12</v>
      </c>
      <c r="E324" s="9" t="str" cm="1">
        <f t="array" ref="E3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324" s="2" t="s">
        <v>703</v>
      </c>
      <c r="G324" t="s">
        <v>170</v>
      </c>
      <c r="H324" s="2">
        <v>3</v>
      </c>
      <c r="I324" s="2" t="str" cm="1">
        <f t="array" ref="I324">_xlfn.XLOOKUP(F324,Customers!A323:$A$1001,Customers!B323:$B$1001,"Not Found",0)</f>
        <v>Skylar Jeyness</v>
      </c>
      <c r="J324" s="2" t="str" cm="1">
        <f t="array" ref="J324">IF(_xlfn.XLOOKUP(F324,Customers!A323:$A$1001,Customers!C323:$C$1001,"Not Found",0)=0,"",_xlfn.XLOOKUP(F324,Customers!A323:$A$1001,Customers!C323:$C$1001,"Not Found",0))</f>
        <v>sjeyness8y@biglobe.ne.jp</v>
      </c>
      <c r="K324" s="2" t="str" cm="1">
        <f t="array" ref="K324">_xlfn.XLOOKUP(F324,Customers!A323:$A$1001,Customers!G323:$G$1001,"Not Found",0)</f>
        <v>Ireland</v>
      </c>
      <c r="L324" t="str">
        <f>INDEX(Products!$A$1:$G$49,MATCH(Orders!$G324,Products!$A$1:$A$49,0),MATCH(Orders!L$1,Products!$A$1:$G$1,0))</f>
        <v>Lib</v>
      </c>
      <c r="M324" t="str">
        <f>INDEX(Products!$A$1:$G$49,MATCH(Orders!$G324,Products!$A$1:$A$49,0),MATCH(Orders!M$1,Products!$A$1:$G$1,0))</f>
        <v>D</v>
      </c>
      <c r="N324" s="4">
        <f>INDEX(Products!$A$1:$G$49,MATCH(Orders!$G324,Products!$A$1:$A$49,0),MATCH(Orders!N$1,Products!$A$1:$G$1,0))</f>
        <v>0.5</v>
      </c>
      <c r="O324" s="7">
        <f>INDEX(Products!$A$1:$G$49,MATCH(Orders!$G324,Products!$A$1:$A$49,0),MATCH(Orders!O$1,Products!$A$1:$G$1,0))</f>
        <v>7.77</v>
      </c>
      <c r="P324" s="7">
        <f t="shared" si="5"/>
        <v>23.31</v>
      </c>
      <c r="Q324" t="str" cm="1">
        <f t="array" ref="Q324">_xlfn.IFS(L324="Rob","Robusta",L324="Exc", "Excelsa",L324="Ara", "Arabica",L324="Lib", "Liberica")</f>
        <v>Liberica</v>
      </c>
      <c r="R324" t="str" cm="1">
        <f t="array" ref="R324">_xlfn.IFS(M324="M","Medium",M324="L","Light",M324="D","Dark")</f>
        <v>Dark</v>
      </c>
    </row>
    <row r="325" spans="1:18">
      <c r="A325" s="2" t="s">
        <v>704</v>
      </c>
      <c r="B325" s="3">
        <v>44373</v>
      </c>
      <c r="C325" s="9">
        <f>YEAR(Orders_Table[[#This Row],[Order Date]])</f>
        <v>2021</v>
      </c>
      <c r="D325" s="9">
        <f>MONTH(Orders_Table[[#This Row],[Order Date]])</f>
        <v>6</v>
      </c>
      <c r="E325" s="9" t="str" cm="1">
        <f t="array" ref="E3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25" s="2" t="s">
        <v>705</v>
      </c>
      <c r="G325" t="s">
        <v>98</v>
      </c>
      <c r="H325" s="2">
        <v>5</v>
      </c>
      <c r="I325" s="2" t="str" cm="1">
        <f t="array" ref="I325">_xlfn.XLOOKUP(F325,Customers!A324:$A$1001,Customers!B324:$B$1001,"Not Found",0)</f>
        <v>Donica Bonhome</v>
      </c>
      <c r="J325" s="2" t="str" cm="1">
        <f t="array" ref="J325">IF(_xlfn.XLOOKUP(F325,Customers!A324:$A$1001,Customers!C324:$C$1001,"Not Found",0)=0,"",_xlfn.XLOOKUP(F325,Customers!A324:$A$1001,Customers!C324:$C$1001,"Not Found",0))</f>
        <v>dbonhome8z@shinystat.com</v>
      </c>
      <c r="K325" s="2" t="str" cm="1">
        <f t="array" ref="K325">_xlfn.XLOOKUP(F325,Customers!A324:$A$1001,Customers!G324:$G$1001,"Not Found",0)</f>
        <v>United States</v>
      </c>
      <c r="L325" t="str">
        <f>INDEX(Products!$A$1:$G$49,MATCH(Orders!$G325,Products!$A$1:$A$49,0),MATCH(Orders!L$1,Products!$A$1:$G$1,0))</f>
        <v>Exc</v>
      </c>
      <c r="M325" t="str">
        <f>INDEX(Products!$A$1:$G$49,MATCH(Orders!$G325,Products!$A$1:$A$49,0),MATCH(Orders!M$1,Products!$A$1:$G$1,0))</f>
        <v>D</v>
      </c>
      <c r="N325" s="4">
        <f>INDEX(Products!$A$1:$G$49,MATCH(Orders!$G325,Products!$A$1:$A$49,0),MATCH(Orders!N$1,Products!$A$1:$G$1,0))</f>
        <v>0.2</v>
      </c>
      <c r="O325" s="7">
        <f>INDEX(Products!$A$1:$G$49,MATCH(Orders!$G325,Products!$A$1:$A$49,0),MATCH(Orders!O$1,Products!$A$1:$G$1,0))</f>
        <v>3.645</v>
      </c>
      <c r="P325" s="7">
        <f t="shared" si="5"/>
        <v>18.225000000000001</v>
      </c>
      <c r="Q325" t="str" cm="1">
        <f t="array" ref="Q325">_xlfn.IFS(L325="Rob","Robusta",L325="Exc", "Excelsa",L325="Ara", "Arabica",L325="Lib", "Liberica")</f>
        <v>Excelsa</v>
      </c>
      <c r="R325" t="str" cm="1">
        <f t="array" ref="R325">_xlfn.IFS(M325="M","Medium",M325="L","Light",M325="D","Dark")</f>
        <v>Dark</v>
      </c>
    </row>
    <row r="326" spans="1:18">
      <c r="A326" s="2" t="s">
        <v>706</v>
      </c>
      <c r="B326" s="3">
        <v>43666</v>
      </c>
      <c r="C326" s="9">
        <f>YEAR(Orders_Table[[#This Row],[Order Date]])</f>
        <v>2019</v>
      </c>
      <c r="D326" s="9">
        <f>MONTH(Orders_Table[[#This Row],[Order Date]])</f>
        <v>7</v>
      </c>
      <c r="E326" s="9" t="str" cm="1">
        <f t="array" ref="E3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26" s="2" t="s">
        <v>707</v>
      </c>
      <c r="G326" t="s">
        <v>56</v>
      </c>
      <c r="H326" s="2">
        <v>1</v>
      </c>
      <c r="I326" s="2" t="str" cm="1">
        <f t="array" ref="I326">_xlfn.XLOOKUP(F326,Customers!A325:$A$1001,Customers!B325:$B$1001,"Not Found",0)</f>
        <v>Diena Peetermann</v>
      </c>
      <c r="J326" s="2" t="str" cm="1">
        <f t="array" ref="J326">IF(_xlfn.XLOOKUP(F326,Customers!A325:$A$1001,Customers!C325:$C$1001,"Not Found",0)=0,"",_xlfn.XLOOKUP(F326,Customers!A325:$A$1001,Customers!C325:$C$1001,"Not Found",0))</f>
        <v/>
      </c>
      <c r="K326" s="2" t="str" cm="1">
        <f t="array" ref="K326">_xlfn.XLOOKUP(F326,Customers!A325:$A$1001,Customers!G325:$G$1001,"Not Found",0)</f>
        <v>United States</v>
      </c>
      <c r="L326" t="str">
        <f>INDEX(Products!$A$1:$G$49,MATCH(Orders!$G326,Products!$A$1:$A$49,0),MATCH(Orders!L$1,Products!$A$1:$G$1,0))</f>
        <v>Exc</v>
      </c>
      <c r="M326" t="str">
        <f>INDEX(Products!$A$1:$G$49,MATCH(Orders!$G326,Products!$A$1:$A$49,0),MATCH(Orders!M$1,Products!$A$1:$G$1,0))</f>
        <v>M</v>
      </c>
      <c r="N326" s="4">
        <f>INDEX(Products!$A$1:$G$49,MATCH(Orders!$G326,Products!$A$1:$A$49,0),MATCH(Orders!N$1,Products!$A$1:$G$1,0))</f>
        <v>1</v>
      </c>
      <c r="O326" s="7">
        <f>INDEX(Products!$A$1:$G$49,MATCH(Orders!$G326,Products!$A$1:$A$49,0),MATCH(Orders!O$1,Products!$A$1:$G$1,0))</f>
        <v>13.75</v>
      </c>
      <c r="P326" s="7">
        <f t="shared" si="5"/>
        <v>13.75</v>
      </c>
      <c r="Q326" t="str" cm="1">
        <f t="array" ref="Q326">_xlfn.IFS(L326="Rob","Robusta",L326="Exc", "Excelsa",L326="Ara", "Arabica",L326="Lib", "Liberica")</f>
        <v>Excelsa</v>
      </c>
      <c r="R326" t="str" cm="1">
        <f t="array" ref="R326">_xlfn.IFS(M326="M","Medium",M326="L","Light",M326="D","Dark")</f>
        <v>Medium</v>
      </c>
    </row>
    <row r="327" spans="1:18">
      <c r="A327" s="2" t="s">
        <v>708</v>
      </c>
      <c r="B327" s="3">
        <v>44756</v>
      </c>
      <c r="C327" s="9">
        <f>YEAR(Orders_Table[[#This Row],[Order Date]])</f>
        <v>2022</v>
      </c>
      <c r="D327" s="9">
        <f>MONTH(Orders_Table[[#This Row],[Order Date]])</f>
        <v>7</v>
      </c>
      <c r="E327" s="9" t="str" cm="1">
        <f t="array" ref="E3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27" s="2" t="s">
        <v>709</v>
      </c>
      <c r="G327" t="s">
        <v>251</v>
      </c>
      <c r="H327" s="2">
        <v>1</v>
      </c>
      <c r="I327" s="2" t="str" cm="1">
        <f t="array" ref="I327">_xlfn.XLOOKUP(F327,Customers!A326:$A$1001,Customers!B326:$B$1001,"Not Found",0)</f>
        <v>Trina Le Sarr</v>
      </c>
      <c r="J327" s="2" t="str" cm="1">
        <f t="array" ref="J327">IF(_xlfn.XLOOKUP(F327,Customers!A326:$A$1001,Customers!C326:$C$1001,"Not Found",0)=0,"",_xlfn.XLOOKUP(F327,Customers!A326:$A$1001,Customers!C326:$C$1001,"Not Found",0))</f>
        <v>tle91@epa.gov</v>
      </c>
      <c r="K327" s="2" t="str" cm="1">
        <f t="array" ref="K327">_xlfn.XLOOKUP(F327,Customers!A326:$A$1001,Customers!G326:$G$1001,"Not Found",0)</f>
        <v>United States</v>
      </c>
      <c r="L327" t="str">
        <f>INDEX(Products!$A$1:$G$49,MATCH(Orders!$G327,Products!$A$1:$A$49,0),MATCH(Orders!L$1,Products!$A$1:$G$1,0))</f>
        <v>Ara</v>
      </c>
      <c r="M327" t="str">
        <f>INDEX(Products!$A$1:$G$49,MATCH(Orders!$G327,Products!$A$1:$A$49,0),MATCH(Orders!M$1,Products!$A$1:$G$1,0))</f>
        <v>L</v>
      </c>
      <c r="N327" s="4">
        <f>INDEX(Products!$A$1:$G$49,MATCH(Orders!$G327,Products!$A$1:$A$49,0),MATCH(Orders!N$1,Products!$A$1:$G$1,0))</f>
        <v>2.5</v>
      </c>
      <c r="O327" s="7">
        <f>INDEX(Products!$A$1:$G$49,MATCH(Orders!$G327,Products!$A$1:$A$49,0),MATCH(Orders!O$1,Products!$A$1:$G$1,0))</f>
        <v>29.784999999999997</v>
      </c>
      <c r="P327" s="7">
        <f t="shared" si="5"/>
        <v>29.784999999999997</v>
      </c>
      <c r="Q327" t="str" cm="1">
        <f t="array" ref="Q327">_xlfn.IFS(L327="Rob","Robusta",L327="Exc", "Excelsa",L327="Ara", "Arabica",L327="Lib", "Liberica")</f>
        <v>Arabica</v>
      </c>
      <c r="R327" t="str" cm="1">
        <f t="array" ref="R327">_xlfn.IFS(M327="M","Medium",M327="L","Light",M327="D","Dark")</f>
        <v>Light</v>
      </c>
    </row>
    <row r="328" spans="1:18">
      <c r="A328" s="2" t="s">
        <v>710</v>
      </c>
      <c r="B328" s="3">
        <v>44057</v>
      </c>
      <c r="C328" s="9">
        <f>YEAR(Orders_Table[[#This Row],[Order Date]])</f>
        <v>2020</v>
      </c>
      <c r="D328" s="9">
        <f>MONTH(Orders_Table[[#This Row],[Order Date]])</f>
        <v>8</v>
      </c>
      <c r="E328" s="9" t="str" cm="1">
        <f t="array" ref="E3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28" s="2" t="s">
        <v>711</v>
      </c>
      <c r="G328" t="s">
        <v>226</v>
      </c>
      <c r="H328" s="2">
        <v>5</v>
      </c>
      <c r="I328" s="2" t="str" cm="1">
        <f t="array" ref="I328">_xlfn.XLOOKUP(F328,Customers!A327:$A$1001,Customers!B327:$B$1001,"Not Found",0)</f>
        <v>Flynn Antony</v>
      </c>
      <c r="J328" s="2" t="str" cm="1">
        <f t="array" ref="J328">IF(_xlfn.XLOOKUP(F328,Customers!A327:$A$1001,Customers!C327:$C$1001,"Not Found",0)=0,"",_xlfn.XLOOKUP(F328,Customers!A327:$A$1001,Customers!C327:$C$1001,"Not Found",0))</f>
        <v/>
      </c>
      <c r="K328" s="2" t="str" cm="1">
        <f t="array" ref="K328">_xlfn.XLOOKUP(F328,Customers!A327:$A$1001,Customers!G327:$G$1001,"Not Found",0)</f>
        <v>United States</v>
      </c>
      <c r="L328" t="str">
        <f>INDEX(Products!$A$1:$G$49,MATCH(Orders!$G328,Products!$A$1:$A$49,0),MATCH(Orders!L$1,Products!$A$1:$G$1,0))</f>
        <v>Rob</v>
      </c>
      <c r="M328" t="str">
        <f>INDEX(Products!$A$1:$G$49,MATCH(Orders!$G328,Products!$A$1:$A$49,0),MATCH(Orders!M$1,Products!$A$1:$G$1,0))</f>
        <v>D</v>
      </c>
      <c r="N328" s="4">
        <f>INDEX(Products!$A$1:$G$49,MATCH(Orders!$G328,Products!$A$1:$A$49,0),MATCH(Orders!N$1,Products!$A$1:$G$1,0))</f>
        <v>1</v>
      </c>
      <c r="O328" s="7">
        <f>INDEX(Products!$A$1:$G$49,MATCH(Orders!$G328,Products!$A$1:$A$49,0),MATCH(Orders!O$1,Products!$A$1:$G$1,0))</f>
        <v>8.9499999999999993</v>
      </c>
      <c r="P328" s="7">
        <f t="shared" si="5"/>
        <v>44.75</v>
      </c>
      <c r="Q328" t="str" cm="1">
        <f t="array" ref="Q328">_xlfn.IFS(L328="Rob","Robusta",L328="Exc", "Excelsa",L328="Ara", "Arabica",L328="Lib", "Liberica")</f>
        <v>Robusta</v>
      </c>
      <c r="R328" t="str" cm="1">
        <f t="array" ref="R328">_xlfn.IFS(M328="M","Medium",M328="L","Light",M328="D","Dark")</f>
        <v>Dark</v>
      </c>
    </row>
    <row r="329" spans="1:18">
      <c r="A329" s="2" t="s">
        <v>712</v>
      </c>
      <c r="B329" s="3">
        <v>43579</v>
      </c>
      <c r="C329" s="9">
        <f>YEAR(Orders_Table[[#This Row],[Order Date]])</f>
        <v>2019</v>
      </c>
      <c r="D329" s="9">
        <f>MONTH(Orders_Table[[#This Row],[Order Date]])</f>
        <v>4</v>
      </c>
      <c r="E329" s="9" t="str" cm="1">
        <f t="array" ref="E3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329" s="2" t="s">
        <v>713</v>
      </c>
      <c r="G329" t="s">
        <v>226</v>
      </c>
      <c r="H329" s="2">
        <v>5</v>
      </c>
      <c r="I329" s="2" t="str" cm="1">
        <f t="array" ref="I329">_xlfn.XLOOKUP(F329,Customers!A328:$A$1001,Customers!B328:$B$1001,"Not Found",0)</f>
        <v>Baudoin Alldridge</v>
      </c>
      <c r="J329" s="2" t="str" cm="1">
        <f t="array" ref="J329">IF(_xlfn.XLOOKUP(F329,Customers!A328:$A$1001,Customers!C328:$C$1001,"Not Found",0)=0,"",_xlfn.XLOOKUP(F329,Customers!A328:$A$1001,Customers!C328:$C$1001,"Not Found",0))</f>
        <v>balldridge93@yandex.ru</v>
      </c>
      <c r="K329" s="2" t="str" cm="1">
        <f t="array" ref="K329">_xlfn.XLOOKUP(F329,Customers!A328:$A$1001,Customers!G328:$G$1001,"Not Found",0)</f>
        <v>United States</v>
      </c>
      <c r="L329" t="str">
        <f>INDEX(Products!$A$1:$G$49,MATCH(Orders!$G329,Products!$A$1:$A$49,0),MATCH(Orders!L$1,Products!$A$1:$G$1,0))</f>
        <v>Rob</v>
      </c>
      <c r="M329" t="str">
        <f>INDEX(Products!$A$1:$G$49,MATCH(Orders!$G329,Products!$A$1:$A$49,0),MATCH(Orders!M$1,Products!$A$1:$G$1,0))</f>
        <v>D</v>
      </c>
      <c r="N329" s="4">
        <f>INDEX(Products!$A$1:$G$49,MATCH(Orders!$G329,Products!$A$1:$A$49,0),MATCH(Orders!N$1,Products!$A$1:$G$1,0))</f>
        <v>1</v>
      </c>
      <c r="O329" s="7">
        <f>INDEX(Products!$A$1:$G$49,MATCH(Orders!$G329,Products!$A$1:$A$49,0),MATCH(Orders!O$1,Products!$A$1:$G$1,0))</f>
        <v>8.9499999999999993</v>
      </c>
      <c r="P329" s="7">
        <f t="shared" si="5"/>
        <v>44.75</v>
      </c>
      <c r="Q329" t="str" cm="1">
        <f t="array" ref="Q329">_xlfn.IFS(L329="Rob","Robusta",L329="Exc", "Excelsa",L329="Ara", "Arabica",L329="Lib", "Liberica")</f>
        <v>Robusta</v>
      </c>
      <c r="R329" t="str" cm="1">
        <f t="array" ref="R329">_xlfn.IFS(M329="M","Medium",M329="L","Light",M329="D","Dark")</f>
        <v>Dark</v>
      </c>
    </row>
    <row r="330" spans="1:18">
      <c r="A330" s="2" t="s">
        <v>714</v>
      </c>
      <c r="B330" s="3">
        <v>43620</v>
      </c>
      <c r="C330" s="9">
        <f>YEAR(Orders_Table[[#This Row],[Order Date]])</f>
        <v>2019</v>
      </c>
      <c r="D330" s="9">
        <f>MONTH(Orders_Table[[#This Row],[Order Date]])</f>
        <v>6</v>
      </c>
      <c r="E330" s="9" t="str" cm="1">
        <f t="array" ref="E3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30" s="2" t="s">
        <v>715</v>
      </c>
      <c r="G330" t="s">
        <v>130</v>
      </c>
      <c r="H330" s="2">
        <v>4</v>
      </c>
      <c r="I330" s="2" t="str" cm="1">
        <f t="array" ref="I330">_xlfn.XLOOKUP(F330,Customers!A329:$A$1001,Customers!B329:$B$1001,"Not Found",0)</f>
        <v>Homer Dulany</v>
      </c>
      <c r="J330" s="2" t="str" cm="1">
        <f t="array" ref="J330">IF(_xlfn.XLOOKUP(F330,Customers!A329:$A$1001,Customers!C329:$C$1001,"Not Found",0)=0,"",_xlfn.XLOOKUP(F330,Customers!A329:$A$1001,Customers!C329:$C$1001,"Not Found",0))</f>
        <v/>
      </c>
      <c r="K330" s="2" t="str" cm="1">
        <f t="array" ref="K330">_xlfn.XLOOKUP(F330,Customers!A329:$A$1001,Customers!G329:$G$1001,"Not Found",0)</f>
        <v>United States</v>
      </c>
      <c r="L330" t="str">
        <f>INDEX(Products!$A$1:$G$49,MATCH(Orders!$G330,Products!$A$1:$A$49,0),MATCH(Orders!L$1,Products!$A$1:$G$1,0))</f>
        <v>Lib</v>
      </c>
      <c r="M330" t="str">
        <f>INDEX(Products!$A$1:$G$49,MATCH(Orders!$G330,Products!$A$1:$A$49,0),MATCH(Orders!M$1,Products!$A$1:$G$1,0))</f>
        <v>L</v>
      </c>
      <c r="N330" s="4">
        <f>INDEX(Products!$A$1:$G$49,MATCH(Orders!$G330,Products!$A$1:$A$49,0),MATCH(Orders!N$1,Products!$A$1:$G$1,0))</f>
        <v>0.5</v>
      </c>
      <c r="O330" s="7">
        <f>INDEX(Products!$A$1:$G$49,MATCH(Orders!$G330,Products!$A$1:$A$49,0),MATCH(Orders!O$1,Products!$A$1:$G$1,0))</f>
        <v>9.51</v>
      </c>
      <c r="P330" s="7">
        <f t="shared" si="5"/>
        <v>38.04</v>
      </c>
      <c r="Q330" t="str" cm="1">
        <f t="array" ref="Q330">_xlfn.IFS(L330="Rob","Robusta",L330="Exc", "Excelsa",L330="Ara", "Arabica",L330="Lib", "Liberica")</f>
        <v>Liberica</v>
      </c>
      <c r="R330" t="str" cm="1">
        <f t="array" ref="R330">_xlfn.IFS(M330="M","Medium",M330="L","Light",M330="D","Dark")</f>
        <v>Light</v>
      </c>
    </row>
    <row r="331" spans="1:18">
      <c r="A331" s="2" t="s">
        <v>716</v>
      </c>
      <c r="B331" s="3">
        <v>44781</v>
      </c>
      <c r="C331" s="9">
        <f>YEAR(Orders_Table[[#This Row],[Order Date]])</f>
        <v>2022</v>
      </c>
      <c r="D331" s="9">
        <f>MONTH(Orders_Table[[#This Row],[Order Date]])</f>
        <v>8</v>
      </c>
      <c r="E331" s="9" t="str" cm="1">
        <f t="array" ref="E3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31" s="2" t="s">
        <v>717</v>
      </c>
      <c r="G331" t="s">
        <v>193</v>
      </c>
      <c r="H331" s="2">
        <v>4</v>
      </c>
      <c r="I331" s="2" t="str" cm="1">
        <f t="array" ref="I331">_xlfn.XLOOKUP(F331,Customers!A330:$A$1001,Customers!B330:$B$1001,"Not Found",0)</f>
        <v>Lisa Goodger</v>
      </c>
      <c r="J331" s="2" t="str" cm="1">
        <f t="array" ref="J331">IF(_xlfn.XLOOKUP(F331,Customers!A330:$A$1001,Customers!C330:$C$1001,"Not Found",0)=0,"",_xlfn.XLOOKUP(F331,Customers!A330:$A$1001,Customers!C330:$C$1001,"Not Found",0))</f>
        <v>lgoodger95@guardian.co.uk</v>
      </c>
      <c r="K331" s="2" t="str" cm="1">
        <f t="array" ref="K331">_xlfn.XLOOKUP(F331,Customers!A330:$A$1001,Customers!G330:$G$1001,"Not Found",0)</f>
        <v>United States</v>
      </c>
      <c r="L331" t="str">
        <f>INDEX(Products!$A$1:$G$49,MATCH(Orders!$G331,Products!$A$1:$A$49,0),MATCH(Orders!L$1,Products!$A$1:$G$1,0))</f>
        <v>Rob</v>
      </c>
      <c r="M331" t="str">
        <f>INDEX(Products!$A$1:$G$49,MATCH(Orders!$G331,Products!$A$1:$A$49,0),MATCH(Orders!M$1,Products!$A$1:$G$1,0))</f>
        <v>D</v>
      </c>
      <c r="N331" s="4">
        <f>INDEX(Products!$A$1:$G$49,MATCH(Orders!$G331,Products!$A$1:$A$49,0),MATCH(Orders!N$1,Products!$A$1:$G$1,0))</f>
        <v>0.5</v>
      </c>
      <c r="O331" s="7">
        <f>INDEX(Products!$A$1:$G$49,MATCH(Orders!$G331,Products!$A$1:$A$49,0),MATCH(Orders!O$1,Products!$A$1:$G$1,0))</f>
        <v>5.3699999999999992</v>
      </c>
      <c r="P331" s="7">
        <f t="shared" si="5"/>
        <v>21.479999999999997</v>
      </c>
      <c r="Q331" t="str" cm="1">
        <f t="array" ref="Q331">_xlfn.IFS(L331="Rob","Robusta",L331="Exc", "Excelsa",L331="Ara", "Arabica",L331="Lib", "Liberica")</f>
        <v>Robusta</v>
      </c>
      <c r="R331" t="str" cm="1">
        <f t="array" ref="R331">_xlfn.IFS(M331="M","Medium",M331="L","Light",M331="D","Dark")</f>
        <v>Dark</v>
      </c>
    </row>
    <row r="332" spans="1:18">
      <c r="A332" s="2" t="s">
        <v>718</v>
      </c>
      <c r="B332" s="3">
        <v>43782</v>
      </c>
      <c r="C332" s="9">
        <f>YEAR(Orders_Table[[#This Row],[Order Date]])</f>
        <v>2019</v>
      </c>
      <c r="D332" s="9">
        <f>MONTH(Orders_Table[[#This Row],[Order Date]])</f>
        <v>11</v>
      </c>
      <c r="E332" s="9" t="str" cm="1">
        <f t="array" ref="E3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332" s="2" t="s">
        <v>695</v>
      </c>
      <c r="G332" t="s">
        <v>193</v>
      </c>
      <c r="H332" s="2">
        <v>3</v>
      </c>
      <c r="I332" s="2" t="str" cm="1">
        <f t="array" ref="I332">_xlfn.XLOOKUP(F332,Customers!A331:$A$1001,Customers!B331:$B$1001,"Not Found",0)</f>
        <v>Not Found</v>
      </c>
      <c r="J332" s="2" t="str" cm="1">
        <f t="array" ref="J332">IF(_xlfn.XLOOKUP(F332,Customers!A331:$A$1001,Customers!C331:$C$1001,"Not Found",0)=0,"",_xlfn.XLOOKUP(F332,Customers!A331:$A$1001,Customers!C331:$C$1001,"Not Found",0))</f>
        <v>Not Found</v>
      </c>
      <c r="K332" s="2" t="str" cm="1">
        <f t="array" ref="K332">_xlfn.XLOOKUP(F332,Customers!A331:$A$1001,Customers!G331:$G$1001,"Not Found",0)</f>
        <v>Not Found</v>
      </c>
      <c r="L332" t="str">
        <f>INDEX(Products!$A$1:$G$49,MATCH(Orders!$G332,Products!$A$1:$A$49,0),MATCH(Orders!L$1,Products!$A$1:$G$1,0))</f>
        <v>Rob</v>
      </c>
      <c r="M332" t="str">
        <f>INDEX(Products!$A$1:$G$49,MATCH(Orders!$G332,Products!$A$1:$A$49,0),MATCH(Orders!M$1,Products!$A$1:$G$1,0))</f>
        <v>D</v>
      </c>
      <c r="N332" s="4">
        <f>INDEX(Products!$A$1:$G$49,MATCH(Orders!$G332,Products!$A$1:$A$49,0),MATCH(Orders!N$1,Products!$A$1:$G$1,0))</f>
        <v>0.5</v>
      </c>
      <c r="O332" s="7">
        <f>INDEX(Products!$A$1:$G$49,MATCH(Orders!$G332,Products!$A$1:$A$49,0),MATCH(Orders!O$1,Products!$A$1:$G$1,0))</f>
        <v>5.3699999999999992</v>
      </c>
      <c r="P332" s="7">
        <f t="shared" si="5"/>
        <v>16.11</v>
      </c>
      <c r="Q332" t="str" cm="1">
        <f t="array" ref="Q332">_xlfn.IFS(L332="Rob","Robusta",L332="Exc", "Excelsa",L332="Ara", "Arabica",L332="Lib", "Liberica")</f>
        <v>Robusta</v>
      </c>
      <c r="R332" t="str" cm="1">
        <f t="array" ref="R332">_xlfn.IFS(M332="M","Medium",M332="L","Light",M332="D","Dark")</f>
        <v>Dark</v>
      </c>
    </row>
    <row r="333" spans="1:18">
      <c r="A333" s="2" t="s">
        <v>719</v>
      </c>
      <c r="B333" s="3">
        <v>43989</v>
      </c>
      <c r="C333" s="9">
        <f>YEAR(Orders_Table[[#This Row],[Order Date]])</f>
        <v>2020</v>
      </c>
      <c r="D333" s="9">
        <f>MONTH(Orders_Table[[#This Row],[Order Date]])</f>
        <v>6</v>
      </c>
      <c r="E333" s="9" t="str" cm="1">
        <f t="array" ref="E3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33" s="2" t="s">
        <v>720</v>
      </c>
      <c r="G333" t="s">
        <v>88</v>
      </c>
      <c r="H333" s="2">
        <v>1</v>
      </c>
      <c r="I333" s="2" t="str" cm="1">
        <f t="array" ref="I333">_xlfn.XLOOKUP(F333,Customers!A332:$A$1001,Customers!B332:$B$1001,"Not Found",0)</f>
        <v>Corine Drewett</v>
      </c>
      <c r="J333" s="2" t="str" cm="1">
        <f t="array" ref="J333">IF(_xlfn.XLOOKUP(F333,Customers!A332:$A$1001,Customers!C332:$C$1001,"Not Found",0)=0,"",_xlfn.XLOOKUP(F333,Customers!A332:$A$1001,Customers!C332:$C$1001,"Not Found",0))</f>
        <v>cdrewett97@wikipedia.org</v>
      </c>
      <c r="K333" s="2" t="str" cm="1">
        <f t="array" ref="K333">_xlfn.XLOOKUP(F333,Customers!A332:$A$1001,Customers!G332:$G$1001,"Not Found",0)</f>
        <v>United States</v>
      </c>
      <c r="L333" t="str">
        <f>INDEX(Products!$A$1:$G$49,MATCH(Orders!$G333,Products!$A$1:$A$49,0),MATCH(Orders!L$1,Products!$A$1:$G$1,0))</f>
        <v>Rob</v>
      </c>
      <c r="M333" t="str">
        <f>INDEX(Products!$A$1:$G$49,MATCH(Orders!$G333,Products!$A$1:$A$49,0),MATCH(Orders!M$1,Products!$A$1:$G$1,0))</f>
        <v>M</v>
      </c>
      <c r="N333" s="4">
        <f>INDEX(Products!$A$1:$G$49,MATCH(Orders!$G333,Products!$A$1:$A$49,0),MATCH(Orders!N$1,Products!$A$1:$G$1,0))</f>
        <v>2.5</v>
      </c>
      <c r="O333" s="7">
        <f>INDEX(Products!$A$1:$G$49,MATCH(Orders!$G333,Products!$A$1:$A$49,0),MATCH(Orders!O$1,Products!$A$1:$G$1,0))</f>
        <v>22.884999999999998</v>
      </c>
      <c r="P333" s="7">
        <f t="shared" si="5"/>
        <v>22.884999999999998</v>
      </c>
      <c r="Q333" t="str" cm="1">
        <f t="array" ref="Q333">_xlfn.IFS(L333="Rob","Robusta",L333="Exc", "Excelsa",L333="Ara", "Arabica",L333="Lib", "Liberica")</f>
        <v>Robusta</v>
      </c>
      <c r="R333" t="str" cm="1">
        <f t="array" ref="R333">_xlfn.IFS(M333="M","Medium",M333="L","Light",M333="D","Dark")</f>
        <v>Medium</v>
      </c>
    </row>
    <row r="334" spans="1:18">
      <c r="A334" s="2" t="s">
        <v>721</v>
      </c>
      <c r="B334" s="3">
        <v>43689</v>
      </c>
      <c r="C334" s="9">
        <f>YEAR(Orders_Table[[#This Row],[Order Date]])</f>
        <v>2019</v>
      </c>
      <c r="D334" s="9">
        <f>MONTH(Orders_Table[[#This Row],[Order Date]])</f>
        <v>8</v>
      </c>
      <c r="E334" s="9" t="str" cm="1">
        <f t="array" ref="E3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34" s="2" t="s">
        <v>722</v>
      </c>
      <c r="G334" t="s">
        <v>119</v>
      </c>
      <c r="H334" s="2">
        <v>3</v>
      </c>
      <c r="I334" s="2" t="str" cm="1">
        <f t="array" ref="I334">_xlfn.XLOOKUP(F334,Customers!A333:$A$1001,Customers!B333:$B$1001,"Not Found",0)</f>
        <v>Quinn Parsons</v>
      </c>
      <c r="J334" s="2" t="str" cm="1">
        <f t="array" ref="J334">IF(_xlfn.XLOOKUP(F334,Customers!A333:$A$1001,Customers!C333:$C$1001,"Not Found",0)=0,"",_xlfn.XLOOKUP(F334,Customers!A333:$A$1001,Customers!C333:$C$1001,"Not Found",0))</f>
        <v>qparsons98@blogtalkradio.com</v>
      </c>
      <c r="K334" s="2" t="str" cm="1">
        <f t="array" ref="K334">_xlfn.XLOOKUP(F334,Customers!A333:$A$1001,Customers!G333:$G$1001,"Not Found",0)</f>
        <v>United States</v>
      </c>
      <c r="L334" t="str">
        <f>INDEX(Products!$A$1:$G$49,MATCH(Orders!$G334,Products!$A$1:$A$49,0),MATCH(Orders!L$1,Products!$A$1:$G$1,0))</f>
        <v>Ara</v>
      </c>
      <c r="M334" t="str">
        <f>INDEX(Products!$A$1:$G$49,MATCH(Orders!$G334,Products!$A$1:$A$49,0),MATCH(Orders!M$1,Products!$A$1:$G$1,0))</f>
        <v>D</v>
      </c>
      <c r="N334" s="4">
        <f>INDEX(Products!$A$1:$G$49,MATCH(Orders!$G334,Products!$A$1:$A$49,0),MATCH(Orders!N$1,Products!$A$1:$G$1,0))</f>
        <v>0.5</v>
      </c>
      <c r="O334" s="7">
        <f>INDEX(Products!$A$1:$G$49,MATCH(Orders!$G334,Products!$A$1:$A$49,0),MATCH(Orders!O$1,Products!$A$1:$G$1,0))</f>
        <v>5.97</v>
      </c>
      <c r="P334" s="7">
        <f t="shared" si="5"/>
        <v>17.91</v>
      </c>
      <c r="Q334" t="str" cm="1">
        <f t="array" ref="Q334">_xlfn.IFS(L334="Rob","Robusta",L334="Exc", "Excelsa",L334="Ara", "Arabica",L334="Lib", "Liberica")</f>
        <v>Arabica</v>
      </c>
      <c r="R334" t="str" cm="1">
        <f t="array" ref="R334">_xlfn.IFS(M334="M","Medium",M334="L","Light",M334="D","Dark")</f>
        <v>Dark</v>
      </c>
    </row>
    <row r="335" spans="1:18">
      <c r="A335" s="2" t="s">
        <v>723</v>
      </c>
      <c r="B335" s="3">
        <v>43712</v>
      </c>
      <c r="C335" s="9">
        <f>YEAR(Orders_Table[[#This Row],[Order Date]])</f>
        <v>2019</v>
      </c>
      <c r="D335" s="9">
        <f>MONTH(Orders_Table[[#This Row],[Order Date]])</f>
        <v>9</v>
      </c>
      <c r="E335" s="9" t="str" cm="1">
        <f t="array" ref="E3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35" s="2" t="s">
        <v>724</v>
      </c>
      <c r="G335" t="s">
        <v>69</v>
      </c>
      <c r="H335" s="2">
        <v>4</v>
      </c>
      <c r="I335" s="2" t="str" cm="1">
        <f t="array" ref="I335">_xlfn.XLOOKUP(F335,Customers!A334:$A$1001,Customers!B334:$B$1001,"Not Found",0)</f>
        <v>Vivyan Ceely</v>
      </c>
      <c r="J335" s="2" t="str" cm="1">
        <f t="array" ref="J335">IF(_xlfn.XLOOKUP(F335,Customers!A334:$A$1001,Customers!C334:$C$1001,"Not Found",0)=0,"",_xlfn.XLOOKUP(F335,Customers!A334:$A$1001,Customers!C334:$C$1001,"Not Found",0))</f>
        <v>vceely99@auda.org.au</v>
      </c>
      <c r="K335" s="2" t="str" cm="1">
        <f t="array" ref="K335">_xlfn.XLOOKUP(F335,Customers!A334:$A$1001,Customers!G334:$G$1001,"Not Found",0)</f>
        <v>United States</v>
      </c>
      <c r="L335" t="str">
        <f>INDEX(Products!$A$1:$G$49,MATCH(Orders!$G335,Products!$A$1:$A$49,0),MATCH(Orders!L$1,Products!$A$1:$G$1,0))</f>
        <v>Rob</v>
      </c>
      <c r="M335" t="str">
        <f>INDEX(Products!$A$1:$G$49,MATCH(Orders!$G335,Products!$A$1:$A$49,0),MATCH(Orders!M$1,Products!$A$1:$G$1,0))</f>
        <v>M</v>
      </c>
      <c r="N335" s="4">
        <f>INDEX(Products!$A$1:$G$49,MATCH(Orders!$G335,Products!$A$1:$A$49,0),MATCH(Orders!N$1,Products!$A$1:$G$1,0))</f>
        <v>0.5</v>
      </c>
      <c r="O335" s="7">
        <f>INDEX(Products!$A$1:$G$49,MATCH(Orders!$G335,Products!$A$1:$A$49,0),MATCH(Orders!O$1,Products!$A$1:$G$1,0))</f>
        <v>5.97</v>
      </c>
      <c r="P335" s="7">
        <f t="shared" si="5"/>
        <v>23.88</v>
      </c>
      <c r="Q335" t="str" cm="1">
        <f t="array" ref="Q335">_xlfn.IFS(L335="Rob","Robusta",L335="Exc", "Excelsa",L335="Ara", "Arabica",L335="Lib", "Liberica")</f>
        <v>Robusta</v>
      </c>
      <c r="R335" t="str" cm="1">
        <f t="array" ref="R335">_xlfn.IFS(M335="M","Medium",M335="L","Light",M335="D","Dark")</f>
        <v>Medium</v>
      </c>
    </row>
    <row r="336" spans="1:18">
      <c r="A336" s="2" t="s">
        <v>725</v>
      </c>
      <c r="B336" s="3">
        <v>43742</v>
      </c>
      <c r="C336" s="9">
        <f>YEAR(Orders_Table[[#This Row],[Order Date]])</f>
        <v>2019</v>
      </c>
      <c r="D336" s="9">
        <f>MONTH(Orders_Table[[#This Row],[Order Date]])</f>
        <v>10</v>
      </c>
      <c r="E336" s="9" t="str" cm="1">
        <f t="array" ref="E3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36" s="2" t="s">
        <v>726</v>
      </c>
      <c r="G336" t="s">
        <v>236</v>
      </c>
      <c r="H336" s="2">
        <v>5</v>
      </c>
      <c r="I336" s="2" t="str" cm="1">
        <f t="array" ref="I336">_xlfn.XLOOKUP(F336,Customers!A335:$A$1001,Customers!B335:$B$1001,"Not Found",0)</f>
        <v>Elonore Goodings</v>
      </c>
      <c r="J336" s="2" t="str" cm="1">
        <f t="array" ref="J336">IF(_xlfn.XLOOKUP(F336,Customers!A335:$A$1001,Customers!C335:$C$1001,"Not Found",0)=0,"",_xlfn.XLOOKUP(F336,Customers!A335:$A$1001,Customers!C335:$C$1001,"Not Found",0))</f>
        <v/>
      </c>
      <c r="K336" s="2" t="str" cm="1">
        <f t="array" ref="K336">_xlfn.XLOOKUP(F336,Customers!A335:$A$1001,Customers!G335:$G$1001,"Not Found",0)</f>
        <v>United States</v>
      </c>
      <c r="L336" t="str">
        <f>INDEX(Products!$A$1:$G$49,MATCH(Orders!$G336,Products!$A$1:$A$49,0),MATCH(Orders!L$1,Products!$A$1:$G$1,0))</f>
        <v>Rob</v>
      </c>
      <c r="M336" t="str">
        <f>INDEX(Products!$A$1:$G$49,MATCH(Orders!$G336,Products!$A$1:$A$49,0),MATCH(Orders!M$1,Products!$A$1:$G$1,0))</f>
        <v>L</v>
      </c>
      <c r="N336" s="4">
        <f>INDEX(Products!$A$1:$G$49,MATCH(Orders!$G336,Products!$A$1:$A$49,0),MATCH(Orders!N$1,Products!$A$1:$G$1,0))</f>
        <v>1</v>
      </c>
      <c r="O336" s="7">
        <f>INDEX(Products!$A$1:$G$49,MATCH(Orders!$G336,Products!$A$1:$A$49,0),MATCH(Orders!O$1,Products!$A$1:$G$1,0))</f>
        <v>11.95</v>
      </c>
      <c r="P336" s="7">
        <f t="shared" si="5"/>
        <v>59.75</v>
      </c>
      <c r="Q336" t="str" cm="1">
        <f t="array" ref="Q336">_xlfn.IFS(L336="Rob","Robusta",L336="Exc", "Excelsa",L336="Ara", "Arabica",L336="Lib", "Liberica")</f>
        <v>Robusta</v>
      </c>
      <c r="R336" t="str" cm="1">
        <f t="array" ref="R336">_xlfn.IFS(M336="M","Medium",M336="L","Light",M336="D","Dark")</f>
        <v>Light</v>
      </c>
    </row>
    <row r="337" spans="1:18">
      <c r="A337" s="2" t="s">
        <v>727</v>
      </c>
      <c r="B337" s="3">
        <v>43885</v>
      </c>
      <c r="C337" s="9">
        <f>YEAR(Orders_Table[[#This Row],[Order Date]])</f>
        <v>2020</v>
      </c>
      <c r="D337" s="9">
        <f>MONTH(Orders_Table[[#This Row],[Order Date]])</f>
        <v>2</v>
      </c>
      <c r="E337" s="9" t="str" cm="1">
        <f t="array" ref="E3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37" s="2" t="s">
        <v>728</v>
      </c>
      <c r="G337" t="s">
        <v>66</v>
      </c>
      <c r="H337" s="2">
        <v>6</v>
      </c>
      <c r="I337" s="2" t="str" cm="1">
        <f t="array" ref="I337">_xlfn.XLOOKUP(F337,Customers!A336:$A$1001,Customers!B336:$B$1001,"Not Found",0)</f>
        <v>Clement Vasiliev</v>
      </c>
      <c r="J337" s="2" t="str" cm="1">
        <f t="array" ref="J337">IF(_xlfn.XLOOKUP(F337,Customers!A336:$A$1001,Customers!C336:$C$1001,"Not Found",0)=0,"",_xlfn.XLOOKUP(F337,Customers!A336:$A$1001,Customers!C336:$C$1001,"Not Found",0))</f>
        <v>cvasiliev9b@discuz.net</v>
      </c>
      <c r="K337" s="2" t="str" cm="1">
        <f t="array" ref="K337">_xlfn.XLOOKUP(F337,Customers!A336:$A$1001,Customers!G336:$G$1001,"Not Found",0)</f>
        <v>United States</v>
      </c>
      <c r="L337" t="str">
        <f>INDEX(Products!$A$1:$G$49,MATCH(Orders!$G337,Products!$A$1:$A$49,0),MATCH(Orders!L$1,Products!$A$1:$G$1,0))</f>
        <v>Lib</v>
      </c>
      <c r="M337" t="str">
        <f>INDEX(Products!$A$1:$G$49,MATCH(Orders!$G337,Products!$A$1:$A$49,0),MATCH(Orders!M$1,Products!$A$1:$G$1,0))</f>
        <v>L</v>
      </c>
      <c r="N337" s="4">
        <f>INDEX(Products!$A$1:$G$49,MATCH(Orders!$G337,Products!$A$1:$A$49,0),MATCH(Orders!N$1,Products!$A$1:$G$1,0))</f>
        <v>0.2</v>
      </c>
      <c r="O337" s="7">
        <f>INDEX(Products!$A$1:$G$49,MATCH(Orders!$G337,Products!$A$1:$A$49,0),MATCH(Orders!O$1,Products!$A$1:$G$1,0))</f>
        <v>4.7549999999999999</v>
      </c>
      <c r="P337" s="7">
        <f t="shared" si="5"/>
        <v>28.53</v>
      </c>
      <c r="Q337" t="str" cm="1">
        <f t="array" ref="Q337">_xlfn.IFS(L337="Rob","Robusta",L337="Exc", "Excelsa",L337="Ara", "Arabica",L337="Lib", "Liberica")</f>
        <v>Liberica</v>
      </c>
      <c r="R337" t="str" cm="1">
        <f t="array" ref="R337">_xlfn.IFS(M337="M","Medium",M337="L","Light",M337="D","Dark")</f>
        <v>Light</v>
      </c>
    </row>
    <row r="338" spans="1:18">
      <c r="A338" s="2" t="s">
        <v>729</v>
      </c>
      <c r="B338" s="3">
        <v>44434</v>
      </c>
      <c r="C338" s="9">
        <f>YEAR(Orders_Table[[#This Row],[Order Date]])</f>
        <v>2021</v>
      </c>
      <c r="D338" s="9">
        <f>MONTH(Orders_Table[[#This Row],[Order Date]])</f>
        <v>8</v>
      </c>
      <c r="E338" s="9" t="str" cm="1">
        <f t="array" ref="E3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38" s="2" t="s">
        <v>730</v>
      </c>
      <c r="G338" t="s">
        <v>108</v>
      </c>
      <c r="H338" s="2">
        <v>4</v>
      </c>
      <c r="I338" s="2" t="str" cm="1">
        <f t="array" ref="I338">_xlfn.XLOOKUP(F338,Customers!A337:$A$1001,Customers!B337:$B$1001,"Not Found",0)</f>
        <v>Terencio O'Moylan</v>
      </c>
      <c r="J338" s="2" t="str" cm="1">
        <f t="array" ref="J338">IF(_xlfn.XLOOKUP(F338,Customers!A337:$A$1001,Customers!C337:$C$1001,"Not Found",0)=0,"",_xlfn.XLOOKUP(F338,Customers!A337:$A$1001,Customers!C337:$C$1001,"Not Found",0))</f>
        <v>tomoylan9c@liveinternet.ru</v>
      </c>
      <c r="K338" s="2" t="str" cm="1">
        <f t="array" ref="K338">_xlfn.XLOOKUP(F338,Customers!A337:$A$1001,Customers!G337:$G$1001,"Not Found",0)</f>
        <v>United Kingdom</v>
      </c>
      <c r="L338" t="str">
        <f>INDEX(Products!$A$1:$G$49,MATCH(Orders!$G338,Products!$A$1:$A$49,0),MATCH(Orders!L$1,Products!$A$1:$G$1,0))</f>
        <v>Ara</v>
      </c>
      <c r="M338" t="str">
        <f>INDEX(Products!$A$1:$G$49,MATCH(Orders!$G338,Products!$A$1:$A$49,0),MATCH(Orders!M$1,Products!$A$1:$G$1,0))</f>
        <v>M</v>
      </c>
      <c r="N338" s="4">
        <f>INDEX(Products!$A$1:$G$49,MATCH(Orders!$G338,Products!$A$1:$A$49,0),MATCH(Orders!N$1,Products!$A$1:$G$1,0))</f>
        <v>1</v>
      </c>
      <c r="O338" s="7">
        <f>INDEX(Products!$A$1:$G$49,MATCH(Orders!$G338,Products!$A$1:$A$49,0),MATCH(Orders!O$1,Products!$A$1:$G$1,0))</f>
        <v>11.25</v>
      </c>
      <c r="P338" s="7">
        <f t="shared" si="5"/>
        <v>45</v>
      </c>
      <c r="Q338" t="str" cm="1">
        <f t="array" ref="Q338">_xlfn.IFS(L338="Rob","Robusta",L338="Exc", "Excelsa",L338="Ara", "Arabica",L338="Lib", "Liberica")</f>
        <v>Arabica</v>
      </c>
      <c r="R338" t="str" cm="1">
        <f t="array" ref="R338">_xlfn.IFS(M338="M","Medium",M338="L","Light",M338="D","Dark")</f>
        <v>Medium</v>
      </c>
    </row>
    <row r="339" spans="1:18">
      <c r="A339" s="2" t="s">
        <v>731</v>
      </c>
      <c r="B339" s="3">
        <v>44472</v>
      </c>
      <c r="C339" s="9">
        <f>YEAR(Orders_Table[[#This Row],[Order Date]])</f>
        <v>2021</v>
      </c>
      <c r="D339" s="9">
        <f>MONTH(Orders_Table[[#This Row],[Order Date]])</f>
        <v>10</v>
      </c>
      <c r="E339" s="9" t="str" cm="1">
        <f t="array" ref="E3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39" s="2" t="s">
        <v>711</v>
      </c>
      <c r="G339" t="s">
        <v>577</v>
      </c>
      <c r="H339" s="2">
        <v>2</v>
      </c>
      <c r="I339" s="2" t="str" cm="1">
        <f t="array" ref="I339">_xlfn.XLOOKUP(F339,Customers!A338:$A$1001,Customers!B338:$B$1001,"Not Found",0)</f>
        <v>Not Found</v>
      </c>
      <c r="J339" s="2" t="str" cm="1">
        <f t="array" ref="J339">IF(_xlfn.XLOOKUP(F339,Customers!A338:$A$1001,Customers!C338:$C$1001,"Not Found",0)=0,"",_xlfn.XLOOKUP(F339,Customers!A338:$A$1001,Customers!C338:$C$1001,"Not Found",0))</f>
        <v>Not Found</v>
      </c>
      <c r="K339" s="2" t="str" cm="1">
        <f t="array" ref="K339">_xlfn.XLOOKUP(F339,Customers!A338:$A$1001,Customers!G338:$G$1001,"Not Found",0)</f>
        <v>Not Found</v>
      </c>
      <c r="L339" t="str">
        <f>INDEX(Products!$A$1:$G$49,MATCH(Orders!$G339,Products!$A$1:$A$49,0),MATCH(Orders!L$1,Products!$A$1:$G$1,0))</f>
        <v>Exc</v>
      </c>
      <c r="M339" t="str">
        <f>INDEX(Products!$A$1:$G$49,MATCH(Orders!$G339,Products!$A$1:$A$49,0),MATCH(Orders!M$1,Products!$A$1:$G$1,0))</f>
        <v>D</v>
      </c>
      <c r="N339" s="4">
        <f>INDEX(Products!$A$1:$G$49,MATCH(Orders!$G339,Products!$A$1:$A$49,0),MATCH(Orders!N$1,Products!$A$1:$G$1,0))</f>
        <v>2.5</v>
      </c>
      <c r="O339" s="7">
        <f>INDEX(Products!$A$1:$G$49,MATCH(Orders!$G339,Products!$A$1:$A$49,0),MATCH(Orders!O$1,Products!$A$1:$G$1,0))</f>
        <v>27.945</v>
      </c>
      <c r="P339" s="7">
        <f t="shared" si="5"/>
        <v>55.89</v>
      </c>
      <c r="Q339" t="str" cm="1">
        <f t="array" ref="Q339">_xlfn.IFS(L339="Rob","Robusta",L339="Exc", "Excelsa",L339="Ara", "Arabica",L339="Lib", "Liberica")</f>
        <v>Excelsa</v>
      </c>
      <c r="R339" t="str" cm="1">
        <f t="array" ref="R339">_xlfn.IFS(M339="M","Medium",M339="L","Light",M339="D","Dark")</f>
        <v>Dark</v>
      </c>
    </row>
    <row r="340" spans="1:18">
      <c r="A340" s="2" t="s">
        <v>732</v>
      </c>
      <c r="B340" s="3">
        <v>43995</v>
      </c>
      <c r="C340" s="9">
        <f>YEAR(Orders_Table[[#This Row],[Order Date]])</f>
        <v>2020</v>
      </c>
      <c r="D340" s="9">
        <f>MONTH(Orders_Table[[#This Row],[Order Date]])</f>
        <v>6</v>
      </c>
      <c r="E340" s="9" t="str" cm="1">
        <f t="array" ref="E3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40" s="2" t="s">
        <v>733</v>
      </c>
      <c r="G340" t="s">
        <v>184</v>
      </c>
      <c r="H340" s="2">
        <v>4</v>
      </c>
      <c r="I340" s="2" t="str" cm="1">
        <f t="array" ref="I340">_xlfn.XLOOKUP(F340,Customers!A339:$A$1001,Customers!B339:$B$1001,"Not Found",0)</f>
        <v>Wyatan Fetherston</v>
      </c>
      <c r="J340" s="2" t="str" cm="1">
        <f t="array" ref="J340">IF(_xlfn.XLOOKUP(F340,Customers!A339:$A$1001,Customers!C339:$C$1001,"Not Found",0)=0,"",_xlfn.XLOOKUP(F340,Customers!A339:$A$1001,Customers!C339:$C$1001,"Not Found",0))</f>
        <v>wfetherston9e@constantcontact.com</v>
      </c>
      <c r="K340" s="2" t="str" cm="1">
        <f t="array" ref="K340">_xlfn.XLOOKUP(F340,Customers!A339:$A$1001,Customers!G339:$G$1001,"Not Found",0)</f>
        <v>United States</v>
      </c>
      <c r="L340" t="str">
        <f>INDEX(Products!$A$1:$G$49,MATCH(Orders!$G340,Products!$A$1:$A$49,0),MATCH(Orders!L$1,Products!$A$1:$G$1,0))</f>
        <v>Exc</v>
      </c>
      <c r="M340" t="str">
        <f>INDEX(Products!$A$1:$G$49,MATCH(Orders!$G340,Products!$A$1:$A$49,0),MATCH(Orders!M$1,Products!$A$1:$G$1,0))</f>
        <v>L</v>
      </c>
      <c r="N340" s="4">
        <f>INDEX(Products!$A$1:$G$49,MATCH(Orders!$G340,Products!$A$1:$A$49,0),MATCH(Orders!N$1,Products!$A$1:$G$1,0))</f>
        <v>1</v>
      </c>
      <c r="O340" s="7">
        <f>INDEX(Products!$A$1:$G$49,MATCH(Orders!$G340,Products!$A$1:$A$49,0),MATCH(Orders!O$1,Products!$A$1:$G$1,0))</f>
        <v>14.85</v>
      </c>
      <c r="P340" s="7">
        <f t="shared" si="5"/>
        <v>59.4</v>
      </c>
      <c r="Q340" t="str" cm="1">
        <f t="array" ref="Q340">_xlfn.IFS(L340="Rob","Robusta",L340="Exc", "Excelsa",L340="Ara", "Arabica",L340="Lib", "Liberica")</f>
        <v>Excelsa</v>
      </c>
      <c r="R340" t="str" cm="1">
        <f t="array" ref="R340">_xlfn.IFS(M340="M","Medium",M340="L","Light",M340="D","Dark")</f>
        <v>Light</v>
      </c>
    </row>
    <row r="341" spans="1:18">
      <c r="A341" s="2" t="s">
        <v>734</v>
      </c>
      <c r="B341" s="3">
        <v>44256</v>
      </c>
      <c r="C341" s="9">
        <f>YEAR(Orders_Table[[#This Row],[Order Date]])</f>
        <v>2021</v>
      </c>
      <c r="D341" s="9">
        <f>MONTH(Orders_Table[[#This Row],[Order Date]])</f>
        <v>3</v>
      </c>
      <c r="E341" s="9" t="str" cm="1">
        <f t="array" ref="E3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41" s="2" t="s">
        <v>735</v>
      </c>
      <c r="G341" t="s">
        <v>98</v>
      </c>
      <c r="H341" s="2">
        <v>2</v>
      </c>
      <c r="I341" s="2" t="str" cm="1">
        <f t="array" ref="I341">_xlfn.XLOOKUP(F341,Customers!A340:$A$1001,Customers!B340:$B$1001,"Not Found",0)</f>
        <v>Emmaline Rasmus</v>
      </c>
      <c r="J341" s="2" t="str" cm="1">
        <f t="array" ref="J341">IF(_xlfn.XLOOKUP(F341,Customers!A340:$A$1001,Customers!C340:$C$1001,"Not Found",0)=0,"",_xlfn.XLOOKUP(F341,Customers!A340:$A$1001,Customers!C340:$C$1001,"Not Found",0))</f>
        <v>erasmus9f@techcrunch.com</v>
      </c>
      <c r="K341" s="2" t="str" cm="1">
        <f t="array" ref="K341">_xlfn.XLOOKUP(F341,Customers!A340:$A$1001,Customers!G340:$G$1001,"Not Found",0)</f>
        <v>United States</v>
      </c>
      <c r="L341" t="str">
        <f>INDEX(Products!$A$1:$G$49,MATCH(Orders!$G341,Products!$A$1:$A$49,0),MATCH(Orders!L$1,Products!$A$1:$G$1,0))</f>
        <v>Exc</v>
      </c>
      <c r="M341" t="str">
        <f>INDEX(Products!$A$1:$G$49,MATCH(Orders!$G341,Products!$A$1:$A$49,0),MATCH(Orders!M$1,Products!$A$1:$G$1,0))</f>
        <v>D</v>
      </c>
      <c r="N341" s="4">
        <f>INDEX(Products!$A$1:$G$49,MATCH(Orders!$G341,Products!$A$1:$A$49,0),MATCH(Orders!N$1,Products!$A$1:$G$1,0))</f>
        <v>0.2</v>
      </c>
      <c r="O341" s="7">
        <f>INDEX(Products!$A$1:$G$49,MATCH(Orders!$G341,Products!$A$1:$A$49,0),MATCH(Orders!O$1,Products!$A$1:$G$1,0))</f>
        <v>3.645</v>
      </c>
      <c r="P341" s="7">
        <f t="shared" si="5"/>
        <v>7.29</v>
      </c>
      <c r="Q341" t="str" cm="1">
        <f t="array" ref="Q341">_xlfn.IFS(L341="Rob","Robusta",L341="Exc", "Excelsa",L341="Ara", "Arabica",L341="Lib", "Liberica")</f>
        <v>Excelsa</v>
      </c>
      <c r="R341" t="str" cm="1">
        <f t="array" ref="R341">_xlfn.IFS(M341="M","Medium",M341="L","Light",M341="D","Dark")</f>
        <v>Dark</v>
      </c>
    </row>
    <row r="342" spans="1:18">
      <c r="A342" s="2" t="s">
        <v>736</v>
      </c>
      <c r="B342" s="3">
        <v>43528</v>
      </c>
      <c r="C342" s="9">
        <f>YEAR(Orders_Table[[#This Row],[Order Date]])</f>
        <v>2019</v>
      </c>
      <c r="D342" s="9">
        <f>MONTH(Orders_Table[[#This Row],[Order Date]])</f>
        <v>3</v>
      </c>
      <c r="E342" s="9" t="str" cm="1">
        <f t="array" ref="E3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42" s="2" t="s">
        <v>737</v>
      </c>
      <c r="G342" t="s">
        <v>63</v>
      </c>
      <c r="H342" s="2">
        <v>1</v>
      </c>
      <c r="I342" s="2" t="str" cm="1">
        <f t="array" ref="I342">_xlfn.XLOOKUP(F342,Customers!A341:$A$1001,Customers!B341:$B$1001,"Not Found",0)</f>
        <v>Wesley Giorgioni</v>
      </c>
      <c r="J342" s="2" t="str" cm="1">
        <f t="array" ref="J342">IF(_xlfn.XLOOKUP(F342,Customers!A341:$A$1001,Customers!C341:$C$1001,"Not Found",0)=0,"",_xlfn.XLOOKUP(F342,Customers!A341:$A$1001,Customers!C341:$C$1001,"Not Found",0))</f>
        <v>wgiorgioni9g@wikipedia.org</v>
      </c>
      <c r="K342" s="2" t="str" cm="1">
        <f t="array" ref="K342">_xlfn.XLOOKUP(F342,Customers!A341:$A$1001,Customers!G341:$G$1001,"Not Found",0)</f>
        <v>United States</v>
      </c>
      <c r="L342" t="str">
        <f>INDEX(Products!$A$1:$G$49,MATCH(Orders!$G342,Products!$A$1:$A$49,0),MATCH(Orders!L$1,Products!$A$1:$G$1,0))</f>
        <v>Exc</v>
      </c>
      <c r="M342" t="str">
        <f>INDEX(Products!$A$1:$G$49,MATCH(Orders!$G342,Products!$A$1:$A$49,0),MATCH(Orders!M$1,Products!$A$1:$G$1,0))</f>
        <v>D</v>
      </c>
      <c r="N342" s="4">
        <f>INDEX(Products!$A$1:$G$49,MATCH(Orders!$G342,Products!$A$1:$A$49,0),MATCH(Orders!N$1,Products!$A$1:$G$1,0))</f>
        <v>0.5</v>
      </c>
      <c r="O342" s="7">
        <f>INDEX(Products!$A$1:$G$49,MATCH(Orders!$G342,Products!$A$1:$A$49,0),MATCH(Orders!O$1,Products!$A$1:$G$1,0))</f>
        <v>7.29</v>
      </c>
      <c r="P342" s="7">
        <f t="shared" si="5"/>
        <v>7.29</v>
      </c>
      <c r="Q342" t="str" cm="1">
        <f t="array" ref="Q342">_xlfn.IFS(L342="Rob","Robusta",L342="Exc", "Excelsa",L342="Ara", "Arabica",L342="Lib", "Liberica")</f>
        <v>Excelsa</v>
      </c>
      <c r="R342" t="str" cm="1">
        <f t="array" ref="R342">_xlfn.IFS(M342="M","Medium",M342="L","Light",M342="D","Dark")</f>
        <v>Dark</v>
      </c>
    </row>
    <row r="343" spans="1:18">
      <c r="A343" s="2" t="s">
        <v>738</v>
      </c>
      <c r="B343" s="3">
        <v>43751</v>
      </c>
      <c r="C343" s="9">
        <f>YEAR(Orders_Table[[#This Row],[Order Date]])</f>
        <v>2019</v>
      </c>
      <c r="D343" s="9">
        <f>MONTH(Orders_Table[[#This Row],[Order Date]])</f>
        <v>10</v>
      </c>
      <c r="E343" s="9" t="str" cm="1">
        <f t="array" ref="E3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43" s="2" t="s">
        <v>739</v>
      </c>
      <c r="G343" t="s">
        <v>223</v>
      </c>
      <c r="H343" s="2">
        <v>2</v>
      </c>
      <c r="I343" s="2" t="str" cm="1">
        <f t="array" ref="I343">_xlfn.XLOOKUP(F343,Customers!A342:$A$1001,Customers!B342:$B$1001,"Not Found",0)</f>
        <v>Lucienne Scargle</v>
      </c>
      <c r="J343" s="2" t="str" cm="1">
        <f t="array" ref="J343">IF(_xlfn.XLOOKUP(F343,Customers!A342:$A$1001,Customers!C342:$C$1001,"Not Found",0)=0,"",_xlfn.XLOOKUP(F343,Customers!A342:$A$1001,Customers!C342:$C$1001,"Not Found",0))</f>
        <v>lscargle9h@myspace.com</v>
      </c>
      <c r="K343" s="2" t="str" cm="1">
        <f t="array" ref="K343">_xlfn.XLOOKUP(F343,Customers!A342:$A$1001,Customers!G342:$G$1001,"Not Found",0)</f>
        <v>United States</v>
      </c>
      <c r="L343" t="str">
        <f>INDEX(Products!$A$1:$G$49,MATCH(Orders!$G343,Products!$A$1:$A$49,0),MATCH(Orders!L$1,Products!$A$1:$G$1,0))</f>
        <v>Exc</v>
      </c>
      <c r="M343" t="str">
        <f>INDEX(Products!$A$1:$G$49,MATCH(Orders!$G343,Products!$A$1:$A$49,0),MATCH(Orders!M$1,Products!$A$1:$G$1,0))</f>
        <v>L</v>
      </c>
      <c r="N343" s="4">
        <f>INDEX(Products!$A$1:$G$49,MATCH(Orders!$G343,Products!$A$1:$A$49,0),MATCH(Orders!N$1,Products!$A$1:$G$1,0))</f>
        <v>0.5</v>
      </c>
      <c r="O343" s="7">
        <f>INDEX(Products!$A$1:$G$49,MATCH(Orders!$G343,Products!$A$1:$A$49,0),MATCH(Orders!O$1,Products!$A$1:$G$1,0))</f>
        <v>8.91</v>
      </c>
      <c r="P343" s="7">
        <f t="shared" si="5"/>
        <v>17.82</v>
      </c>
      <c r="Q343" t="str" cm="1">
        <f t="array" ref="Q343">_xlfn.IFS(L343="Rob","Robusta",L343="Exc", "Excelsa",L343="Ara", "Arabica",L343="Lib", "Liberica")</f>
        <v>Excelsa</v>
      </c>
      <c r="R343" t="str" cm="1">
        <f t="array" ref="R343">_xlfn.IFS(M343="M","Medium",M343="L","Light",M343="D","Dark")</f>
        <v>Light</v>
      </c>
    </row>
    <row r="344" spans="1:18">
      <c r="A344" s="2" t="s">
        <v>738</v>
      </c>
      <c r="B344" s="3">
        <v>43751</v>
      </c>
      <c r="C344" s="9">
        <f>YEAR(Orders_Table[[#This Row],[Order Date]])</f>
        <v>2019</v>
      </c>
      <c r="D344" s="9">
        <f>MONTH(Orders_Table[[#This Row],[Order Date]])</f>
        <v>10</v>
      </c>
      <c r="E344" s="9" t="str" cm="1">
        <f t="array" ref="E3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44" s="2" t="s">
        <v>739</v>
      </c>
      <c r="G344" t="s">
        <v>170</v>
      </c>
      <c r="H344" s="2">
        <v>5</v>
      </c>
      <c r="I344" s="2" t="str" cm="1">
        <f t="array" ref="I344">_xlfn.XLOOKUP(F344,Customers!A343:$A$1001,Customers!B343:$B$1001,"Not Found",0)</f>
        <v>Lucienne Scargle</v>
      </c>
      <c r="J344" s="2" t="str" cm="1">
        <f t="array" ref="J344">IF(_xlfn.XLOOKUP(F344,Customers!A343:$A$1001,Customers!C343:$C$1001,"Not Found",0)=0,"",_xlfn.XLOOKUP(F344,Customers!A343:$A$1001,Customers!C343:$C$1001,"Not Found",0))</f>
        <v>lscargle9h@myspace.com</v>
      </c>
      <c r="K344" s="2" t="str" cm="1">
        <f t="array" ref="K344">_xlfn.XLOOKUP(F344,Customers!A343:$A$1001,Customers!G343:$G$1001,"Not Found",0)</f>
        <v>United States</v>
      </c>
      <c r="L344" t="str">
        <f>INDEX(Products!$A$1:$G$49,MATCH(Orders!$G344,Products!$A$1:$A$49,0),MATCH(Orders!L$1,Products!$A$1:$G$1,0))</f>
        <v>Lib</v>
      </c>
      <c r="M344" t="str">
        <f>INDEX(Products!$A$1:$G$49,MATCH(Orders!$G344,Products!$A$1:$A$49,0),MATCH(Orders!M$1,Products!$A$1:$G$1,0))</f>
        <v>D</v>
      </c>
      <c r="N344" s="4">
        <f>INDEX(Products!$A$1:$G$49,MATCH(Orders!$G344,Products!$A$1:$A$49,0),MATCH(Orders!N$1,Products!$A$1:$G$1,0))</f>
        <v>0.5</v>
      </c>
      <c r="O344" s="7">
        <f>INDEX(Products!$A$1:$G$49,MATCH(Orders!$G344,Products!$A$1:$A$49,0),MATCH(Orders!O$1,Products!$A$1:$G$1,0))</f>
        <v>7.77</v>
      </c>
      <c r="P344" s="7">
        <f t="shared" si="5"/>
        <v>38.849999999999994</v>
      </c>
      <c r="Q344" t="str" cm="1">
        <f t="array" ref="Q344">_xlfn.IFS(L344="Rob","Robusta",L344="Exc", "Excelsa",L344="Ara", "Arabica",L344="Lib", "Liberica")</f>
        <v>Liberica</v>
      </c>
      <c r="R344" t="str" cm="1">
        <f t="array" ref="R344">_xlfn.IFS(M344="M","Medium",M344="L","Light",M344="D","Dark")</f>
        <v>Dark</v>
      </c>
    </row>
    <row r="345" spans="1:18">
      <c r="A345" s="2" t="s">
        <v>740</v>
      </c>
      <c r="B345" s="3">
        <v>43692</v>
      </c>
      <c r="C345" s="9">
        <f>YEAR(Orders_Table[[#This Row],[Order Date]])</f>
        <v>2019</v>
      </c>
      <c r="D345" s="9">
        <f>MONTH(Orders_Table[[#This Row],[Order Date]])</f>
        <v>8</v>
      </c>
      <c r="E345" s="9" t="str" cm="1">
        <f t="array" ref="E3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45" s="2" t="s">
        <v>741</v>
      </c>
      <c r="G345" t="s">
        <v>193</v>
      </c>
      <c r="H345" s="2">
        <v>6</v>
      </c>
      <c r="I345" s="2" t="str" cm="1">
        <f t="array" ref="I345">_xlfn.XLOOKUP(F345,Customers!A344:$A$1001,Customers!B344:$B$1001,"Not Found",0)</f>
        <v>Noam Climance</v>
      </c>
      <c r="J345" s="2" t="str" cm="1">
        <f t="array" ref="J345">IF(_xlfn.XLOOKUP(F345,Customers!A344:$A$1001,Customers!C344:$C$1001,"Not Found",0)=0,"",_xlfn.XLOOKUP(F345,Customers!A344:$A$1001,Customers!C344:$C$1001,"Not Found",0))</f>
        <v>nclimance9j@europa.eu</v>
      </c>
      <c r="K345" s="2" t="str" cm="1">
        <f t="array" ref="K345">_xlfn.XLOOKUP(F345,Customers!A344:$A$1001,Customers!G344:$G$1001,"Not Found",0)</f>
        <v>United States</v>
      </c>
      <c r="L345" t="str">
        <f>INDEX(Products!$A$1:$G$49,MATCH(Orders!$G345,Products!$A$1:$A$49,0),MATCH(Orders!L$1,Products!$A$1:$G$1,0))</f>
        <v>Rob</v>
      </c>
      <c r="M345" t="str">
        <f>INDEX(Products!$A$1:$G$49,MATCH(Orders!$G345,Products!$A$1:$A$49,0),MATCH(Orders!M$1,Products!$A$1:$G$1,0))</f>
        <v>D</v>
      </c>
      <c r="N345" s="4">
        <f>INDEX(Products!$A$1:$G$49,MATCH(Orders!$G345,Products!$A$1:$A$49,0),MATCH(Orders!N$1,Products!$A$1:$G$1,0))</f>
        <v>0.5</v>
      </c>
      <c r="O345" s="7">
        <f>INDEX(Products!$A$1:$G$49,MATCH(Orders!$G345,Products!$A$1:$A$49,0),MATCH(Orders!O$1,Products!$A$1:$G$1,0))</f>
        <v>5.3699999999999992</v>
      </c>
      <c r="P345" s="7">
        <f t="shared" si="5"/>
        <v>32.22</v>
      </c>
      <c r="Q345" t="str" cm="1">
        <f t="array" ref="Q345">_xlfn.IFS(L345="Rob","Robusta",L345="Exc", "Excelsa",L345="Ara", "Arabica",L345="Lib", "Liberica")</f>
        <v>Robusta</v>
      </c>
      <c r="R345" t="str" cm="1">
        <f t="array" ref="R345">_xlfn.IFS(M345="M","Medium",M345="L","Light",M345="D","Dark")</f>
        <v>Dark</v>
      </c>
    </row>
    <row r="346" spans="1:18">
      <c r="A346" s="2" t="s">
        <v>742</v>
      </c>
      <c r="B346" s="3">
        <v>44529</v>
      </c>
      <c r="C346" s="9">
        <f>YEAR(Orders_Table[[#This Row],[Order Date]])</f>
        <v>2021</v>
      </c>
      <c r="D346" s="9">
        <f>MONTH(Orders_Table[[#This Row],[Order Date]])</f>
        <v>11</v>
      </c>
      <c r="E346" s="9" t="str" cm="1">
        <f t="array" ref="E3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346" s="2" t="s">
        <v>743</v>
      </c>
      <c r="G346" t="s">
        <v>49</v>
      </c>
      <c r="H346" s="2">
        <v>2</v>
      </c>
      <c r="I346" s="2" t="str" cm="1">
        <f t="array" ref="I346">_xlfn.XLOOKUP(F346,Customers!A345:$A$1001,Customers!B345:$B$1001,"Not Found",0)</f>
        <v>Catarina Donn</v>
      </c>
      <c r="J346" s="2" t="str" cm="1">
        <f t="array" ref="J346">IF(_xlfn.XLOOKUP(F346,Customers!A345:$A$1001,Customers!C345:$C$1001,"Not Found",0)=0,"",_xlfn.XLOOKUP(F346,Customers!A345:$A$1001,Customers!C345:$C$1001,"Not Found",0))</f>
        <v/>
      </c>
      <c r="K346" s="2" t="str" cm="1">
        <f t="array" ref="K346">_xlfn.XLOOKUP(F346,Customers!A345:$A$1001,Customers!G345:$G$1001,"Not Found",0)</f>
        <v>Ireland</v>
      </c>
      <c r="L346" t="str">
        <f>INDEX(Products!$A$1:$G$49,MATCH(Orders!$G346,Products!$A$1:$A$49,0),MATCH(Orders!L$1,Products!$A$1:$G$1,0))</f>
        <v>Rob</v>
      </c>
      <c r="M346" t="str">
        <f>INDEX(Products!$A$1:$G$49,MATCH(Orders!$G346,Products!$A$1:$A$49,0),MATCH(Orders!M$1,Products!$A$1:$G$1,0))</f>
        <v>M</v>
      </c>
      <c r="N346" s="4">
        <f>INDEX(Products!$A$1:$G$49,MATCH(Orders!$G346,Products!$A$1:$A$49,0),MATCH(Orders!N$1,Products!$A$1:$G$1,0))</f>
        <v>1</v>
      </c>
      <c r="O346" s="7">
        <f>INDEX(Products!$A$1:$G$49,MATCH(Orders!$G346,Products!$A$1:$A$49,0),MATCH(Orders!O$1,Products!$A$1:$G$1,0))</f>
        <v>9.9499999999999993</v>
      </c>
      <c r="P346" s="7">
        <f t="shared" si="5"/>
        <v>19.899999999999999</v>
      </c>
      <c r="Q346" t="str" cm="1">
        <f t="array" ref="Q346">_xlfn.IFS(L346="Rob","Robusta",L346="Exc", "Excelsa",L346="Ara", "Arabica",L346="Lib", "Liberica")</f>
        <v>Robusta</v>
      </c>
      <c r="R346" t="str" cm="1">
        <f t="array" ref="R346">_xlfn.IFS(M346="M","Medium",M346="L","Light",M346="D","Dark")</f>
        <v>Medium</v>
      </c>
    </row>
    <row r="347" spans="1:18">
      <c r="A347" s="2" t="s">
        <v>744</v>
      </c>
      <c r="B347" s="3">
        <v>43849</v>
      </c>
      <c r="C347" s="9">
        <f>YEAR(Orders_Table[[#This Row],[Order Date]])</f>
        <v>2020</v>
      </c>
      <c r="D347" s="9">
        <f>MONTH(Orders_Table[[#This Row],[Order Date]])</f>
        <v>1</v>
      </c>
      <c r="E347" s="9" t="str" cm="1">
        <f t="array" ref="E3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47" s="2" t="s">
        <v>745</v>
      </c>
      <c r="G347" t="s">
        <v>236</v>
      </c>
      <c r="H347" s="2">
        <v>5</v>
      </c>
      <c r="I347" s="2" t="str" cm="1">
        <f t="array" ref="I347">_xlfn.XLOOKUP(F347,Customers!A346:$A$1001,Customers!B346:$B$1001,"Not Found",0)</f>
        <v>Ameline Snazle</v>
      </c>
      <c r="J347" s="2" t="str" cm="1">
        <f t="array" ref="J347">IF(_xlfn.XLOOKUP(F347,Customers!A346:$A$1001,Customers!C346:$C$1001,"Not Found",0)=0,"",_xlfn.XLOOKUP(F347,Customers!A346:$A$1001,Customers!C346:$C$1001,"Not Found",0))</f>
        <v>asnazle9l@oracle.com</v>
      </c>
      <c r="K347" s="2" t="str" cm="1">
        <f t="array" ref="K347">_xlfn.XLOOKUP(F347,Customers!A346:$A$1001,Customers!G346:$G$1001,"Not Found",0)</f>
        <v>United States</v>
      </c>
      <c r="L347" t="str">
        <f>INDEX(Products!$A$1:$G$49,MATCH(Orders!$G347,Products!$A$1:$A$49,0),MATCH(Orders!L$1,Products!$A$1:$G$1,0))</f>
        <v>Rob</v>
      </c>
      <c r="M347" t="str">
        <f>INDEX(Products!$A$1:$G$49,MATCH(Orders!$G347,Products!$A$1:$A$49,0),MATCH(Orders!M$1,Products!$A$1:$G$1,0))</f>
        <v>L</v>
      </c>
      <c r="N347" s="4">
        <f>INDEX(Products!$A$1:$G$49,MATCH(Orders!$G347,Products!$A$1:$A$49,0),MATCH(Orders!N$1,Products!$A$1:$G$1,0))</f>
        <v>1</v>
      </c>
      <c r="O347" s="7">
        <f>INDEX(Products!$A$1:$G$49,MATCH(Orders!$G347,Products!$A$1:$A$49,0),MATCH(Orders!O$1,Products!$A$1:$G$1,0))</f>
        <v>11.95</v>
      </c>
      <c r="P347" s="7">
        <f t="shared" si="5"/>
        <v>59.75</v>
      </c>
      <c r="Q347" t="str" cm="1">
        <f t="array" ref="Q347">_xlfn.IFS(L347="Rob","Robusta",L347="Exc", "Excelsa",L347="Ara", "Arabica",L347="Lib", "Liberica")</f>
        <v>Robusta</v>
      </c>
      <c r="R347" t="str" cm="1">
        <f t="array" ref="R347">_xlfn.IFS(M347="M","Medium",M347="L","Light",M347="D","Dark")</f>
        <v>Light</v>
      </c>
    </row>
    <row r="348" spans="1:18">
      <c r="A348" s="2" t="s">
        <v>746</v>
      </c>
      <c r="B348" s="3">
        <v>44344</v>
      </c>
      <c r="C348" s="9">
        <f>YEAR(Orders_Table[[#This Row],[Order Date]])</f>
        <v>2021</v>
      </c>
      <c r="D348" s="9">
        <f>MONTH(Orders_Table[[#This Row],[Order Date]])</f>
        <v>5</v>
      </c>
      <c r="E348" s="9" t="str" cm="1">
        <f t="array" ref="E3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48" s="2" t="s">
        <v>747</v>
      </c>
      <c r="G348" t="s">
        <v>239</v>
      </c>
      <c r="H348" s="2">
        <v>3</v>
      </c>
      <c r="I348" s="2" t="str" cm="1">
        <f t="array" ref="I348">_xlfn.XLOOKUP(F348,Customers!A347:$A$1001,Customers!B347:$B$1001,"Not Found",0)</f>
        <v>Rebeka Worg</v>
      </c>
      <c r="J348" s="2" t="str" cm="1">
        <f t="array" ref="J348">IF(_xlfn.XLOOKUP(F348,Customers!A347:$A$1001,Customers!C347:$C$1001,"Not Found",0)=0,"",_xlfn.XLOOKUP(F348,Customers!A347:$A$1001,Customers!C347:$C$1001,"Not Found",0))</f>
        <v>rworg9m@arstechnica.com</v>
      </c>
      <c r="K348" s="2" t="str" cm="1">
        <f t="array" ref="K348">_xlfn.XLOOKUP(F348,Customers!A347:$A$1001,Customers!G347:$G$1001,"Not Found",0)</f>
        <v>United States</v>
      </c>
      <c r="L348" t="str">
        <f>INDEX(Products!$A$1:$G$49,MATCH(Orders!$G348,Products!$A$1:$A$49,0),MATCH(Orders!L$1,Products!$A$1:$G$1,0))</f>
        <v>Ara</v>
      </c>
      <c r="M348" t="str">
        <f>INDEX(Products!$A$1:$G$49,MATCH(Orders!$G348,Products!$A$1:$A$49,0),MATCH(Orders!M$1,Products!$A$1:$G$1,0))</f>
        <v>L</v>
      </c>
      <c r="N348" s="4">
        <f>INDEX(Products!$A$1:$G$49,MATCH(Orders!$G348,Products!$A$1:$A$49,0),MATCH(Orders!N$1,Products!$A$1:$G$1,0))</f>
        <v>0.5</v>
      </c>
      <c r="O348" s="7">
        <f>INDEX(Products!$A$1:$G$49,MATCH(Orders!$G348,Products!$A$1:$A$49,0),MATCH(Orders!O$1,Products!$A$1:$G$1,0))</f>
        <v>7.77</v>
      </c>
      <c r="P348" s="7">
        <f t="shared" si="5"/>
        <v>23.31</v>
      </c>
      <c r="Q348" t="str" cm="1">
        <f t="array" ref="Q348">_xlfn.IFS(L348="Rob","Robusta",L348="Exc", "Excelsa",L348="Ara", "Arabica",L348="Lib", "Liberica")</f>
        <v>Arabica</v>
      </c>
      <c r="R348" t="str" cm="1">
        <f t="array" ref="R348">_xlfn.IFS(M348="M","Medium",M348="L","Light",M348="D","Dark")</f>
        <v>Light</v>
      </c>
    </row>
    <row r="349" spans="1:18">
      <c r="A349" s="2" t="s">
        <v>748</v>
      </c>
      <c r="B349" s="3">
        <v>44576</v>
      </c>
      <c r="C349" s="9">
        <f>YEAR(Orders_Table[[#This Row],[Order Date]])</f>
        <v>2022</v>
      </c>
      <c r="D349" s="9">
        <f>MONTH(Orders_Table[[#This Row],[Order Date]])</f>
        <v>1</v>
      </c>
      <c r="E349" s="9" t="str" cm="1">
        <f t="array" ref="E3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49" s="2" t="s">
        <v>749</v>
      </c>
      <c r="G349" t="s">
        <v>143</v>
      </c>
      <c r="H349" s="2">
        <v>3</v>
      </c>
      <c r="I349" s="2" t="str" cm="1">
        <f t="array" ref="I349">_xlfn.XLOOKUP(F349,Customers!A348:$A$1001,Customers!B348:$B$1001,"Not Found",0)</f>
        <v>Lewes Danes</v>
      </c>
      <c r="J349" s="2" t="str" cm="1">
        <f t="array" ref="J349">IF(_xlfn.XLOOKUP(F349,Customers!A348:$A$1001,Customers!C348:$C$1001,"Not Found",0)=0,"",_xlfn.XLOOKUP(F349,Customers!A348:$A$1001,Customers!C348:$C$1001,"Not Found",0))</f>
        <v>ldanes9n@umn.edu</v>
      </c>
      <c r="K349" s="2" t="str" cm="1">
        <f t="array" ref="K349">_xlfn.XLOOKUP(F349,Customers!A348:$A$1001,Customers!G348:$G$1001,"Not Found",0)</f>
        <v>United States</v>
      </c>
      <c r="L349" t="str">
        <f>INDEX(Products!$A$1:$G$49,MATCH(Orders!$G349,Products!$A$1:$A$49,0),MATCH(Orders!L$1,Products!$A$1:$G$1,0))</f>
        <v>Lib</v>
      </c>
      <c r="M349" t="str">
        <f>INDEX(Products!$A$1:$G$49,MATCH(Orders!$G349,Products!$A$1:$A$49,0),MATCH(Orders!M$1,Products!$A$1:$G$1,0))</f>
        <v>M</v>
      </c>
      <c r="N349" s="4">
        <f>INDEX(Products!$A$1:$G$49,MATCH(Orders!$G349,Products!$A$1:$A$49,0),MATCH(Orders!N$1,Products!$A$1:$G$1,0))</f>
        <v>1</v>
      </c>
      <c r="O349" s="7">
        <f>INDEX(Products!$A$1:$G$49,MATCH(Orders!$G349,Products!$A$1:$A$49,0),MATCH(Orders!O$1,Products!$A$1:$G$1,0))</f>
        <v>14.55</v>
      </c>
      <c r="P349" s="7">
        <f t="shared" si="5"/>
        <v>43.650000000000006</v>
      </c>
      <c r="Q349" t="str" cm="1">
        <f t="array" ref="Q349">_xlfn.IFS(L349="Rob","Robusta",L349="Exc", "Excelsa",L349="Ara", "Arabica",L349="Lib", "Liberica")</f>
        <v>Liberica</v>
      </c>
      <c r="R349" t="str" cm="1">
        <f t="array" ref="R349">_xlfn.IFS(M349="M","Medium",M349="L","Light",M349="D","Dark")</f>
        <v>Medium</v>
      </c>
    </row>
    <row r="350" spans="1:18">
      <c r="A350" s="2" t="s">
        <v>750</v>
      </c>
      <c r="B350" s="3">
        <v>43803</v>
      </c>
      <c r="C350" s="9">
        <f>YEAR(Orders_Table[[#This Row],[Order Date]])</f>
        <v>2019</v>
      </c>
      <c r="D350" s="9">
        <f>MONTH(Orders_Table[[#This Row],[Order Date]])</f>
        <v>12</v>
      </c>
      <c r="E350" s="9" t="str" cm="1">
        <f t="array" ref="E3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350" s="2" t="s">
        <v>751</v>
      </c>
      <c r="G350" t="s">
        <v>77</v>
      </c>
      <c r="H350" s="2">
        <v>6</v>
      </c>
      <c r="I350" s="2" t="str" cm="1">
        <f t="array" ref="I350">_xlfn.XLOOKUP(F350,Customers!A349:$A$1001,Customers!B349:$B$1001,"Not Found",0)</f>
        <v>Shelli Keynd</v>
      </c>
      <c r="J350" s="2" t="str" cm="1">
        <f t="array" ref="J350">IF(_xlfn.XLOOKUP(F350,Customers!A349:$A$1001,Customers!C349:$C$1001,"Not Found",0)=0,"",_xlfn.XLOOKUP(F350,Customers!A349:$A$1001,Customers!C349:$C$1001,"Not Found",0))</f>
        <v>skeynd9o@narod.ru</v>
      </c>
      <c r="K350" s="2" t="str" cm="1">
        <f t="array" ref="K350">_xlfn.XLOOKUP(F350,Customers!A349:$A$1001,Customers!G349:$G$1001,"Not Found",0)</f>
        <v>United States</v>
      </c>
      <c r="L350" t="str">
        <f>INDEX(Products!$A$1:$G$49,MATCH(Orders!$G350,Products!$A$1:$A$49,0),MATCH(Orders!L$1,Products!$A$1:$G$1,0))</f>
        <v>Exc</v>
      </c>
      <c r="M350" t="str">
        <f>INDEX(Products!$A$1:$G$49,MATCH(Orders!$G350,Products!$A$1:$A$49,0),MATCH(Orders!M$1,Products!$A$1:$G$1,0))</f>
        <v>L</v>
      </c>
      <c r="N350" s="4">
        <f>INDEX(Products!$A$1:$G$49,MATCH(Orders!$G350,Products!$A$1:$A$49,0),MATCH(Orders!N$1,Products!$A$1:$G$1,0))</f>
        <v>2.5</v>
      </c>
      <c r="O350" s="7">
        <f>INDEX(Products!$A$1:$G$49,MATCH(Orders!$G350,Products!$A$1:$A$49,0),MATCH(Orders!O$1,Products!$A$1:$G$1,0))</f>
        <v>34.154999999999994</v>
      </c>
      <c r="P350" s="7">
        <f t="shared" si="5"/>
        <v>204.92999999999995</v>
      </c>
      <c r="Q350" t="str" cm="1">
        <f t="array" ref="Q350">_xlfn.IFS(L350="Rob","Robusta",L350="Exc", "Excelsa",L350="Ara", "Arabica",L350="Lib", "Liberica")</f>
        <v>Excelsa</v>
      </c>
      <c r="R350" t="str" cm="1">
        <f t="array" ref="R350">_xlfn.IFS(M350="M","Medium",M350="L","Light",M350="D","Dark")</f>
        <v>Light</v>
      </c>
    </row>
    <row r="351" spans="1:18">
      <c r="A351" s="2" t="s">
        <v>752</v>
      </c>
      <c r="B351" s="3">
        <v>44743</v>
      </c>
      <c r="C351" s="9">
        <f>YEAR(Orders_Table[[#This Row],[Order Date]])</f>
        <v>2022</v>
      </c>
      <c r="D351" s="9">
        <f>MONTH(Orders_Table[[#This Row],[Order Date]])</f>
        <v>7</v>
      </c>
      <c r="E351" s="9" t="str" cm="1">
        <f t="array" ref="E3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51" s="2" t="s">
        <v>753</v>
      </c>
      <c r="G351" t="s">
        <v>229</v>
      </c>
      <c r="H351" s="2">
        <v>4</v>
      </c>
      <c r="I351" s="2" t="str" cm="1">
        <f t="array" ref="I351">_xlfn.XLOOKUP(F351,Customers!A350:$A$1001,Customers!B350:$B$1001,"Not Found",0)</f>
        <v>Dell Daveridge</v>
      </c>
      <c r="J351" s="2" t="str" cm="1">
        <f t="array" ref="J351">IF(_xlfn.XLOOKUP(F351,Customers!A350:$A$1001,Customers!C350:$C$1001,"Not Found",0)=0,"",_xlfn.XLOOKUP(F351,Customers!A350:$A$1001,Customers!C350:$C$1001,"Not Found",0))</f>
        <v>ddaveridge9p@arstechnica.com</v>
      </c>
      <c r="K351" s="2" t="str" cm="1">
        <f t="array" ref="K351">_xlfn.XLOOKUP(F351,Customers!A350:$A$1001,Customers!G350:$G$1001,"Not Found",0)</f>
        <v>United States</v>
      </c>
      <c r="L351" t="str">
        <f>INDEX(Products!$A$1:$G$49,MATCH(Orders!$G351,Products!$A$1:$A$49,0),MATCH(Orders!L$1,Products!$A$1:$G$1,0))</f>
        <v>Rob</v>
      </c>
      <c r="M351" t="str">
        <f>INDEX(Products!$A$1:$G$49,MATCH(Orders!$G351,Products!$A$1:$A$49,0),MATCH(Orders!M$1,Products!$A$1:$G$1,0))</f>
        <v>L</v>
      </c>
      <c r="N351" s="4">
        <f>INDEX(Products!$A$1:$G$49,MATCH(Orders!$G351,Products!$A$1:$A$49,0),MATCH(Orders!N$1,Products!$A$1:$G$1,0))</f>
        <v>0.2</v>
      </c>
      <c r="O351" s="7">
        <f>INDEX(Products!$A$1:$G$49,MATCH(Orders!$G351,Products!$A$1:$A$49,0),MATCH(Orders!O$1,Products!$A$1:$G$1,0))</f>
        <v>3.5849999999999995</v>
      </c>
      <c r="P351" s="7">
        <f t="shared" si="5"/>
        <v>14.339999999999998</v>
      </c>
      <c r="Q351" t="str" cm="1">
        <f t="array" ref="Q351">_xlfn.IFS(L351="Rob","Robusta",L351="Exc", "Excelsa",L351="Ara", "Arabica",L351="Lib", "Liberica")</f>
        <v>Robusta</v>
      </c>
      <c r="R351" t="str" cm="1">
        <f t="array" ref="R351">_xlfn.IFS(M351="M","Medium",M351="L","Light",M351="D","Dark")</f>
        <v>Light</v>
      </c>
    </row>
    <row r="352" spans="1:18">
      <c r="A352" s="2" t="s">
        <v>754</v>
      </c>
      <c r="B352" s="3">
        <v>43592</v>
      </c>
      <c r="C352" s="9">
        <f>YEAR(Orders_Table[[#This Row],[Order Date]])</f>
        <v>2019</v>
      </c>
      <c r="D352" s="9">
        <f>MONTH(Orders_Table[[#This Row],[Order Date]])</f>
        <v>5</v>
      </c>
      <c r="E352" s="9" t="str" cm="1">
        <f t="array" ref="E3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52" s="2" t="s">
        <v>755</v>
      </c>
      <c r="G352" t="s">
        <v>119</v>
      </c>
      <c r="H352" s="2">
        <v>4</v>
      </c>
      <c r="I352" s="2" t="str" cm="1">
        <f t="array" ref="I352">_xlfn.XLOOKUP(F352,Customers!A351:$A$1001,Customers!B351:$B$1001,"Not Found",0)</f>
        <v>Joshuah Awdry</v>
      </c>
      <c r="J352" s="2" t="str" cm="1">
        <f t="array" ref="J352">IF(_xlfn.XLOOKUP(F352,Customers!A351:$A$1001,Customers!C351:$C$1001,"Not Found",0)=0,"",_xlfn.XLOOKUP(F352,Customers!A351:$A$1001,Customers!C351:$C$1001,"Not Found",0))</f>
        <v>jawdry9q@utexas.edu</v>
      </c>
      <c r="K352" s="2" t="str" cm="1">
        <f t="array" ref="K352">_xlfn.XLOOKUP(F352,Customers!A351:$A$1001,Customers!G351:$G$1001,"Not Found",0)</f>
        <v>United States</v>
      </c>
      <c r="L352" t="str">
        <f>INDEX(Products!$A$1:$G$49,MATCH(Orders!$G352,Products!$A$1:$A$49,0),MATCH(Orders!L$1,Products!$A$1:$G$1,0))</f>
        <v>Ara</v>
      </c>
      <c r="M352" t="str">
        <f>INDEX(Products!$A$1:$G$49,MATCH(Orders!$G352,Products!$A$1:$A$49,0),MATCH(Orders!M$1,Products!$A$1:$G$1,0))</f>
        <v>D</v>
      </c>
      <c r="N352" s="4">
        <f>INDEX(Products!$A$1:$G$49,MATCH(Orders!$G352,Products!$A$1:$A$49,0),MATCH(Orders!N$1,Products!$A$1:$G$1,0))</f>
        <v>0.5</v>
      </c>
      <c r="O352" s="7">
        <f>INDEX(Products!$A$1:$G$49,MATCH(Orders!$G352,Products!$A$1:$A$49,0),MATCH(Orders!O$1,Products!$A$1:$G$1,0))</f>
        <v>5.97</v>
      </c>
      <c r="P352" s="7">
        <f t="shared" si="5"/>
        <v>23.88</v>
      </c>
      <c r="Q352" t="str" cm="1">
        <f t="array" ref="Q352">_xlfn.IFS(L352="Rob","Robusta",L352="Exc", "Excelsa",L352="Ara", "Arabica",L352="Lib", "Liberica")</f>
        <v>Arabica</v>
      </c>
      <c r="R352" t="str" cm="1">
        <f t="array" ref="R352">_xlfn.IFS(M352="M","Medium",M352="L","Light",M352="D","Dark")</f>
        <v>Dark</v>
      </c>
    </row>
    <row r="353" spans="1:18">
      <c r="A353" s="2" t="s">
        <v>756</v>
      </c>
      <c r="B353" s="3">
        <v>44066</v>
      </c>
      <c r="C353" s="9">
        <f>YEAR(Orders_Table[[#This Row],[Order Date]])</f>
        <v>2020</v>
      </c>
      <c r="D353" s="9">
        <f>MONTH(Orders_Table[[#This Row],[Order Date]])</f>
        <v>8</v>
      </c>
      <c r="E353" s="9" t="str" cm="1">
        <f t="array" ref="E3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53" s="2" t="s">
        <v>757</v>
      </c>
      <c r="G353" t="s">
        <v>108</v>
      </c>
      <c r="H353" s="2">
        <v>2</v>
      </c>
      <c r="I353" s="2" t="str" cm="1">
        <f t="array" ref="I353">_xlfn.XLOOKUP(F353,Customers!A352:$A$1001,Customers!B352:$B$1001,"Not Found",0)</f>
        <v>Ethel Ryles</v>
      </c>
      <c r="J353" s="2" t="str" cm="1">
        <f t="array" ref="J353">IF(_xlfn.XLOOKUP(F353,Customers!A352:$A$1001,Customers!C352:$C$1001,"Not Found",0)=0,"",_xlfn.XLOOKUP(F353,Customers!A352:$A$1001,Customers!C352:$C$1001,"Not Found",0))</f>
        <v>eryles9r@fastcompany.com</v>
      </c>
      <c r="K353" s="2" t="str" cm="1">
        <f t="array" ref="K353">_xlfn.XLOOKUP(F353,Customers!A352:$A$1001,Customers!G352:$G$1001,"Not Found",0)</f>
        <v>United States</v>
      </c>
      <c r="L353" t="str">
        <f>INDEX(Products!$A$1:$G$49,MATCH(Orders!$G353,Products!$A$1:$A$49,0),MATCH(Orders!L$1,Products!$A$1:$G$1,0))</f>
        <v>Ara</v>
      </c>
      <c r="M353" t="str">
        <f>INDEX(Products!$A$1:$G$49,MATCH(Orders!$G353,Products!$A$1:$A$49,0),MATCH(Orders!M$1,Products!$A$1:$G$1,0))</f>
        <v>M</v>
      </c>
      <c r="N353" s="4">
        <f>INDEX(Products!$A$1:$G$49,MATCH(Orders!$G353,Products!$A$1:$A$49,0),MATCH(Orders!N$1,Products!$A$1:$G$1,0))</f>
        <v>1</v>
      </c>
      <c r="O353" s="7">
        <f>INDEX(Products!$A$1:$G$49,MATCH(Orders!$G353,Products!$A$1:$A$49,0),MATCH(Orders!O$1,Products!$A$1:$G$1,0))</f>
        <v>11.25</v>
      </c>
      <c r="P353" s="7">
        <f t="shared" si="5"/>
        <v>22.5</v>
      </c>
      <c r="Q353" t="str" cm="1">
        <f t="array" ref="Q353">_xlfn.IFS(L353="Rob","Robusta",L353="Exc", "Excelsa",L353="Ara", "Arabica",L353="Lib", "Liberica")</f>
        <v>Arabica</v>
      </c>
      <c r="R353" t="str" cm="1">
        <f t="array" ref="R353">_xlfn.IFS(M353="M","Medium",M353="L","Light",M353="D","Dark")</f>
        <v>Medium</v>
      </c>
    </row>
    <row r="354" spans="1:18">
      <c r="A354" s="2" t="s">
        <v>758</v>
      </c>
      <c r="B354" s="3">
        <v>43984</v>
      </c>
      <c r="C354" s="9">
        <f>YEAR(Orders_Table[[#This Row],[Order Date]])</f>
        <v>2020</v>
      </c>
      <c r="D354" s="9">
        <f>MONTH(Orders_Table[[#This Row],[Order Date]])</f>
        <v>6</v>
      </c>
      <c r="E354" s="9" t="str" cm="1">
        <f t="array" ref="E3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54" s="2" t="s">
        <v>711</v>
      </c>
      <c r="G354" t="s">
        <v>63</v>
      </c>
      <c r="H354" s="2">
        <v>5</v>
      </c>
      <c r="I354" s="2" t="str" cm="1">
        <f t="array" ref="I354">_xlfn.XLOOKUP(F354,Customers!A353:$A$1001,Customers!B353:$B$1001,"Not Found",0)</f>
        <v>Not Found</v>
      </c>
      <c r="J354" s="2" t="str" cm="1">
        <f t="array" ref="J354">IF(_xlfn.XLOOKUP(F354,Customers!A353:$A$1001,Customers!C353:$C$1001,"Not Found",0)=0,"",_xlfn.XLOOKUP(F354,Customers!A353:$A$1001,Customers!C353:$C$1001,"Not Found",0))</f>
        <v>Not Found</v>
      </c>
      <c r="K354" s="2" t="str" cm="1">
        <f t="array" ref="K354">_xlfn.XLOOKUP(F354,Customers!A353:$A$1001,Customers!G353:$G$1001,"Not Found",0)</f>
        <v>Not Found</v>
      </c>
      <c r="L354" t="str">
        <f>INDEX(Products!$A$1:$G$49,MATCH(Orders!$G354,Products!$A$1:$A$49,0),MATCH(Orders!L$1,Products!$A$1:$G$1,0))</f>
        <v>Exc</v>
      </c>
      <c r="M354" t="str">
        <f>INDEX(Products!$A$1:$G$49,MATCH(Orders!$G354,Products!$A$1:$A$49,0),MATCH(Orders!M$1,Products!$A$1:$G$1,0))</f>
        <v>D</v>
      </c>
      <c r="N354" s="4">
        <f>INDEX(Products!$A$1:$G$49,MATCH(Orders!$G354,Products!$A$1:$A$49,0),MATCH(Orders!N$1,Products!$A$1:$G$1,0))</f>
        <v>0.5</v>
      </c>
      <c r="O354" s="7">
        <f>INDEX(Products!$A$1:$G$49,MATCH(Orders!$G354,Products!$A$1:$A$49,0),MATCH(Orders!O$1,Products!$A$1:$G$1,0))</f>
        <v>7.29</v>
      </c>
      <c r="P354" s="7">
        <f t="shared" si="5"/>
        <v>36.450000000000003</v>
      </c>
      <c r="Q354" t="str" cm="1">
        <f t="array" ref="Q354">_xlfn.IFS(L354="Rob","Robusta",L354="Exc", "Excelsa",L354="Ara", "Arabica",L354="Lib", "Liberica")</f>
        <v>Excelsa</v>
      </c>
      <c r="R354" t="str" cm="1">
        <f t="array" ref="R354">_xlfn.IFS(M354="M","Medium",M354="L","Light",M354="D","Dark")</f>
        <v>Dark</v>
      </c>
    </row>
    <row r="355" spans="1:18">
      <c r="A355" s="2" t="s">
        <v>759</v>
      </c>
      <c r="B355" s="3">
        <v>43860</v>
      </c>
      <c r="C355" s="9">
        <f>YEAR(Orders_Table[[#This Row],[Order Date]])</f>
        <v>2020</v>
      </c>
      <c r="D355" s="9">
        <f>MONTH(Orders_Table[[#This Row],[Order Date]])</f>
        <v>1</v>
      </c>
      <c r="E355" s="9" t="str" cm="1">
        <f t="array" ref="E3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55" s="2" t="s">
        <v>760</v>
      </c>
      <c r="G355" t="s">
        <v>114</v>
      </c>
      <c r="H355" s="2">
        <v>4</v>
      </c>
      <c r="I355" s="2" t="str" cm="1">
        <f t="array" ref="I355">_xlfn.XLOOKUP(F355,Customers!A354:$A$1001,Customers!B354:$B$1001,"Not Found",0)</f>
        <v>Maitilde Boxill</v>
      </c>
      <c r="J355" s="2" t="str" cm="1">
        <f t="array" ref="J355">IF(_xlfn.XLOOKUP(F355,Customers!A354:$A$1001,Customers!C354:$C$1001,"Not Found",0)=0,"",_xlfn.XLOOKUP(F355,Customers!A354:$A$1001,Customers!C354:$C$1001,"Not Found",0))</f>
        <v/>
      </c>
      <c r="K355" s="2" t="str" cm="1">
        <f t="array" ref="K355">_xlfn.XLOOKUP(F355,Customers!A354:$A$1001,Customers!G354:$G$1001,"Not Found",0)</f>
        <v>United States</v>
      </c>
      <c r="L355" t="str">
        <f>INDEX(Products!$A$1:$G$49,MATCH(Orders!$G355,Products!$A$1:$A$49,0),MATCH(Orders!L$1,Products!$A$1:$G$1,0))</f>
        <v>Ara</v>
      </c>
      <c r="M355" t="str">
        <f>INDEX(Products!$A$1:$G$49,MATCH(Orders!$G355,Products!$A$1:$A$49,0),MATCH(Orders!M$1,Products!$A$1:$G$1,0))</f>
        <v>M</v>
      </c>
      <c r="N355" s="4">
        <f>INDEX(Products!$A$1:$G$49,MATCH(Orders!$G355,Products!$A$1:$A$49,0),MATCH(Orders!N$1,Products!$A$1:$G$1,0))</f>
        <v>0.5</v>
      </c>
      <c r="O355" s="7">
        <f>INDEX(Products!$A$1:$G$49,MATCH(Orders!$G355,Products!$A$1:$A$49,0),MATCH(Orders!O$1,Products!$A$1:$G$1,0))</f>
        <v>6.75</v>
      </c>
      <c r="P355" s="7">
        <f t="shared" si="5"/>
        <v>27</v>
      </c>
      <c r="Q355" t="str" cm="1">
        <f t="array" ref="Q355">_xlfn.IFS(L355="Rob","Robusta",L355="Exc", "Excelsa",L355="Ara", "Arabica",L355="Lib", "Liberica")</f>
        <v>Arabica</v>
      </c>
      <c r="R355" t="str" cm="1">
        <f t="array" ref="R355">_xlfn.IFS(M355="M","Medium",M355="L","Light",M355="D","Dark")</f>
        <v>Medium</v>
      </c>
    </row>
    <row r="356" spans="1:18">
      <c r="A356" s="2" t="s">
        <v>761</v>
      </c>
      <c r="B356" s="3">
        <v>43876</v>
      </c>
      <c r="C356" s="9">
        <f>YEAR(Orders_Table[[#This Row],[Order Date]])</f>
        <v>2020</v>
      </c>
      <c r="D356" s="9">
        <f>MONTH(Orders_Table[[#This Row],[Order Date]])</f>
        <v>2</v>
      </c>
      <c r="E356" s="9" t="str" cm="1">
        <f t="array" ref="E3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56" s="2" t="s">
        <v>762</v>
      </c>
      <c r="G356" t="s">
        <v>218</v>
      </c>
      <c r="H356" s="2">
        <v>6</v>
      </c>
      <c r="I356" s="2" t="str" cm="1">
        <f t="array" ref="I356">_xlfn.XLOOKUP(F356,Customers!A355:$A$1001,Customers!B355:$B$1001,"Not Found",0)</f>
        <v>Jodee Caldicott</v>
      </c>
      <c r="J356" s="2" t="str" cm="1">
        <f t="array" ref="J356">IF(_xlfn.XLOOKUP(F356,Customers!A355:$A$1001,Customers!C355:$C$1001,"Not Found",0)=0,"",_xlfn.XLOOKUP(F356,Customers!A355:$A$1001,Customers!C355:$C$1001,"Not Found",0))</f>
        <v>jcaldicott9u@usda.gov</v>
      </c>
      <c r="K356" s="2" t="str" cm="1">
        <f t="array" ref="K356">_xlfn.XLOOKUP(F356,Customers!A355:$A$1001,Customers!G355:$G$1001,"Not Found",0)</f>
        <v>United States</v>
      </c>
      <c r="L356" t="str">
        <f>INDEX(Products!$A$1:$G$49,MATCH(Orders!$G356,Products!$A$1:$A$49,0),MATCH(Orders!L$1,Products!$A$1:$G$1,0))</f>
        <v>Ara</v>
      </c>
      <c r="M356" t="str">
        <f>INDEX(Products!$A$1:$G$49,MATCH(Orders!$G356,Products!$A$1:$A$49,0),MATCH(Orders!M$1,Products!$A$1:$G$1,0))</f>
        <v>M</v>
      </c>
      <c r="N356" s="4">
        <f>INDEX(Products!$A$1:$G$49,MATCH(Orders!$G356,Products!$A$1:$A$49,0),MATCH(Orders!N$1,Products!$A$1:$G$1,0))</f>
        <v>2.5</v>
      </c>
      <c r="O356" s="7">
        <f>INDEX(Products!$A$1:$G$49,MATCH(Orders!$G356,Products!$A$1:$A$49,0),MATCH(Orders!O$1,Products!$A$1:$G$1,0))</f>
        <v>25.874999999999996</v>
      </c>
      <c r="P356" s="7">
        <f t="shared" si="5"/>
        <v>155.24999999999997</v>
      </c>
      <c r="Q356" t="str" cm="1">
        <f t="array" ref="Q356">_xlfn.IFS(L356="Rob","Robusta",L356="Exc", "Excelsa",L356="Ara", "Arabica",L356="Lib", "Liberica")</f>
        <v>Arabica</v>
      </c>
      <c r="R356" t="str" cm="1">
        <f t="array" ref="R356">_xlfn.IFS(M356="M","Medium",M356="L","Light",M356="D","Dark")</f>
        <v>Medium</v>
      </c>
    </row>
    <row r="357" spans="1:18">
      <c r="A357" s="2" t="s">
        <v>763</v>
      </c>
      <c r="B357" s="3">
        <v>44358</v>
      </c>
      <c r="C357" s="9">
        <f>YEAR(Orders_Table[[#This Row],[Order Date]])</f>
        <v>2021</v>
      </c>
      <c r="D357" s="9">
        <f>MONTH(Orders_Table[[#This Row],[Order Date]])</f>
        <v>6</v>
      </c>
      <c r="E357" s="9" t="str" cm="1">
        <f t="array" ref="E3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57" s="2" t="s">
        <v>764</v>
      </c>
      <c r="G357" t="s">
        <v>165</v>
      </c>
      <c r="H357" s="2">
        <v>5</v>
      </c>
      <c r="I357" s="2" t="str" cm="1">
        <f t="array" ref="I357">_xlfn.XLOOKUP(F357,Customers!A356:$A$1001,Customers!B356:$B$1001,"Not Found",0)</f>
        <v>Marianna Vedmore</v>
      </c>
      <c r="J357" s="2" t="str" cm="1">
        <f t="array" ref="J357">IF(_xlfn.XLOOKUP(F357,Customers!A356:$A$1001,Customers!C356:$C$1001,"Not Found",0)=0,"",_xlfn.XLOOKUP(F357,Customers!A356:$A$1001,Customers!C356:$C$1001,"Not Found",0))</f>
        <v>mvedmore9v@a8.net</v>
      </c>
      <c r="K357" s="2" t="str" cm="1">
        <f t="array" ref="K357">_xlfn.XLOOKUP(F357,Customers!A356:$A$1001,Customers!G356:$G$1001,"Not Found",0)</f>
        <v>United States</v>
      </c>
      <c r="L357" t="str">
        <f>INDEX(Products!$A$1:$G$49,MATCH(Orders!$G357,Products!$A$1:$A$49,0),MATCH(Orders!L$1,Products!$A$1:$G$1,0))</f>
        <v>Ara</v>
      </c>
      <c r="M357" t="str">
        <f>INDEX(Products!$A$1:$G$49,MATCH(Orders!$G357,Products!$A$1:$A$49,0),MATCH(Orders!M$1,Products!$A$1:$G$1,0))</f>
        <v>D</v>
      </c>
      <c r="N357" s="4">
        <f>INDEX(Products!$A$1:$G$49,MATCH(Orders!$G357,Products!$A$1:$A$49,0),MATCH(Orders!N$1,Products!$A$1:$G$1,0))</f>
        <v>2.5</v>
      </c>
      <c r="O357" s="7">
        <f>INDEX(Products!$A$1:$G$49,MATCH(Orders!$G357,Products!$A$1:$A$49,0),MATCH(Orders!O$1,Products!$A$1:$G$1,0))</f>
        <v>22.884999999999998</v>
      </c>
      <c r="P357" s="7">
        <f t="shared" si="5"/>
        <v>114.42499999999998</v>
      </c>
      <c r="Q357" t="str" cm="1">
        <f t="array" ref="Q357">_xlfn.IFS(L357="Rob","Robusta",L357="Exc", "Excelsa",L357="Ara", "Arabica",L357="Lib", "Liberica")</f>
        <v>Arabica</v>
      </c>
      <c r="R357" t="str" cm="1">
        <f t="array" ref="R357">_xlfn.IFS(M357="M","Medium",M357="L","Light",M357="D","Dark")</f>
        <v>Dark</v>
      </c>
    </row>
    <row r="358" spans="1:18">
      <c r="A358" s="2" t="s">
        <v>765</v>
      </c>
      <c r="B358" s="3">
        <v>44631</v>
      </c>
      <c r="C358" s="9">
        <f>YEAR(Orders_Table[[#This Row],[Order Date]])</f>
        <v>2022</v>
      </c>
      <c r="D358" s="9">
        <f>MONTH(Orders_Table[[#This Row],[Order Date]])</f>
        <v>3</v>
      </c>
      <c r="E358" s="9" t="str" cm="1">
        <f t="array" ref="E3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58" s="2" t="s">
        <v>766</v>
      </c>
      <c r="G358" t="s">
        <v>60</v>
      </c>
      <c r="H358" s="2">
        <v>4</v>
      </c>
      <c r="I358" s="2" t="str" cm="1">
        <f t="array" ref="I358">_xlfn.XLOOKUP(F358,Customers!A357:$A$1001,Customers!B357:$B$1001,"Not Found",0)</f>
        <v>Willey Romao</v>
      </c>
      <c r="J358" s="2" t="str" cm="1">
        <f t="array" ref="J358">IF(_xlfn.XLOOKUP(F358,Customers!A357:$A$1001,Customers!C357:$C$1001,"Not Found",0)=0,"",_xlfn.XLOOKUP(F358,Customers!A357:$A$1001,Customers!C357:$C$1001,"Not Found",0))</f>
        <v>wromao9w@chronoengine.com</v>
      </c>
      <c r="K358" s="2" t="str" cm="1">
        <f t="array" ref="K358">_xlfn.XLOOKUP(F358,Customers!A357:$A$1001,Customers!G357:$G$1001,"Not Found",0)</f>
        <v>United States</v>
      </c>
      <c r="L358" t="str">
        <f>INDEX(Products!$A$1:$G$49,MATCH(Orders!$G358,Products!$A$1:$A$49,0),MATCH(Orders!L$1,Products!$A$1:$G$1,0))</f>
        <v>Lib</v>
      </c>
      <c r="M358" t="str">
        <f>INDEX(Products!$A$1:$G$49,MATCH(Orders!$G358,Products!$A$1:$A$49,0),MATCH(Orders!M$1,Products!$A$1:$G$1,0))</f>
        <v>D</v>
      </c>
      <c r="N358" s="4">
        <f>INDEX(Products!$A$1:$G$49,MATCH(Orders!$G358,Products!$A$1:$A$49,0),MATCH(Orders!N$1,Products!$A$1:$G$1,0))</f>
        <v>1</v>
      </c>
      <c r="O358" s="7">
        <f>INDEX(Products!$A$1:$G$49,MATCH(Orders!$G358,Products!$A$1:$A$49,0),MATCH(Orders!O$1,Products!$A$1:$G$1,0))</f>
        <v>12.95</v>
      </c>
      <c r="P358" s="7">
        <f t="shared" si="5"/>
        <v>51.8</v>
      </c>
      <c r="Q358" t="str" cm="1">
        <f t="array" ref="Q358">_xlfn.IFS(L358="Rob","Robusta",L358="Exc", "Excelsa",L358="Ara", "Arabica",L358="Lib", "Liberica")</f>
        <v>Liberica</v>
      </c>
      <c r="R358" t="str" cm="1">
        <f t="array" ref="R358">_xlfn.IFS(M358="M","Medium",M358="L","Light",M358="D","Dark")</f>
        <v>Dark</v>
      </c>
    </row>
    <row r="359" spans="1:18">
      <c r="A359" s="2" t="s">
        <v>767</v>
      </c>
      <c r="B359" s="3">
        <v>44448</v>
      </c>
      <c r="C359" s="9">
        <f>YEAR(Orders_Table[[#This Row],[Order Date]])</f>
        <v>2021</v>
      </c>
      <c r="D359" s="9">
        <f>MONTH(Orders_Table[[#This Row],[Order Date]])</f>
        <v>9</v>
      </c>
      <c r="E359" s="9" t="str" cm="1">
        <f t="array" ref="E3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59" s="2" t="s">
        <v>768</v>
      </c>
      <c r="G359" t="s">
        <v>218</v>
      </c>
      <c r="H359" s="2">
        <v>6</v>
      </c>
      <c r="I359" s="2" t="str" cm="1">
        <f t="array" ref="I359">_xlfn.XLOOKUP(F359,Customers!A358:$A$1001,Customers!B358:$B$1001,"Not Found",0)</f>
        <v>Enriqueta Ixor</v>
      </c>
      <c r="J359" s="2" t="str" cm="1">
        <f t="array" ref="J359">IF(_xlfn.XLOOKUP(F359,Customers!A358:$A$1001,Customers!C358:$C$1001,"Not Found",0)=0,"",_xlfn.XLOOKUP(F359,Customers!A358:$A$1001,Customers!C358:$C$1001,"Not Found",0))</f>
        <v/>
      </c>
      <c r="K359" s="2" t="str" cm="1">
        <f t="array" ref="K359">_xlfn.XLOOKUP(F359,Customers!A358:$A$1001,Customers!G358:$G$1001,"Not Found",0)</f>
        <v>United States</v>
      </c>
      <c r="L359" t="str">
        <f>INDEX(Products!$A$1:$G$49,MATCH(Orders!$G359,Products!$A$1:$A$49,0),MATCH(Orders!L$1,Products!$A$1:$G$1,0))</f>
        <v>Ara</v>
      </c>
      <c r="M359" t="str">
        <f>INDEX(Products!$A$1:$G$49,MATCH(Orders!$G359,Products!$A$1:$A$49,0),MATCH(Orders!M$1,Products!$A$1:$G$1,0))</f>
        <v>M</v>
      </c>
      <c r="N359" s="4">
        <f>INDEX(Products!$A$1:$G$49,MATCH(Orders!$G359,Products!$A$1:$A$49,0),MATCH(Orders!N$1,Products!$A$1:$G$1,0))</f>
        <v>2.5</v>
      </c>
      <c r="O359" s="7">
        <f>INDEX(Products!$A$1:$G$49,MATCH(Orders!$G359,Products!$A$1:$A$49,0),MATCH(Orders!O$1,Products!$A$1:$G$1,0))</f>
        <v>25.874999999999996</v>
      </c>
      <c r="P359" s="7">
        <f t="shared" si="5"/>
        <v>155.24999999999997</v>
      </c>
      <c r="Q359" t="str" cm="1">
        <f t="array" ref="Q359">_xlfn.IFS(L359="Rob","Robusta",L359="Exc", "Excelsa",L359="Ara", "Arabica",L359="Lib", "Liberica")</f>
        <v>Arabica</v>
      </c>
      <c r="R359" t="str" cm="1">
        <f t="array" ref="R359">_xlfn.IFS(M359="M","Medium",M359="L","Light",M359="D","Dark")</f>
        <v>Medium</v>
      </c>
    </row>
    <row r="360" spans="1:18">
      <c r="A360" s="2" t="s">
        <v>769</v>
      </c>
      <c r="B360" s="3">
        <v>43599</v>
      </c>
      <c r="C360" s="9">
        <f>YEAR(Orders_Table[[#This Row],[Order Date]])</f>
        <v>2019</v>
      </c>
      <c r="D360" s="9">
        <f>MONTH(Orders_Table[[#This Row],[Order Date]])</f>
        <v>5</v>
      </c>
      <c r="E360" s="9" t="str" cm="1">
        <f t="array" ref="E3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60" s="2" t="s">
        <v>770</v>
      </c>
      <c r="G360" t="s">
        <v>251</v>
      </c>
      <c r="H360" s="2">
        <v>1</v>
      </c>
      <c r="I360" s="2" t="str" cm="1">
        <f t="array" ref="I360">_xlfn.XLOOKUP(F360,Customers!A359:$A$1001,Customers!B359:$B$1001,"Not Found",0)</f>
        <v>Tomasina Cotmore</v>
      </c>
      <c r="J360" s="2" t="str" cm="1">
        <f t="array" ref="J360">IF(_xlfn.XLOOKUP(F360,Customers!A359:$A$1001,Customers!C359:$C$1001,"Not Found",0)=0,"",_xlfn.XLOOKUP(F360,Customers!A359:$A$1001,Customers!C359:$C$1001,"Not Found",0))</f>
        <v>tcotmore9y@amazonaws.com</v>
      </c>
      <c r="K360" s="2" t="str" cm="1">
        <f t="array" ref="K360">_xlfn.XLOOKUP(F360,Customers!A359:$A$1001,Customers!G359:$G$1001,"Not Found",0)</f>
        <v>United States</v>
      </c>
      <c r="L360" t="str">
        <f>INDEX(Products!$A$1:$G$49,MATCH(Orders!$G360,Products!$A$1:$A$49,0),MATCH(Orders!L$1,Products!$A$1:$G$1,0))</f>
        <v>Ara</v>
      </c>
      <c r="M360" t="str">
        <f>INDEX(Products!$A$1:$G$49,MATCH(Orders!$G360,Products!$A$1:$A$49,0),MATCH(Orders!M$1,Products!$A$1:$G$1,0))</f>
        <v>L</v>
      </c>
      <c r="N360" s="4">
        <f>INDEX(Products!$A$1:$G$49,MATCH(Orders!$G360,Products!$A$1:$A$49,0),MATCH(Orders!N$1,Products!$A$1:$G$1,0))</f>
        <v>2.5</v>
      </c>
      <c r="O360" s="7">
        <f>INDEX(Products!$A$1:$G$49,MATCH(Orders!$G360,Products!$A$1:$A$49,0),MATCH(Orders!O$1,Products!$A$1:$G$1,0))</f>
        <v>29.784999999999997</v>
      </c>
      <c r="P360" s="7">
        <f t="shared" si="5"/>
        <v>29.784999999999997</v>
      </c>
      <c r="Q360" t="str" cm="1">
        <f t="array" ref="Q360">_xlfn.IFS(L360="Rob","Robusta",L360="Exc", "Excelsa",L360="Ara", "Arabica",L360="Lib", "Liberica")</f>
        <v>Arabica</v>
      </c>
      <c r="R360" t="str" cm="1">
        <f t="array" ref="R360">_xlfn.IFS(M360="M","Medium",M360="L","Light",M360="D","Dark")</f>
        <v>Light</v>
      </c>
    </row>
    <row r="361" spans="1:18">
      <c r="A361" s="2" t="s">
        <v>771</v>
      </c>
      <c r="B361" s="3">
        <v>43563</v>
      </c>
      <c r="C361" s="9">
        <f>YEAR(Orders_Table[[#This Row],[Order Date]])</f>
        <v>2019</v>
      </c>
      <c r="D361" s="9">
        <f>MONTH(Orders_Table[[#This Row],[Order Date]])</f>
        <v>4</v>
      </c>
      <c r="E361" s="9" t="str" cm="1">
        <f t="array" ref="E3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361" s="2" t="s">
        <v>772</v>
      </c>
      <c r="G361" t="s">
        <v>229</v>
      </c>
      <c r="H361" s="2">
        <v>6</v>
      </c>
      <c r="I361" s="2" t="str" cm="1">
        <f t="array" ref="I361">_xlfn.XLOOKUP(F361,Customers!A360:$A$1001,Customers!B360:$B$1001,"Not Found",0)</f>
        <v>Yuma Skipsey</v>
      </c>
      <c r="J361" s="2" t="str" cm="1">
        <f t="array" ref="J361">IF(_xlfn.XLOOKUP(F361,Customers!A360:$A$1001,Customers!C360:$C$1001,"Not Found",0)=0,"",_xlfn.XLOOKUP(F361,Customers!A360:$A$1001,Customers!C360:$C$1001,"Not Found",0))</f>
        <v>yskipsey9z@spotify.com</v>
      </c>
      <c r="K361" s="2" t="str" cm="1">
        <f t="array" ref="K361">_xlfn.XLOOKUP(F361,Customers!A360:$A$1001,Customers!G360:$G$1001,"Not Found",0)</f>
        <v>United Kingdom</v>
      </c>
      <c r="L361" t="str">
        <f>INDEX(Products!$A$1:$G$49,MATCH(Orders!$G361,Products!$A$1:$A$49,0),MATCH(Orders!L$1,Products!$A$1:$G$1,0))</f>
        <v>Rob</v>
      </c>
      <c r="M361" t="str">
        <f>INDEX(Products!$A$1:$G$49,MATCH(Orders!$G361,Products!$A$1:$A$49,0),MATCH(Orders!M$1,Products!$A$1:$G$1,0))</f>
        <v>L</v>
      </c>
      <c r="N361" s="4">
        <f>INDEX(Products!$A$1:$G$49,MATCH(Orders!$G361,Products!$A$1:$A$49,0),MATCH(Orders!N$1,Products!$A$1:$G$1,0))</f>
        <v>0.2</v>
      </c>
      <c r="O361" s="7">
        <f>INDEX(Products!$A$1:$G$49,MATCH(Orders!$G361,Products!$A$1:$A$49,0),MATCH(Orders!O$1,Products!$A$1:$G$1,0))</f>
        <v>3.5849999999999995</v>
      </c>
      <c r="P361" s="7">
        <f t="shared" si="5"/>
        <v>21.509999999999998</v>
      </c>
      <c r="Q361" t="str" cm="1">
        <f t="array" ref="Q361">_xlfn.IFS(L361="Rob","Robusta",L361="Exc", "Excelsa",L361="Ara", "Arabica",L361="Lib", "Liberica")</f>
        <v>Robusta</v>
      </c>
      <c r="R361" t="str" cm="1">
        <f t="array" ref="R361">_xlfn.IFS(M361="M","Medium",M361="L","Light",M361="D","Dark")</f>
        <v>Light</v>
      </c>
    </row>
    <row r="362" spans="1:18">
      <c r="A362" s="2" t="s">
        <v>773</v>
      </c>
      <c r="B362" s="3">
        <v>44058</v>
      </c>
      <c r="C362" s="9">
        <f>YEAR(Orders_Table[[#This Row],[Order Date]])</f>
        <v>2020</v>
      </c>
      <c r="D362" s="9">
        <f>MONTH(Orders_Table[[#This Row],[Order Date]])</f>
        <v>8</v>
      </c>
      <c r="E362" s="9" t="str" cm="1">
        <f t="array" ref="E3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62" s="2" t="s">
        <v>774</v>
      </c>
      <c r="G362" t="s">
        <v>82</v>
      </c>
      <c r="H362" s="2">
        <v>2</v>
      </c>
      <c r="I362" s="2" t="str" cm="1">
        <f t="array" ref="I362">_xlfn.XLOOKUP(F362,Customers!A361:$A$1001,Customers!B361:$B$1001,"Not Found",0)</f>
        <v>Nicko Corps</v>
      </c>
      <c r="J362" s="2" t="str" cm="1">
        <f t="array" ref="J362">IF(_xlfn.XLOOKUP(F362,Customers!A361:$A$1001,Customers!C361:$C$1001,"Not Found",0)=0,"",_xlfn.XLOOKUP(F362,Customers!A361:$A$1001,Customers!C361:$C$1001,"Not Found",0))</f>
        <v>ncorpsa0@gmpg.org</v>
      </c>
      <c r="K362" s="2" t="str" cm="1">
        <f t="array" ref="K362">_xlfn.XLOOKUP(F362,Customers!A361:$A$1001,Customers!G361:$G$1001,"Not Found",0)</f>
        <v>United States</v>
      </c>
      <c r="L362" t="str">
        <f>INDEX(Products!$A$1:$G$49,MATCH(Orders!$G362,Products!$A$1:$A$49,0),MATCH(Orders!L$1,Products!$A$1:$G$1,0))</f>
        <v>Rob</v>
      </c>
      <c r="M362" t="str">
        <f>INDEX(Products!$A$1:$G$49,MATCH(Orders!$G362,Products!$A$1:$A$49,0),MATCH(Orders!M$1,Products!$A$1:$G$1,0))</f>
        <v>D</v>
      </c>
      <c r="N362" s="4">
        <f>INDEX(Products!$A$1:$G$49,MATCH(Orders!$G362,Products!$A$1:$A$49,0),MATCH(Orders!N$1,Products!$A$1:$G$1,0))</f>
        <v>2.5</v>
      </c>
      <c r="O362" s="7">
        <f>INDEX(Products!$A$1:$G$49,MATCH(Orders!$G362,Products!$A$1:$A$49,0),MATCH(Orders!O$1,Products!$A$1:$G$1,0))</f>
        <v>20.584999999999997</v>
      </c>
      <c r="P362" s="7">
        <f t="shared" si="5"/>
        <v>41.169999999999995</v>
      </c>
      <c r="Q362" t="str" cm="1">
        <f t="array" ref="Q362">_xlfn.IFS(L362="Rob","Robusta",L362="Exc", "Excelsa",L362="Ara", "Arabica",L362="Lib", "Liberica")</f>
        <v>Robusta</v>
      </c>
      <c r="R362" t="str" cm="1">
        <f t="array" ref="R362">_xlfn.IFS(M362="M","Medium",M362="L","Light",M362="D","Dark")</f>
        <v>Dark</v>
      </c>
    </row>
    <row r="363" spans="1:18">
      <c r="A363" s="2" t="s">
        <v>773</v>
      </c>
      <c r="B363" s="3">
        <v>44058</v>
      </c>
      <c r="C363" s="9">
        <f>YEAR(Orders_Table[[#This Row],[Order Date]])</f>
        <v>2020</v>
      </c>
      <c r="D363" s="9">
        <f>MONTH(Orders_Table[[#This Row],[Order Date]])</f>
        <v>8</v>
      </c>
      <c r="E363" s="9" t="str" cm="1">
        <f t="array" ref="E3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63" s="2" t="s">
        <v>774</v>
      </c>
      <c r="G363" t="s">
        <v>69</v>
      </c>
      <c r="H363" s="2">
        <v>1</v>
      </c>
      <c r="I363" s="2" t="str" cm="1">
        <f t="array" ref="I363">_xlfn.XLOOKUP(F363,Customers!A362:$A$1001,Customers!B362:$B$1001,"Not Found",0)</f>
        <v>Nicko Corps</v>
      </c>
      <c r="J363" s="2" t="str" cm="1">
        <f t="array" ref="J363">IF(_xlfn.XLOOKUP(F363,Customers!A362:$A$1001,Customers!C362:$C$1001,"Not Found",0)=0,"",_xlfn.XLOOKUP(F363,Customers!A362:$A$1001,Customers!C362:$C$1001,"Not Found",0))</f>
        <v>ncorpsa0@gmpg.org</v>
      </c>
      <c r="K363" s="2" t="str" cm="1">
        <f t="array" ref="K363">_xlfn.XLOOKUP(F363,Customers!A362:$A$1001,Customers!G362:$G$1001,"Not Found",0)</f>
        <v>United States</v>
      </c>
      <c r="L363" t="str">
        <f>INDEX(Products!$A$1:$G$49,MATCH(Orders!$G363,Products!$A$1:$A$49,0),MATCH(Orders!L$1,Products!$A$1:$G$1,0))</f>
        <v>Rob</v>
      </c>
      <c r="M363" t="str">
        <f>INDEX(Products!$A$1:$G$49,MATCH(Orders!$G363,Products!$A$1:$A$49,0),MATCH(Orders!M$1,Products!$A$1:$G$1,0))</f>
        <v>M</v>
      </c>
      <c r="N363" s="4">
        <f>INDEX(Products!$A$1:$G$49,MATCH(Orders!$G363,Products!$A$1:$A$49,0),MATCH(Orders!N$1,Products!$A$1:$G$1,0))</f>
        <v>0.5</v>
      </c>
      <c r="O363" s="7">
        <f>INDEX(Products!$A$1:$G$49,MATCH(Orders!$G363,Products!$A$1:$A$49,0),MATCH(Orders!O$1,Products!$A$1:$G$1,0))</f>
        <v>5.97</v>
      </c>
      <c r="P363" s="7">
        <f t="shared" si="5"/>
        <v>5.97</v>
      </c>
      <c r="Q363" t="str" cm="1">
        <f t="array" ref="Q363">_xlfn.IFS(L363="Rob","Robusta",L363="Exc", "Excelsa",L363="Ara", "Arabica",L363="Lib", "Liberica")</f>
        <v>Robusta</v>
      </c>
      <c r="R363" t="str" cm="1">
        <f t="array" ref="R363">_xlfn.IFS(M363="M","Medium",M363="L","Light",M363="D","Dark")</f>
        <v>Medium</v>
      </c>
    </row>
    <row r="364" spans="1:18">
      <c r="A364" s="2" t="s">
        <v>775</v>
      </c>
      <c r="B364" s="3">
        <v>44686</v>
      </c>
      <c r="C364" s="9">
        <f>YEAR(Orders_Table[[#This Row],[Order Date]])</f>
        <v>2022</v>
      </c>
      <c r="D364" s="9">
        <f>MONTH(Orders_Table[[#This Row],[Order Date]])</f>
        <v>5</v>
      </c>
      <c r="E364" s="9" t="str" cm="1">
        <f t="array" ref="E3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64" s="2" t="s">
        <v>776</v>
      </c>
      <c r="G364" t="s">
        <v>184</v>
      </c>
      <c r="H364" s="2">
        <v>5</v>
      </c>
      <c r="I364" s="2" t="str" cm="1">
        <f t="array" ref="I364">_xlfn.XLOOKUP(F364,Customers!A363:$A$1001,Customers!B363:$B$1001,"Not Found",0)</f>
        <v>Feliks Babber</v>
      </c>
      <c r="J364" s="2" t="str" cm="1">
        <f t="array" ref="J364">IF(_xlfn.XLOOKUP(F364,Customers!A363:$A$1001,Customers!C363:$C$1001,"Not Found",0)=0,"",_xlfn.XLOOKUP(F364,Customers!A363:$A$1001,Customers!C363:$C$1001,"Not Found",0))</f>
        <v>fbabbera2@stanford.edu</v>
      </c>
      <c r="K364" s="2" t="str" cm="1">
        <f t="array" ref="K364">_xlfn.XLOOKUP(F364,Customers!A363:$A$1001,Customers!G363:$G$1001,"Not Found",0)</f>
        <v>United States</v>
      </c>
      <c r="L364" t="str">
        <f>INDEX(Products!$A$1:$G$49,MATCH(Orders!$G364,Products!$A$1:$A$49,0),MATCH(Orders!L$1,Products!$A$1:$G$1,0))</f>
        <v>Exc</v>
      </c>
      <c r="M364" t="str">
        <f>INDEX(Products!$A$1:$G$49,MATCH(Orders!$G364,Products!$A$1:$A$49,0),MATCH(Orders!M$1,Products!$A$1:$G$1,0))</f>
        <v>L</v>
      </c>
      <c r="N364" s="4">
        <f>INDEX(Products!$A$1:$G$49,MATCH(Orders!$G364,Products!$A$1:$A$49,0),MATCH(Orders!N$1,Products!$A$1:$G$1,0))</f>
        <v>1</v>
      </c>
      <c r="O364" s="7">
        <f>INDEX(Products!$A$1:$G$49,MATCH(Orders!$G364,Products!$A$1:$A$49,0),MATCH(Orders!O$1,Products!$A$1:$G$1,0))</f>
        <v>14.85</v>
      </c>
      <c r="P364" s="7">
        <f t="shared" si="5"/>
        <v>74.25</v>
      </c>
      <c r="Q364" t="str" cm="1">
        <f t="array" ref="Q364">_xlfn.IFS(L364="Rob","Robusta",L364="Exc", "Excelsa",L364="Ara", "Arabica",L364="Lib", "Liberica")</f>
        <v>Excelsa</v>
      </c>
      <c r="R364" t="str" cm="1">
        <f t="array" ref="R364">_xlfn.IFS(M364="M","Medium",M364="L","Light",M364="D","Dark")</f>
        <v>Light</v>
      </c>
    </row>
    <row r="365" spans="1:18">
      <c r="A365" s="2" t="s">
        <v>777</v>
      </c>
      <c r="B365" s="3">
        <v>44282</v>
      </c>
      <c r="C365" s="9">
        <f>YEAR(Orders_Table[[#This Row],[Order Date]])</f>
        <v>2021</v>
      </c>
      <c r="D365" s="9">
        <f>MONTH(Orders_Table[[#This Row],[Order Date]])</f>
        <v>3</v>
      </c>
      <c r="E365" s="9" t="str" cm="1">
        <f t="array" ref="E3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65" s="2" t="s">
        <v>778</v>
      </c>
      <c r="G365" t="s">
        <v>143</v>
      </c>
      <c r="H365" s="2">
        <v>6</v>
      </c>
      <c r="I365" s="2" t="str" cm="1">
        <f t="array" ref="I365">_xlfn.XLOOKUP(F365,Customers!A364:$A$1001,Customers!B364:$B$1001,"Not Found",0)</f>
        <v>Kaja Loxton</v>
      </c>
      <c r="J365" s="2" t="str" cm="1">
        <f t="array" ref="J365">IF(_xlfn.XLOOKUP(F365,Customers!A364:$A$1001,Customers!C364:$C$1001,"Not Found",0)=0,"",_xlfn.XLOOKUP(F365,Customers!A364:$A$1001,Customers!C364:$C$1001,"Not Found",0))</f>
        <v>kloxtona3@opensource.org</v>
      </c>
      <c r="K365" s="2" t="str" cm="1">
        <f t="array" ref="K365">_xlfn.XLOOKUP(F365,Customers!A364:$A$1001,Customers!G364:$G$1001,"Not Found",0)</f>
        <v>United States</v>
      </c>
      <c r="L365" t="str">
        <f>INDEX(Products!$A$1:$G$49,MATCH(Orders!$G365,Products!$A$1:$A$49,0),MATCH(Orders!L$1,Products!$A$1:$G$1,0))</f>
        <v>Lib</v>
      </c>
      <c r="M365" t="str">
        <f>INDEX(Products!$A$1:$G$49,MATCH(Orders!$G365,Products!$A$1:$A$49,0),MATCH(Orders!M$1,Products!$A$1:$G$1,0))</f>
        <v>M</v>
      </c>
      <c r="N365" s="4">
        <f>INDEX(Products!$A$1:$G$49,MATCH(Orders!$G365,Products!$A$1:$A$49,0),MATCH(Orders!N$1,Products!$A$1:$G$1,0))</f>
        <v>1</v>
      </c>
      <c r="O365" s="7">
        <f>INDEX(Products!$A$1:$G$49,MATCH(Orders!$G365,Products!$A$1:$A$49,0),MATCH(Orders!O$1,Products!$A$1:$G$1,0))</f>
        <v>14.55</v>
      </c>
      <c r="P365" s="7">
        <f t="shared" si="5"/>
        <v>87.300000000000011</v>
      </c>
      <c r="Q365" t="str" cm="1">
        <f t="array" ref="Q365">_xlfn.IFS(L365="Rob","Robusta",L365="Exc", "Excelsa",L365="Ara", "Arabica",L365="Lib", "Liberica")</f>
        <v>Liberica</v>
      </c>
      <c r="R365" t="str" cm="1">
        <f t="array" ref="R365">_xlfn.IFS(M365="M","Medium",M365="L","Light",M365="D","Dark")</f>
        <v>Medium</v>
      </c>
    </row>
    <row r="366" spans="1:18">
      <c r="A366" s="2" t="s">
        <v>779</v>
      </c>
      <c r="B366" s="3">
        <v>43582</v>
      </c>
      <c r="C366" s="9">
        <f>YEAR(Orders_Table[[#This Row],[Order Date]])</f>
        <v>2019</v>
      </c>
      <c r="D366" s="9">
        <f>MONTH(Orders_Table[[#This Row],[Order Date]])</f>
        <v>4</v>
      </c>
      <c r="E366" s="9" t="str" cm="1">
        <f t="array" ref="E3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366" s="2" t="s">
        <v>780</v>
      </c>
      <c r="G366" t="s">
        <v>292</v>
      </c>
      <c r="H366" s="2">
        <v>6</v>
      </c>
      <c r="I366" s="2" t="str" cm="1">
        <f t="array" ref="I366">_xlfn.XLOOKUP(F366,Customers!A365:$A$1001,Customers!B365:$B$1001,"Not Found",0)</f>
        <v>Parker Tofful</v>
      </c>
      <c r="J366" s="2" t="str" cm="1">
        <f t="array" ref="J366">IF(_xlfn.XLOOKUP(F366,Customers!A365:$A$1001,Customers!C365:$C$1001,"Not Found",0)=0,"",_xlfn.XLOOKUP(F366,Customers!A365:$A$1001,Customers!C365:$C$1001,"Not Found",0))</f>
        <v>ptoffula4@posterous.com</v>
      </c>
      <c r="K366" s="2" t="str" cm="1">
        <f t="array" ref="K366">_xlfn.XLOOKUP(F366,Customers!A365:$A$1001,Customers!G365:$G$1001,"Not Found",0)</f>
        <v>United States</v>
      </c>
      <c r="L366" t="str">
        <f>INDEX(Products!$A$1:$G$49,MATCH(Orders!$G366,Products!$A$1:$A$49,0),MATCH(Orders!L$1,Products!$A$1:$G$1,0))</f>
        <v>Exc</v>
      </c>
      <c r="M366" t="str">
        <f>INDEX(Products!$A$1:$G$49,MATCH(Orders!$G366,Products!$A$1:$A$49,0),MATCH(Orders!M$1,Products!$A$1:$G$1,0))</f>
        <v>D</v>
      </c>
      <c r="N366" s="4">
        <f>INDEX(Products!$A$1:$G$49,MATCH(Orders!$G366,Products!$A$1:$A$49,0),MATCH(Orders!N$1,Products!$A$1:$G$1,0))</f>
        <v>1</v>
      </c>
      <c r="O366" s="7">
        <f>INDEX(Products!$A$1:$G$49,MATCH(Orders!$G366,Products!$A$1:$A$49,0),MATCH(Orders!O$1,Products!$A$1:$G$1,0))</f>
        <v>12.15</v>
      </c>
      <c r="P366" s="7">
        <f t="shared" si="5"/>
        <v>72.900000000000006</v>
      </c>
      <c r="Q366" t="str" cm="1">
        <f t="array" ref="Q366">_xlfn.IFS(L366="Rob","Robusta",L366="Exc", "Excelsa",L366="Ara", "Arabica",L366="Lib", "Liberica")</f>
        <v>Excelsa</v>
      </c>
      <c r="R366" t="str" cm="1">
        <f t="array" ref="R366">_xlfn.IFS(M366="M","Medium",M366="L","Light",M366="D","Dark")</f>
        <v>Dark</v>
      </c>
    </row>
    <row r="367" spans="1:18">
      <c r="A367" s="2" t="s">
        <v>781</v>
      </c>
      <c r="B367" s="3">
        <v>44464</v>
      </c>
      <c r="C367" s="9">
        <f>YEAR(Orders_Table[[#This Row],[Order Date]])</f>
        <v>2021</v>
      </c>
      <c r="D367" s="9">
        <f>MONTH(Orders_Table[[#This Row],[Order Date]])</f>
        <v>9</v>
      </c>
      <c r="E367" s="9" t="str" cm="1">
        <f t="array" ref="E3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67" s="2" t="s">
        <v>782</v>
      </c>
      <c r="G367" t="s">
        <v>170</v>
      </c>
      <c r="H367" s="2">
        <v>1</v>
      </c>
      <c r="I367" s="2" t="str" cm="1">
        <f t="array" ref="I367">_xlfn.XLOOKUP(F367,Customers!A366:$A$1001,Customers!B366:$B$1001,"Not Found",0)</f>
        <v>Casi Gwinnett</v>
      </c>
      <c r="J367" s="2" t="str" cm="1">
        <f t="array" ref="J367">IF(_xlfn.XLOOKUP(F367,Customers!A366:$A$1001,Customers!C366:$C$1001,"Not Found",0)=0,"",_xlfn.XLOOKUP(F367,Customers!A366:$A$1001,Customers!C366:$C$1001,"Not Found",0))</f>
        <v>cgwinnetta5@behance.net</v>
      </c>
      <c r="K367" s="2" t="str" cm="1">
        <f t="array" ref="K367">_xlfn.XLOOKUP(F367,Customers!A366:$A$1001,Customers!G366:$G$1001,"Not Found",0)</f>
        <v>United States</v>
      </c>
      <c r="L367" t="str">
        <f>INDEX(Products!$A$1:$G$49,MATCH(Orders!$G367,Products!$A$1:$A$49,0),MATCH(Orders!L$1,Products!$A$1:$G$1,0))</f>
        <v>Lib</v>
      </c>
      <c r="M367" t="str">
        <f>INDEX(Products!$A$1:$G$49,MATCH(Orders!$G367,Products!$A$1:$A$49,0),MATCH(Orders!M$1,Products!$A$1:$G$1,0))</f>
        <v>D</v>
      </c>
      <c r="N367" s="4">
        <f>INDEX(Products!$A$1:$G$49,MATCH(Orders!$G367,Products!$A$1:$A$49,0),MATCH(Orders!N$1,Products!$A$1:$G$1,0))</f>
        <v>0.5</v>
      </c>
      <c r="O367" s="7">
        <f>INDEX(Products!$A$1:$G$49,MATCH(Orders!$G367,Products!$A$1:$A$49,0),MATCH(Orders!O$1,Products!$A$1:$G$1,0))</f>
        <v>7.77</v>
      </c>
      <c r="P367" s="7">
        <f t="shared" si="5"/>
        <v>7.77</v>
      </c>
      <c r="Q367" t="str" cm="1">
        <f t="array" ref="Q367">_xlfn.IFS(L367="Rob","Robusta",L367="Exc", "Excelsa",L367="Ara", "Arabica",L367="Lib", "Liberica")</f>
        <v>Liberica</v>
      </c>
      <c r="R367" t="str" cm="1">
        <f t="array" ref="R367">_xlfn.IFS(M367="M","Medium",M367="L","Light",M367="D","Dark")</f>
        <v>Dark</v>
      </c>
    </row>
    <row r="368" spans="1:18">
      <c r="A368" s="2" t="s">
        <v>783</v>
      </c>
      <c r="B368" s="3">
        <v>43874</v>
      </c>
      <c r="C368" s="9">
        <f>YEAR(Orders_Table[[#This Row],[Order Date]])</f>
        <v>2020</v>
      </c>
      <c r="D368" s="9">
        <f>MONTH(Orders_Table[[#This Row],[Order Date]])</f>
        <v>2</v>
      </c>
      <c r="E368" s="9" t="str" cm="1">
        <f t="array" ref="E3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68" s="2" t="s">
        <v>784</v>
      </c>
      <c r="G368" t="s">
        <v>63</v>
      </c>
      <c r="H368" s="2">
        <v>6</v>
      </c>
      <c r="I368" s="2" t="str" cm="1">
        <f t="array" ref="I368">_xlfn.XLOOKUP(F368,Customers!A367:$A$1001,Customers!B367:$B$1001,"Not Found",0)</f>
        <v>Saree Ellesworth</v>
      </c>
      <c r="J368" s="2" t="str" cm="1">
        <f t="array" ref="J368">IF(_xlfn.XLOOKUP(F368,Customers!A367:$A$1001,Customers!C367:$C$1001,"Not Found",0)=0,"",_xlfn.XLOOKUP(F368,Customers!A367:$A$1001,Customers!C367:$C$1001,"Not Found",0))</f>
        <v/>
      </c>
      <c r="K368" s="2" t="str" cm="1">
        <f t="array" ref="K368">_xlfn.XLOOKUP(F368,Customers!A367:$A$1001,Customers!G367:$G$1001,"Not Found",0)</f>
        <v>United States</v>
      </c>
      <c r="L368" t="str">
        <f>INDEX(Products!$A$1:$G$49,MATCH(Orders!$G368,Products!$A$1:$A$49,0),MATCH(Orders!L$1,Products!$A$1:$G$1,0))</f>
        <v>Exc</v>
      </c>
      <c r="M368" t="str">
        <f>INDEX(Products!$A$1:$G$49,MATCH(Orders!$G368,Products!$A$1:$A$49,0),MATCH(Orders!M$1,Products!$A$1:$G$1,0))</f>
        <v>D</v>
      </c>
      <c r="N368" s="4">
        <f>INDEX(Products!$A$1:$G$49,MATCH(Orders!$G368,Products!$A$1:$A$49,0),MATCH(Orders!N$1,Products!$A$1:$G$1,0))</f>
        <v>0.5</v>
      </c>
      <c r="O368" s="7">
        <f>INDEX(Products!$A$1:$G$49,MATCH(Orders!$G368,Products!$A$1:$A$49,0),MATCH(Orders!O$1,Products!$A$1:$G$1,0))</f>
        <v>7.29</v>
      </c>
      <c r="P368" s="7">
        <f t="shared" si="5"/>
        <v>43.74</v>
      </c>
      <c r="Q368" t="str" cm="1">
        <f t="array" ref="Q368">_xlfn.IFS(L368="Rob","Robusta",L368="Exc", "Excelsa",L368="Ara", "Arabica",L368="Lib", "Liberica")</f>
        <v>Excelsa</v>
      </c>
      <c r="R368" t="str" cm="1">
        <f t="array" ref="R368">_xlfn.IFS(M368="M","Medium",M368="L","Light",M368="D","Dark")</f>
        <v>Dark</v>
      </c>
    </row>
    <row r="369" spans="1:18">
      <c r="A369" s="2" t="s">
        <v>785</v>
      </c>
      <c r="B369" s="3">
        <v>44393</v>
      </c>
      <c r="C369" s="9">
        <f>YEAR(Orders_Table[[#This Row],[Order Date]])</f>
        <v>2021</v>
      </c>
      <c r="D369" s="9">
        <f>MONTH(Orders_Table[[#This Row],[Order Date]])</f>
        <v>7</v>
      </c>
      <c r="E369" s="9" t="str" cm="1">
        <f t="array" ref="E3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369" s="2" t="s">
        <v>786</v>
      </c>
      <c r="G369" t="s">
        <v>124</v>
      </c>
      <c r="H369" s="2">
        <v>2</v>
      </c>
      <c r="I369" s="2" t="str" cm="1">
        <f t="array" ref="I369">_xlfn.XLOOKUP(F369,Customers!A368:$A$1001,Customers!B368:$B$1001,"Not Found",0)</f>
        <v>Silvio Iorizzi</v>
      </c>
      <c r="J369" s="2" t="str" cm="1">
        <f t="array" ref="J369">IF(_xlfn.XLOOKUP(F369,Customers!A368:$A$1001,Customers!C368:$C$1001,"Not Found",0)=0,"",_xlfn.XLOOKUP(F369,Customers!A368:$A$1001,Customers!C368:$C$1001,"Not Found",0))</f>
        <v/>
      </c>
      <c r="K369" s="2" t="str" cm="1">
        <f t="array" ref="K369">_xlfn.XLOOKUP(F369,Customers!A368:$A$1001,Customers!G368:$G$1001,"Not Found",0)</f>
        <v>United States</v>
      </c>
      <c r="L369" t="str">
        <f>INDEX(Products!$A$1:$G$49,MATCH(Orders!$G369,Products!$A$1:$A$49,0),MATCH(Orders!L$1,Products!$A$1:$G$1,0))</f>
        <v>Lib</v>
      </c>
      <c r="M369" t="str">
        <f>INDEX(Products!$A$1:$G$49,MATCH(Orders!$G369,Products!$A$1:$A$49,0),MATCH(Orders!M$1,Products!$A$1:$G$1,0))</f>
        <v>M</v>
      </c>
      <c r="N369" s="4">
        <f>INDEX(Products!$A$1:$G$49,MATCH(Orders!$G369,Products!$A$1:$A$49,0),MATCH(Orders!N$1,Products!$A$1:$G$1,0))</f>
        <v>0.2</v>
      </c>
      <c r="O369" s="7">
        <f>INDEX(Products!$A$1:$G$49,MATCH(Orders!$G369,Products!$A$1:$A$49,0),MATCH(Orders!O$1,Products!$A$1:$G$1,0))</f>
        <v>4.3650000000000002</v>
      </c>
      <c r="P369" s="7">
        <f t="shared" si="5"/>
        <v>8.73</v>
      </c>
      <c r="Q369" t="str" cm="1">
        <f t="array" ref="Q369">_xlfn.IFS(L369="Rob","Robusta",L369="Exc", "Excelsa",L369="Ara", "Arabica",L369="Lib", "Liberica")</f>
        <v>Liberica</v>
      </c>
      <c r="R369" t="str" cm="1">
        <f t="array" ref="R369">_xlfn.IFS(M369="M","Medium",M369="L","Light",M369="D","Dark")</f>
        <v>Medium</v>
      </c>
    </row>
    <row r="370" spans="1:18">
      <c r="A370" s="2" t="s">
        <v>787</v>
      </c>
      <c r="B370" s="3">
        <v>44692</v>
      </c>
      <c r="C370" s="9">
        <f>YEAR(Orders_Table[[#This Row],[Order Date]])</f>
        <v>2022</v>
      </c>
      <c r="D370" s="9">
        <f>MONTH(Orders_Table[[#This Row],[Order Date]])</f>
        <v>5</v>
      </c>
      <c r="E370" s="9" t="str" cm="1">
        <f t="array" ref="E3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70" s="2" t="s">
        <v>788</v>
      </c>
      <c r="G370" t="s">
        <v>159</v>
      </c>
      <c r="H370" s="2">
        <v>2</v>
      </c>
      <c r="I370" s="2" t="str" cm="1">
        <f t="array" ref="I370">_xlfn.XLOOKUP(F370,Customers!A369:$A$1001,Customers!B369:$B$1001,"Not Found",0)</f>
        <v>Leesa Flaonier</v>
      </c>
      <c r="J370" s="2" t="str" cm="1">
        <f t="array" ref="J370">IF(_xlfn.XLOOKUP(F370,Customers!A369:$A$1001,Customers!C369:$C$1001,"Not Found",0)=0,"",_xlfn.XLOOKUP(F370,Customers!A369:$A$1001,Customers!C369:$C$1001,"Not Found",0))</f>
        <v>lflaoniera8@wordpress.org</v>
      </c>
      <c r="K370" s="2" t="str" cm="1">
        <f t="array" ref="K370">_xlfn.XLOOKUP(F370,Customers!A369:$A$1001,Customers!G369:$G$1001,"Not Found",0)</f>
        <v>United States</v>
      </c>
      <c r="L370" t="str">
        <f>INDEX(Products!$A$1:$G$49,MATCH(Orders!$G370,Products!$A$1:$A$49,0),MATCH(Orders!L$1,Products!$A$1:$G$1,0))</f>
        <v>Exc</v>
      </c>
      <c r="M370" t="str">
        <f>INDEX(Products!$A$1:$G$49,MATCH(Orders!$G370,Products!$A$1:$A$49,0),MATCH(Orders!M$1,Products!$A$1:$G$1,0))</f>
        <v>M</v>
      </c>
      <c r="N370" s="4">
        <f>INDEX(Products!$A$1:$G$49,MATCH(Orders!$G370,Products!$A$1:$A$49,0),MATCH(Orders!N$1,Products!$A$1:$G$1,0))</f>
        <v>2.5</v>
      </c>
      <c r="O370" s="7">
        <f>INDEX(Products!$A$1:$G$49,MATCH(Orders!$G370,Products!$A$1:$A$49,0),MATCH(Orders!O$1,Products!$A$1:$G$1,0))</f>
        <v>31.624999999999996</v>
      </c>
      <c r="P370" s="7">
        <f t="shared" si="5"/>
        <v>63.249999999999993</v>
      </c>
      <c r="Q370" t="str" cm="1">
        <f t="array" ref="Q370">_xlfn.IFS(L370="Rob","Robusta",L370="Exc", "Excelsa",L370="Ara", "Arabica",L370="Lib", "Liberica")</f>
        <v>Excelsa</v>
      </c>
      <c r="R370" t="str" cm="1">
        <f t="array" ref="R370">_xlfn.IFS(M370="M","Medium",M370="L","Light",M370="D","Dark")</f>
        <v>Medium</v>
      </c>
    </row>
    <row r="371" spans="1:18">
      <c r="A371" s="2" t="s">
        <v>789</v>
      </c>
      <c r="B371" s="3">
        <v>43500</v>
      </c>
      <c r="C371" s="9">
        <f>YEAR(Orders_Table[[#This Row],[Order Date]])</f>
        <v>2019</v>
      </c>
      <c r="D371" s="9">
        <f>MONTH(Orders_Table[[#This Row],[Order Date]])</f>
        <v>2</v>
      </c>
      <c r="E371" s="9" t="str" cm="1">
        <f t="array" ref="E3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71" s="2" t="s">
        <v>790</v>
      </c>
      <c r="G371" t="s">
        <v>223</v>
      </c>
      <c r="H371" s="2">
        <v>1</v>
      </c>
      <c r="I371" s="2" t="str" cm="1">
        <f t="array" ref="I371">_xlfn.XLOOKUP(F371,Customers!A370:$A$1001,Customers!B370:$B$1001,"Not Found",0)</f>
        <v>Abba Pummell</v>
      </c>
      <c r="J371" s="2" t="str" cm="1">
        <f t="array" ref="J371">IF(_xlfn.XLOOKUP(F371,Customers!A370:$A$1001,Customers!C370:$C$1001,"Not Found",0)=0,"",_xlfn.XLOOKUP(F371,Customers!A370:$A$1001,Customers!C370:$C$1001,"Not Found",0))</f>
        <v/>
      </c>
      <c r="K371" s="2" t="str" cm="1">
        <f t="array" ref="K371">_xlfn.XLOOKUP(F371,Customers!A370:$A$1001,Customers!G370:$G$1001,"Not Found",0)</f>
        <v>United States</v>
      </c>
      <c r="L371" t="str">
        <f>INDEX(Products!$A$1:$G$49,MATCH(Orders!$G371,Products!$A$1:$A$49,0),MATCH(Orders!L$1,Products!$A$1:$G$1,0))</f>
        <v>Exc</v>
      </c>
      <c r="M371" t="str">
        <f>INDEX(Products!$A$1:$G$49,MATCH(Orders!$G371,Products!$A$1:$A$49,0),MATCH(Orders!M$1,Products!$A$1:$G$1,0))</f>
        <v>L</v>
      </c>
      <c r="N371" s="4">
        <f>INDEX(Products!$A$1:$G$49,MATCH(Orders!$G371,Products!$A$1:$A$49,0),MATCH(Orders!N$1,Products!$A$1:$G$1,0))</f>
        <v>0.5</v>
      </c>
      <c r="O371" s="7">
        <f>INDEX(Products!$A$1:$G$49,MATCH(Orders!$G371,Products!$A$1:$A$49,0),MATCH(Orders!O$1,Products!$A$1:$G$1,0))</f>
        <v>8.91</v>
      </c>
      <c r="P371" s="7">
        <f t="shared" si="5"/>
        <v>8.91</v>
      </c>
      <c r="Q371" t="str" cm="1">
        <f t="array" ref="Q371">_xlfn.IFS(L371="Rob","Robusta",L371="Exc", "Excelsa",L371="Ara", "Arabica",L371="Lib", "Liberica")</f>
        <v>Excelsa</v>
      </c>
      <c r="R371" t="str" cm="1">
        <f t="array" ref="R371">_xlfn.IFS(M371="M","Medium",M371="L","Light",M371="D","Dark")</f>
        <v>Light</v>
      </c>
    </row>
    <row r="372" spans="1:18">
      <c r="A372" s="2" t="s">
        <v>791</v>
      </c>
      <c r="B372" s="3">
        <v>43501</v>
      </c>
      <c r="C372" s="9">
        <f>YEAR(Orders_Table[[#This Row],[Order Date]])</f>
        <v>2019</v>
      </c>
      <c r="D372" s="9">
        <f>MONTH(Orders_Table[[#This Row],[Order Date]])</f>
        <v>2</v>
      </c>
      <c r="E372" s="9" t="str" cm="1">
        <f t="array" ref="E3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72" s="2" t="s">
        <v>792</v>
      </c>
      <c r="G372" t="s">
        <v>292</v>
      </c>
      <c r="H372" s="2">
        <v>2</v>
      </c>
      <c r="I372" s="2" t="str" cm="1">
        <f t="array" ref="I372">_xlfn.XLOOKUP(F372,Customers!A371:$A$1001,Customers!B371:$B$1001,"Not Found",0)</f>
        <v>Corinna Catcheside</v>
      </c>
      <c r="J372" s="2" t="str" cm="1">
        <f t="array" ref="J372">IF(_xlfn.XLOOKUP(F372,Customers!A371:$A$1001,Customers!C371:$C$1001,"Not Found",0)=0,"",_xlfn.XLOOKUP(F372,Customers!A371:$A$1001,Customers!C371:$C$1001,"Not Found",0))</f>
        <v>ccatchesideaa@macromedia.com</v>
      </c>
      <c r="K372" s="2" t="str" cm="1">
        <f t="array" ref="K372">_xlfn.XLOOKUP(F372,Customers!A371:$A$1001,Customers!G371:$G$1001,"Not Found",0)</f>
        <v>United States</v>
      </c>
      <c r="L372" t="str">
        <f>INDEX(Products!$A$1:$G$49,MATCH(Orders!$G372,Products!$A$1:$A$49,0),MATCH(Orders!L$1,Products!$A$1:$G$1,0))</f>
        <v>Exc</v>
      </c>
      <c r="M372" t="str">
        <f>INDEX(Products!$A$1:$G$49,MATCH(Orders!$G372,Products!$A$1:$A$49,0),MATCH(Orders!M$1,Products!$A$1:$G$1,0))</f>
        <v>D</v>
      </c>
      <c r="N372" s="4">
        <f>INDEX(Products!$A$1:$G$49,MATCH(Orders!$G372,Products!$A$1:$A$49,0),MATCH(Orders!N$1,Products!$A$1:$G$1,0))</f>
        <v>1</v>
      </c>
      <c r="O372" s="7">
        <f>INDEX(Products!$A$1:$G$49,MATCH(Orders!$G372,Products!$A$1:$A$49,0),MATCH(Orders!O$1,Products!$A$1:$G$1,0))</f>
        <v>12.15</v>
      </c>
      <c r="P372" s="7">
        <f t="shared" si="5"/>
        <v>24.3</v>
      </c>
      <c r="Q372" t="str" cm="1">
        <f t="array" ref="Q372">_xlfn.IFS(L372="Rob","Robusta",L372="Exc", "Excelsa",L372="Ara", "Arabica",L372="Lib", "Liberica")</f>
        <v>Excelsa</v>
      </c>
      <c r="R372" t="str" cm="1">
        <f t="array" ref="R372">_xlfn.IFS(M372="M","Medium",M372="L","Light",M372="D","Dark")</f>
        <v>Dark</v>
      </c>
    </row>
    <row r="373" spans="1:18">
      <c r="A373" s="2" t="s">
        <v>793</v>
      </c>
      <c r="B373" s="3">
        <v>44705</v>
      </c>
      <c r="C373" s="9">
        <f>YEAR(Orders_Table[[#This Row],[Order Date]])</f>
        <v>2022</v>
      </c>
      <c r="D373" s="9">
        <f>MONTH(Orders_Table[[#This Row],[Order Date]])</f>
        <v>5</v>
      </c>
      <c r="E373" s="9" t="str" cm="1">
        <f t="array" ref="E3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73" s="2" t="s">
        <v>794</v>
      </c>
      <c r="G373" t="s">
        <v>239</v>
      </c>
      <c r="H373" s="2">
        <v>6</v>
      </c>
      <c r="I373" s="2" t="str" cm="1">
        <f t="array" ref="I373">_xlfn.XLOOKUP(F373,Customers!A372:$A$1001,Customers!B372:$B$1001,"Not Found",0)</f>
        <v>Cortney Gibbonson</v>
      </c>
      <c r="J373" s="2" t="str" cm="1">
        <f t="array" ref="J373">IF(_xlfn.XLOOKUP(F373,Customers!A372:$A$1001,Customers!C372:$C$1001,"Not Found",0)=0,"",_xlfn.XLOOKUP(F373,Customers!A372:$A$1001,Customers!C372:$C$1001,"Not Found",0))</f>
        <v>cgibbonsonab@accuweather.com</v>
      </c>
      <c r="K373" s="2" t="str" cm="1">
        <f t="array" ref="K373">_xlfn.XLOOKUP(F373,Customers!A372:$A$1001,Customers!G372:$G$1001,"Not Found",0)</f>
        <v>United States</v>
      </c>
      <c r="L373" t="str">
        <f>INDEX(Products!$A$1:$G$49,MATCH(Orders!$G373,Products!$A$1:$A$49,0),MATCH(Orders!L$1,Products!$A$1:$G$1,0))</f>
        <v>Ara</v>
      </c>
      <c r="M373" t="str">
        <f>INDEX(Products!$A$1:$G$49,MATCH(Orders!$G373,Products!$A$1:$A$49,0),MATCH(Orders!M$1,Products!$A$1:$G$1,0))</f>
        <v>L</v>
      </c>
      <c r="N373" s="4">
        <f>INDEX(Products!$A$1:$G$49,MATCH(Orders!$G373,Products!$A$1:$A$49,0),MATCH(Orders!N$1,Products!$A$1:$G$1,0))</f>
        <v>0.5</v>
      </c>
      <c r="O373" s="7">
        <f>INDEX(Products!$A$1:$G$49,MATCH(Orders!$G373,Products!$A$1:$A$49,0),MATCH(Orders!O$1,Products!$A$1:$G$1,0))</f>
        <v>7.77</v>
      </c>
      <c r="P373" s="7">
        <f t="shared" si="5"/>
        <v>46.62</v>
      </c>
      <c r="Q373" t="str" cm="1">
        <f t="array" ref="Q373">_xlfn.IFS(L373="Rob","Robusta",L373="Exc", "Excelsa",L373="Ara", "Arabica",L373="Lib", "Liberica")</f>
        <v>Arabica</v>
      </c>
      <c r="R373" t="str" cm="1">
        <f t="array" ref="R373">_xlfn.IFS(M373="M","Medium",M373="L","Light",M373="D","Dark")</f>
        <v>Light</v>
      </c>
    </row>
    <row r="374" spans="1:18">
      <c r="A374" s="2" t="s">
        <v>795</v>
      </c>
      <c r="B374" s="3">
        <v>44108</v>
      </c>
      <c r="C374" s="9">
        <f>YEAR(Orders_Table[[#This Row],[Order Date]])</f>
        <v>2020</v>
      </c>
      <c r="D374" s="9">
        <f>MONTH(Orders_Table[[#This Row],[Order Date]])</f>
        <v>10</v>
      </c>
      <c r="E374" s="9" t="str" cm="1">
        <f t="array" ref="E3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74" s="2" t="s">
        <v>796</v>
      </c>
      <c r="G374" t="s">
        <v>204</v>
      </c>
      <c r="H374" s="2">
        <v>6</v>
      </c>
      <c r="I374" s="2" t="str" cm="1">
        <f t="array" ref="I374">_xlfn.XLOOKUP(F374,Customers!A373:$A$1001,Customers!B373:$B$1001,"Not Found",0)</f>
        <v>Terri Farra</v>
      </c>
      <c r="J374" s="2" t="str" cm="1">
        <f t="array" ref="J374">IF(_xlfn.XLOOKUP(F374,Customers!A373:$A$1001,Customers!C373:$C$1001,"Not Found",0)=0,"",_xlfn.XLOOKUP(F374,Customers!A373:$A$1001,Customers!C373:$C$1001,"Not Found",0))</f>
        <v>tfarraac@behance.net</v>
      </c>
      <c r="K374" s="2" t="str" cm="1">
        <f t="array" ref="K374">_xlfn.XLOOKUP(F374,Customers!A373:$A$1001,Customers!G373:$G$1001,"Not Found",0)</f>
        <v>United States</v>
      </c>
      <c r="L374" t="str">
        <f>INDEX(Products!$A$1:$G$49,MATCH(Orders!$G374,Products!$A$1:$A$49,0),MATCH(Orders!L$1,Products!$A$1:$G$1,0))</f>
        <v>Rob</v>
      </c>
      <c r="M374" t="str">
        <f>INDEX(Products!$A$1:$G$49,MATCH(Orders!$G374,Products!$A$1:$A$49,0),MATCH(Orders!M$1,Products!$A$1:$G$1,0))</f>
        <v>L</v>
      </c>
      <c r="N374" s="4">
        <f>INDEX(Products!$A$1:$G$49,MATCH(Orders!$G374,Products!$A$1:$A$49,0),MATCH(Orders!N$1,Products!$A$1:$G$1,0))</f>
        <v>0.5</v>
      </c>
      <c r="O374" s="7">
        <f>INDEX(Products!$A$1:$G$49,MATCH(Orders!$G374,Products!$A$1:$A$49,0),MATCH(Orders!O$1,Products!$A$1:$G$1,0))</f>
        <v>7.169999999999999</v>
      </c>
      <c r="P374" s="7">
        <f t="shared" si="5"/>
        <v>43.019999999999996</v>
      </c>
      <c r="Q374" t="str" cm="1">
        <f t="array" ref="Q374">_xlfn.IFS(L374="Rob","Robusta",L374="Exc", "Excelsa",L374="Ara", "Arabica",L374="Lib", "Liberica")</f>
        <v>Robusta</v>
      </c>
      <c r="R374" t="str" cm="1">
        <f t="array" ref="R374">_xlfn.IFS(M374="M","Medium",M374="L","Light",M374="D","Dark")</f>
        <v>Light</v>
      </c>
    </row>
    <row r="375" spans="1:18">
      <c r="A375" s="2" t="s">
        <v>797</v>
      </c>
      <c r="B375" s="3">
        <v>44742</v>
      </c>
      <c r="C375" s="9">
        <f>YEAR(Orders_Table[[#This Row],[Order Date]])</f>
        <v>2022</v>
      </c>
      <c r="D375" s="9">
        <f>MONTH(Orders_Table[[#This Row],[Order Date]])</f>
        <v>6</v>
      </c>
      <c r="E375" s="9" t="str" cm="1">
        <f t="array" ref="E3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75" s="2" t="s">
        <v>798</v>
      </c>
      <c r="G375" t="s">
        <v>119</v>
      </c>
      <c r="H375" s="2">
        <v>3</v>
      </c>
      <c r="I375" s="2" t="str" cm="1">
        <f t="array" ref="I375">_xlfn.XLOOKUP(F375,Customers!A374:$A$1001,Customers!B374:$B$1001,"Not Found",0)</f>
        <v>Corney Curme</v>
      </c>
      <c r="J375" s="2" t="str" cm="1">
        <f t="array" ref="J375">IF(_xlfn.XLOOKUP(F375,Customers!A374:$A$1001,Customers!C374:$C$1001,"Not Found",0)=0,"",_xlfn.XLOOKUP(F375,Customers!A374:$A$1001,Customers!C374:$C$1001,"Not Found",0))</f>
        <v/>
      </c>
      <c r="K375" s="2" t="str" cm="1">
        <f t="array" ref="K375">_xlfn.XLOOKUP(F375,Customers!A374:$A$1001,Customers!G374:$G$1001,"Not Found",0)</f>
        <v>Ireland</v>
      </c>
      <c r="L375" t="str">
        <f>INDEX(Products!$A$1:$G$49,MATCH(Orders!$G375,Products!$A$1:$A$49,0),MATCH(Orders!L$1,Products!$A$1:$G$1,0))</f>
        <v>Ara</v>
      </c>
      <c r="M375" t="str">
        <f>INDEX(Products!$A$1:$G$49,MATCH(Orders!$G375,Products!$A$1:$A$49,0),MATCH(Orders!M$1,Products!$A$1:$G$1,0))</f>
        <v>D</v>
      </c>
      <c r="N375" s="4">
        <f>INDEX(Products!$A$1:$G$49,MATCH(Orders!$G375,Products!$A$1:$A$49,0),MATCH(Orders!N$1,Products!$A$1:$G$1,0))</f>
        <v>0.5</v>
      </c>
      <c r="O375" s="7">
        <f>INDEX(Products!$A$1:$G$49,MATCH(Orders!$G375,Products!$A$1:$A$49,0),MATCH(Orders!O$1,Products!$A$1:$G$1,0))</f>
        <v>5.97</v>
      </c>
      <c r="P375" s="7">
        <f t="shared" si="5"/>
        <v>17.91</v>
      </c>
      <c r="Q375" t="str" cm="1">
        <f t="array" ref="Q375">_xlfn.IFS(L375="Rob","Robusta",L375="Exc", "Excelsa",L375="Ara", "Arabica",L375="Lib", "Liberica")</f>
        <v>Arabica</v>
      </c>
      <c r="R375" t="str" cm="1">
        <f t="array" ref="R375">_xlfn.IFS(M375="M","Medium",M375="L","Light",M375="D","Dark")</f>
        <v>Dark</v>
      </c>
    </row>
    <row r="376" spans="1:18">
      <c r="A376" s="2" t="s">
        <v>799</v>
      </c>
      <c r="B376" s="3">
        <v>44125</v>
      </c>
      <c r="C376" s="9">
        <f>YEAR(Orders_Table[[#This Row],[Order Date]])</f>
        <v>2020</v>
      </c>
      <c r="D376" s="9">
        <f>MONTH(Orders_Table[[#This Row],[Order Date]])</f>
        <v>10</v>
      </c>
      <c r="E376" s="9" t="str" cm="1">
        <f t="array" ref="E3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76" s="2" t="s">
        <v>800</v>
      </c>
      <c r="G376" t="s">
        <v>130</v>
      </c>
      <c r="H376" s="2">
        <v>4</v>
      </c>
      <c r="I376" s="2" t="str" cm="1">
        <f t="array" ref="I376">_xlfn.XLOOKUP(F376,Customers!A375:$A$1001,Customers!B375:$B$1001,"Not Found",0)</f>
        <v>Gothart Bamfield</v>
      </c>
      <c r="J376" s="2" t="str" cm="1">
        <f t="array" ref="J376">IF(_xlfn.XLOOKUP(F376,Customers!A375:$A$1001,Customers!C375:$C$1001,"Not Found",0)=0,"",_xlfn.XLOOKUP(F376,Customers!A375:$A$1001,Customers!C375:$C$1001,"Not Found",0))</f>
        <v>gbamfieldae@yellowpages.com</v>
      </c>
      <c r="K376" s="2" t="str" cm="1">
        <f t="array" ref="K376">_xlfn.XLOOKUP(F376,Customers!A375:$A$1001,Customers!G375:$G$1001,"Not Found",0)</f>
        <v>United States</v>
      </c>
      <c r="L376" t="str">
        <f>INDEX(Products!$A$1:$G$49,MATCH(Orders!$G376,Products!$A$1:$A$49,0),MATCH(Orders!L$1,Products!$A$1:$G$1,0))</f>
        <v>Lib</v>
      </c>
      <c r="M376" t="str">
        <f>INDEX(Products!$A$1:$G$49,MATCH(Orders!$G376,Products!$A$1:$A$49,0),MATCH(Orders!M$1,Products!$A$1:$G$1,0))</f>
        <v>L</v>
      </c>
      <c r="N376" s="4">
        <f>INDEX(Products!$A$1:$G$49,MATCH(Orders!$G376,Products!$A$1:$A$49,0),MATCH(Orders!N$1,Products!$A$1:$G$1,0))</f>
        <v>0.5</v>
      </c>
      <c r="O376" s="7">
        <f>INDEX(Products!$A$1:$G$49,MATCH(Orders!$G376,Products!$A$1:$A$49,0),MATCH(Orders!O$1,Products!$A$1:$G$1,0))</f>
        <v>9.51</v>
      </c>
      <c r="P376" s="7">
        <f t="shared" si="5"/>
        <v>38.04</v>
      </c>
      <c r="Q376" t="str" cm="1">
        <f t="array" ref="Q376">_xlfn.IFS(L376="Rob","Robusta",L376="Exc", "Excelsa",L376="Ara", "Arabica",L376="Lib", "Liberica")</f>
        <v>Liberica</v>
      </c>
      <c r="R376" t="str" cm="1">
        <f t="array" ref="R376">_xlfn.IFS(M376="M","Medium",M376="L","Light",M376="D","Dark")</f>
        <v>Light</v>
      </c>
    </row>
    <row r="377" spans="1:18">
      <c r="A377" s="2" t="s">
        <v>801</v>
      </c>
      <c r="B377" s="3">
        <v>44120</v>
      </c>
      <c r="C377" s="9">
        <f>YEAR(Orders_Table[[#This Row],[Order Date]])</f>
        <v>2020</v>
      </c>
      <c r="D377" s="9">
        <f>MONTH(Orders_Table[[#This Row],[Order Date]])</f>
        <v>10</v>
      </c>
      <c r="E377" s="9" t="str" cm="1">
        <f t="array" ref="E3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77" s="2" t="s">
        <v>802</v>
      </c>
      <c r="G377" t="s">
        <v>91</v>
      </c>
      <c r="H377" s="2">
        <v>2</v>
      </c>
      <c r="I377" s="2" t="str" cm="1">
        <f t="array" ref="I377">_xlfn.XLOOKUP(F377,Customers!A376:$A$1001,Customers!B376:$B$1001,"Not Found",0)</f>
        <v>Waylin Hollingdale</v>
      </c>
      <c r="J377" s="2" t="str" cm="1">
        <f t="array" ref="J377">IF(_xlfn.XLOOKUP(F377,Customers!A376:$A$1001,Customers!C376:$C$1001,"Not Found",0)=0,"",_xlfn.XLOOKUP(F377,Customers!A376:$A$1001,Customers!C376:$C$1001,"Not Found",0))</f>
        <v>whollingdaleaf@about.me</v>
      </c>
      <c r="K377" s="2" t="str" cm="1">
        <f t="array" ref="K377">_xlfn.XLOOKUP(F377,Customers!A376:$A$1001,Customers!G376:$G$1001,"Not Found",0)</f>
        <v>United States</v>
      </c>
      <c r="L377" t="str">
        <f>INDEX(Products!$A$1:$G$49,MATCH(Orders!$G377,Products!$A$1:$A$49,0),MATCH(Orders!L$1,Products!$A$1:$G$1,0))</f>
        <v>Ara</v>
      </c>
      <c r="M377" t="str">
        <f>INDEX(Products!$A$1:$G$49,MATCH(Orders!$G377,Products!$A$1:$A$49,0),MATCH(Orders!M$1,Products!$A$1:$G$1,0))</f>
        <v>M</v>
      </c>
      <c r="N377" s="4">
        <f>INDEX(Products!$A$1:$G$49,MATCH(Orders!$G377,Products!$A$1:$A$49,0),MATCH(Orders!N$1,Products!$A$1:$G$1,0))</f>
        <v>0.2</v>
      </c>
      <c r="O377" s="7">
        <f>INDEX(Products!$A$1:$G$49,MATCH(Orders!$G377,Products!$A$1:$A$49,0),MATCH(Orders!O$1,Products!$A$1:$G$1,0))</f>
        <v>3.375</v>
      </c>
      <c r="P377" s="7">
        <f t="shared" si="5"/>
        <v>6.75</v>
      </c>
      <c r="Q377" t="str" cm="1">
        <f t="array" ref="Q377">_xlfn.IFS(L377="Rob","Robusta",L377="Exc", "Excelsa",L377="Ara", "Arabica",L377="Lib", "Liberica")</f>
        <v>Arabica</v>
      </c>
      <c r="R377" t="str" cm="1">
        <f t="array" ref="R377">_xlfn.IFS(M377="M","Medium",M377="L","Light",M377="D","Dark")</f>
        <v>Medium</v>
      </c>
    </row>
    <row r="378" spans="1:18">
      <c r="A378" s="2" t="s">
        <v>803</v>
      </c>
      <c r="B378" s="3">
        <v>44097</v>
      </c>
      <c r="C378" s="9">
        <f>YEAR(Orders_Table[[#This Row],[Order Date]])</f>
        <v>2020</v>
      </c>
      <c r="D378" s="9">
        <f>MONTH(Orders_Table[[#This Row],[Order Date]])</f>
        <v>9</v>
      </c>
      <c r="E378" s="9" t="str" cm="1">
        <f t="array" ref="E3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78" s="2" t="s">
        <v>804</v>
      </c>
      <c r="G378" t="s">
        <v>69</v>
      </c>
      <c r="H378" s="2">
        <v>1</v>
      </c>
      <c r="I378" s="2" t="str" cm="1">
        <f t="array" ref="I378">_xlfn.XLOOKUP(F378,Customers!A377:$A$1001,Customers!B377:$B$1001,"Not Found",0)</f>
        <v>Judd De Leek</v>
      </c>
      <c r="J378" s="2" t="str" cm="1">
        <f t="array" ref="J378">IF(_xlfn.XLOOKUP(F378,Customers!A377:$A$1001,Customers!C377:$C$1001,"Not Found",0)=0,"",_xlfn.XLOOKUP(F378,Customers!A377:$A$1001,Customers!C377:$C$1001,"Not Found",0))</f>
        <v>jdeag@xrea.com</v>
      </c>
      <c r="K378" s="2" t="str" cm="1">
        <f t="array" ref="K378">_xlfn.XLOOKUP(F378,Customers!A377:$A$1001,Customers!G377:$G$1001,"Not Found",0)</f>
        <v>United States</v>
      </c>
      <c r="L378" t="str">
        <f>INDEX(Products!$A$1:$G$49,MATCH(Orders!$G378,Products!$A$1:$A$49,0),MATCH(Orders!L$1,Products!$A$1:$G$1,0))</f>
        <v>Rob</v>
      </c>
      <c r="M378" t="str">
        <f>INDEX(Products!$A$1:$G$49,MATCH(Orders!$G378,Products!$A$1:$A$49,0),MATCH(Orders!M$1,Products!$A$1:$G$1,0))</f>
        <v>M</v>
      </c>
      <c r="N378" s="4">
        <f>INDEX(Products!$A$1:$G$49,MATCH(Orders!$G378,Products!$A$1:$A$49,0),MATCH(Orders!N$1,Products!$A$1:$G$1,0))</f>
        <v>0.5</v>
      </c>
      <c r="O378" s="7">
        <f>INDEX(Products!$A$1:$G$49,MATCH(Orders!$G378,Products!$A$1:$A$49,0),MATCH(Orders!O$1,Products!$A$1:$G$1,0))</f>
        <v>5.97</v>
      </c>
      <c r="P378" s="7">
        <f t="shared" si="5"/>
        <v>5.97</v>
      </c>
      <c r="Q378" t="str" cm="1">
        <f t="array" ref="Q378">_xlfn.IFS(L378="Rob","Robusta",L378="Exc", "Excelsa",L378="Ara", "Arabica",L378="Lib", "Liberica")</f>
        <v>Robusta</v>
      </c>
      <c r="R378" t="str" cm="1">
        <f t="array" ref="R378">_xlfn.IFS(M378="M","Medium",M378="L","Light",M378="D","Dark")</f>
        <v>Medium</v>
      </c>
    </row>
    <row r="379" spans="1:18">
      <c r="A379" s="2" t="s">
        <v>805</v>
      </c>
      <c r="B379" s="3">
        <v>43532</v>
      </c>
      <c r="C379" s="9">
        <f>YEAR(Orders_Table[[#This Row],[Order Date]])</f>
        <v>2019</v>
      </c>
      <c r="D379" s="9">
        <f>MONTH(Orders_Table[[#This Row],[Order Date]])</f>
        <v>3</v>
      </c>
      <c r="E379" s="9" t="str" cm="1">
        <f t="array" ref="E3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79" s="2" t="s">
        <v>806</v>
      </c>
      <c r="G379" t="s">
        <v>148</v>
      </c>
      <c r="H379" s="2">
        <v>3</v>
      </c>
      <c r="I379" s="2" t="str" cm="1">
        <f t="array" ref="I379">_xlfn.XLOOKUP(F379,Customers!A378:$A$1001,Customers!B378:$B$1001,"Not Found",0)</f>
        <v>Vanya Skullet</v>
      </c>
      <c r="J379" s="2" t="str" cm="1">
        <f t="array" ref="J379">IF(_xlfn.XLOOKUP(F379,Customers!A378:$A$1001,Customers!C378:$C$1001,"Not Found",0)=0,"",_xlfn.XLOOKUP(F379,Customers!A378:$A$1001,Customers!C378:$C$1001,"Not Found",0))</f>
        <v>vskulletah@tinyurl.com</v>
      </c>
      <c r="K379" s="2" t="str" cm="1">
        <f t="array" ref="K379">_xlfn.XLOOKUP(F379,Customers!A378:$A$1001,Customers!G378:$G$1001,"Not Found",0)</f>
        <v>Ireland</v>
      </c>
      <c r="L379" t="str">
        <f>INDEX(Products!$A$1:$G$49,MATCH(Orders!$G379,Products!$A$1:$A$49,0),MATCH(Orders!L$1,Products!$A$1:$G$1,0))</f>
        <v>Rob</v>
      </c>
      <c r="M379" t="str">
        <f>INDEX(Products!$A$1:$G$49,MATCH(Orders!$G379,Products!$A$1:$A$49,0),MATCH(Orders!M$1,Products!$A$1:$G$1,0))</f>
        <v>D</v>
      </c>
      <c r="N379" s="4">
        <f>INDEX(Products!$A$1:$G$49,MATCH(Orders!$G379,Products!$A$1:$A$49,0),MATCH(Orders!N$1,Products!$A$1:$G$1,0))</f>
        <v>0.2</v>
      </c>
      <c r="O379" s="7">
        <f>INDEX(Products!$A$1:$G$49,MATCH(Orders!$G379,Products!$A$1:$A$49,0),MATCH(Orders!O$1,Products!$A$1:$G$1,0))</f>
        <v>2.6849999999999996</v>
      </c>
      <c r="P379" s="7">
        <f t="shared" si="5"/>
        <v>8.0549999999999997</v>
      </c>
      <c r="Q379" t="str" cm="1">
        <f t="array" ref="Q379">_xlfn.IFS(L379="Rob","Robusta",L379="Exc", "Excelsa",L379="Ara", "Arabica",L379="Lib", "Liberica")</f>
        <v>Robusta</v>
      </c>
      <c r="R379" t="str" cm="1">
        <f t="array" ref="R379">_xlfn.IFS(M379="M","Medium",M379="L","Light",M379="D","Dark")</f>
        <v>Dark</v>
      </c>
    </row>
    <row r="380" spans="1:18">
      <c r="A380" s="2" t="s">
        <v>807</v>
      </c>
      <c r="B380" s="3">
        <v>44377</v>
      </c>
      <c r="C380" s="9">
        <f>YEAR(Orders_Table[[#This Row],[Order Date]])</f>
        <v>2021</v>
      </c>
      <c r="D380" s="9">
        <f>MONTH(Orders_Table[[#This Row],[Order Date]])</f>
        <v>6</v>
      </c>
      <c r="E380" s="9" t="str" cm="1">
        <f t="array" ref="E3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380" s="2" t="s">
        <v>808</v>
      </c>
      <c r="G380" t="s">
        <v>239</v>
      </c>
      <c r="H380" s="2">
        <v>3</v>
      </c>
      <c r="I380" s="2" t="str" cm="1">
        <f t="array" ref="I380">_xlfn.XLOOKUP(F380,Customers!A379:$A$1001,Customers!B379:$B$1001,"Not Found",0)</f>
        <v>Jany Rudeforth</v>
      </c>
      <c r="J380" s="2" t="str" cm="1">
        <f t="array" ref="J380">IF(_xlfn.XLOOKUP(F380,Customers!A379:$A$1001,Customers!C379:$C$1001,"Not Found",0)=0,"",_xlfn.XLOOKUP(F380,Customers!A379:$A$1001,Customers!C379:$C$1001,"Not Found",0))</f>
        <v>jrudeforthai@wunderground.com</v>
      </c>
      <c r="K380" s="2" t="str" cm="1">
        <f t="array" ref="K380">_xlfn.XLOOKUP(F380,Customers!A379:$A$1001,Customers!G379:$G$1001,"Not Found",0)</f>
        <v>Ireland</v>
      </c>
      <c r="L380" t="str">
        <f>INDEX(Products!$A$1:$G$49,MATCH(Orders!$G380,Products!$A$1:$A$49,0),MATCH(Orders!L$1,Products!$A$1:$G$1,0))</f>
        <v>Ara</v>
      </c>
      <c r="M380" t="str">
        <f>INDEX(Products!$A$1:$G$49,MATCH(Orders!$G380,Products!$A$1:$A$49,0),MATCH(Orders!M$1,Products!$A$1:$G$1,0))</f>
        <v>L</v>
      </c>
      <c r="N380" s="4">
        <f>INDEX(Products!$A$1:$G$49,MATCH(Orders!$G380,Products!$A$1:$A$49,0),MATCH(Orders!N$1,Products!$A$1:$G$1,0))</f>
        <v>0.5</v>
      </c>
      <c r="O380" s="7">
        <f>INDEX(Products!$A$1:$G$49,MATCH(Orders!$G380,Products!$A$1:$A$49,0),MATCH(Orders!O$1,Products!$A$1:$G$1,0))</f>
        <v>7.77</v>
      </c>
      <c r="P380" s="7">
        <f t="shared" si="5"/>
        <v>23.31</v>
      </c>
      <c r="Q380" t="str" cm="1">
        <f t="array" ref="Q380">_xlfn.IFS(L380="Rob","Robusta",L380="Exc", "Excelsa",L380="Ara", "Arabica",L380="Lib", "Liberica")</f>
        <v>Arabica</v>
      </c>
      <c r="R380" t="str" cm="1">
        <f t="array" ref="R380">_xlfn.IFS(M380="M","Medium",M380="L","Light",M380="D","Dark")</f>
        <v>Light</v>
      </c>
    </row>
    <row r="381" spans="1:18">
      <c r="A381" s="2" t="s">
        <v>809</v>
      </c>
      <c r="B381" s="3">
        <v>43690</v>
      </c>
      <c r="C381" s="9">
        <f>YEAR(Orders_Table[[#This Row],[Order Date]])</f>
        <v>2019</v>
      </c>
      <c r="D381" s="9">
        <f>MONTH(Orders_Table[[#This Row],[Order Date]])</f>
        <v>8</v>
      </c>
      <c r="E381" s="9" t="str" cm="1">
        <f t="array" ref="E3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381" s="2" t="s">
        <v>810</v>
      </c>
      <c r="G381" t="s">
        <v>204</v>
      </c>
      <c r="H381" s="2">
        <v>6</v>
      </c>
      <c r="I381" s="2" t="str" cm="1">
        <f t="array" ref="I381">_xlfn.XLOOKUP(F381,Customers!A380:$A$1001,Customers!B380:$B$1001,"Not Found",0)</f>
        <v>Ashbey Tomaszewski</v>
      </c>
      <c r="J381" s="2" t="str" cm="1">
        <f t="array" ref="J381">IF(_xlfn.XLOOKUP(F381,Customers!A380:$A$1001,Customers!C380:$C$1001,"Not Found",0)=0,"",_xlfn.XLOOKUP(F381,Customers!A380:$A$1001,Customers!C380:$C$1001,"Not Found",0))</f>
        <v>atomaszewskiaj@answers.com</v>
      </c>
      <c r="K381" s="2" t="str" cm="1">
        <f t="array" ref="K381">_xlfn.XLOOKUP(F381,Customers!A380:$A$1001,Customers!G380:$G$1001,"Not Found",0)</f>
        <v>United Kingdom</v>
      </c>
      <c r="L381" t="str">
        <f>INDEX(Products!$A$1:$G$49,MATCH(Orders!$G381,Products!$A$1:$A$49,0),MATCH(Orders!L$1,Products!$A$1:$G$1,0))</f>
        <v>Rob</v>
      </c>
      <c r="M381" t="str">
        <f>INDEX(Products!$A$1:$G$49,MATCH(Orders!$G381,Products!$A$1:$A$49,0),MATCH(Orders!M$1,Products!$A$1:$G$1,0))</f>
        <v>L</v>
      </c>
      <c r="N381" s="4">
        <f>INDEX(Products!$A$1:$G$49,MATCH(Orders!$G381,Products!$A$1:$A$49,0),MATCH(Orders!N$1,Products!$A$1:$G$1,0))</f>
        <v>0.5</v>
      </c>
      <c r="O381" s="7">
        <f>INDEX(Products!$A$1:$G$49,MATCH(Orders!$G381,Products!$A$1:$A$49,0),MATCH(Orders!O$1,Products!$A$1:$G$1,0))</f>
        <v>7.169999999999999</v>
      </c>
      <c r="P381" s="7">
        <f t="shared" si="5"/>
        <v>43.019999999999996</v>
      </c>
      <c r="Q381" t="str" cm="1">
        <f t="array" ref="Q381">_xlfn.IFS(L381="Rob","Robusta",L381="Exc", "Excelsa",L381="Ara", "Arabica",L381="Lib", "Liberica")</f>
        <v>Robusta</v>
      </c>
      <c r="R381" t="str" cm="1">
        <f t="array" ref="R381">_xlfn.IFS(M381="M","Medium",M381="L","Light",M381="D","Dark")</f>
        <v>Light</v>
      </c>
    </row>
    <row r="382" spans="1:18">
      <c r="A382" s="2" t="s">
        <v>811</v>
      </c>
      <c r="B382" s="3">
        <v>44249</v>
      </c>
      <c r="C382" s="9">
        <f>YEAR(Orders_Table[[#This Row],[Order Date]])</f>
        <v>2021</v>
      </c>
      <c r="D382" s="9">
        <f>MONTH(Orders_Table[[#This Row],[Order Date]])</f>
        <v>2</v>
      </c>
      <c r="E382" s="9" t="str" cm="1">
        <f t="array" ref="E3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82" s="2" t="s">
        <v>711</v>
      </c>
      <c r="G382" t="s">
        <v>170</v>
      </c>
      <c r="H382" s="2">
        <v>3</v>
      </c>
      <c r="I382" s="2" t="str" cm="1">
        <f t="array" ref="I382">_xlfn.XLOOKUP(F382,Customers!A381:$A$1001,Customers!B381:$B$1001,"Not Found",0)</f>
        <v>Not Found</v>
      </c>
      <c r="J382" s="2" t="str" cm="1">
        <f t="array" ref="J382">IF(_xlfn.XLOOKUP(F382,Customers!A381:$A$1001,Customers!C381:$C$1001,"Not Found",0)=0,"",_xlfn.XLOOKUP(F382,Customers!A381:$A$1001,Customers!C381:$C$1001,"Not Found",0))</f>
        <v>Not Found</v>
      </c>
      <c r="K382" s="2" t="str" cm="1">
        <f t="array" ref="K382">_xlfn.XLOOKUP(F382,Customers!A381:$A$1001,Customers!G381:$G$1001,"Not Found",0)</f>
        <v>Not Found</v>
      </c>
      <c r="L382" t="str">
        <f>INDEX(Products!$A$1:$G$49,MATCH(Orders!$G382,Products!$A$1:$A$49,0),MATCH(Orders!L$1,Products!$A$1:$G$1,0))</f>
        <v>Lib</v>
      </c>
      <c r="M382" t="str">
        <f>INDEX(Products!$A$1:$G$49,MATCH(Orders!$G382,Products!$A$1:$A$49,0),MATCH(Orders!M$1,Products!$A$1:$G$1,0))</f>
        <v>D</v>
      </c>
      <c r="N382" s="4">
        <f>INDEX(Products!$A$1:$G$49,MATCH(Orders!$G382,Products!$A$1:$A$49,0),MATCH(Orders!N$1,Products!$A$1:$G$1,0))</f>
        <v>0.5</v>
      </c>
      <c r="O382" s="7">
        <f>INDEX(Products!$A$1:$G$49,MATCH(Orders!$G382,Products!$A$1:$A$49,0),MATCH(Orders!O$1,Products!$A$1:$G$1,0))</f>
        <v>7.77</v>
      </c>
      <c r="P382" s="7">
        <f t="shared" si="5"/>
        <v>23.31</v>
      </c>
      <c r="Q382" t="str" cm="1">
        <f t="array" ref="Q382">_xlfn.IFS(L382="Rob","Robusta",L382="Exc", "Excelsa",L382="Ara", "Arabica",L382="Lib", "Liberica")</f>
        <v>Liberica</v>
      </c>
      <c r="R382" t="str" cm="1">
        <f t="array" ref="R382">_xlfn.IFS(M382="M","Medium",M382="L","Light",M382="D","Dark")</f>
        <v>Dark</v>
      </c>
    </row>
    <row r="383" spans="1:18">
      <c r="A383" s="2" t="s">
        <v>812</v>
      </c>
      <c r="B383" s="3">
        <v>44646</v>
      </c>
      <c r="C383" s="9">
        <f>YEAR(Orders_Table[[#This Row],[Order Date]])</f>
        <v>2022</v>
      </c>
      <c r="D383" s="9">
        <f>MONTH(Orders_Table[[#This Row],[Order Date]])</f>
        <v>3</v>
      </c>
      <c r="E383" s="9" t="str" cm="1">
        <f t="array" ref="E3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83" s="2" t="s">
        <v>813</v>
      </c>
      <c r="G383" t="s">
        <v>101</v>
      </c>
      <c r="H383" s="2">
        <v>5</v>
      </c>
      <c r="I383" s="2" t="str" cm="1">
        <f t="array" ref="I383">_xlfn.XLOOKUP(F383,Customers!A382:$A$1001,Customers!B382:$B$1001,"Not Found",0)</f>
        <v>Pren Bess</v>
      </c>
      <c r="J383" s="2" t="str" cm="1">
        <f t="array" ref="J383">IF(_xlfn.XLOOKUP(F383,Customers!A382:$A$1001,Customers!C382:$C$1001,"Not Found",0)=0,"",_xlfn.XLOOKUP(F383,Customers!A382:$A$1001,Customers!C382:$C$1001,"Not Found",0))</f>
        <v>pbessal@qq.com</v>
      </c>
      <c r="K383" s="2" t="str" cm="1">
        <f t="array" ref="K383">_xlfn.XLOOKUP(F383,Customers!A382:$A$1001,Customers!G382:$G$1001,"Not Found",0)</f>
        <v>United States</v>
      </c>
      <c r="L383" t="str">
        <f>INDEX(Products!$A$1:$G$49,MATCH(Orders!$G383,Products!$A$1:$A$49,0),MATCH(Orders!L$1,Products!$A$1:$G$1,0))</f>
        <v>Ara</v>
      </c>
      <c r="M383" t="str">
        <f>INDEX(Products!$A$1:$G$49,MATCH(Orders!$G383,Products!$A$1:$A$49,0),MATCH(Orders!M$1,Products!$A$1:$G$1,0))</f>
        <v>D</v>
      </c>
      <c r="N383" s="4">
        <f>INDEX(Products!$A$1:$G$49,MATCH(Orders!$G383,Products!$A$1:$A$49,0),MATCH(Orders!N$1,Products!$A$1:$G$1,0))</f>
        <v>0.2</v>
      </c>
      <c r="O383" s="7">
        <f>INDEX(Products!$A$1:$G$49,MATCH(Orders!$G383,Products!$A$1:$A$49,0),MATCH(Orders!O$1,Products!$A$1:$G$1,0))</f>
        <v>2.9849999999999999</v>
      </c>
      <c r="P383" s="7">
        <f t="shared" si="5"/>
        <v>14.924999999999999</v>
      </c>
      <c r="Q383" t="str" cm="1">
        <f t="array" ref="Q383">_xlfn.IFS(L383="Rob","Robusta",L383="Exc", "Excelsa",L383="Ara", "Arabica",L383="Lib", "Liberica")</f>
        <v>Arabica</v>
      </c>
      <c r="R383" t="str" cm="1">
        <f t="array" ref="R383">_xlfn.IFS(M383="M","Medium",M383="L","Light",M383="D","Dark")</f>
        <v>Dark</v>
      </c>
    </row>
    <row r="384" spans="1:18">
      <c r="A384" s="2" t="s">
        <v>814</v>
      </c>
      <c r="B384" s="3">
        <v>43840</v>
      </c>
      <c r="C384" s="9">
        <f>YEAR(Orders_Table[[#This Row],[Order Date]])</f>
        <v>2020</v>
      </c>
      <c r="D384" s="9">
        <f>MONTH(Orders_Table[[#This Row],[Order Date]])</f>
        <v>1</v>
      </c>
      <c r="E384" s="9" t="str" cm="1">
        <f t="array" ref="E3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384" s="2" t="s">
        <v>815</v>
      </c>
      <c r="G384" t="s">
        <v>63</v>
      </c>
      <c r="H384" s="2">
        <v>3</v>
      </c>
      <c r="I384" s="2" t="str" cm="1">
        <f t="array" ref="I384">_xlfn.XLOOKUP(F384,Customers!A383:$A$1001,Customers!B383:$B$1001,"Not Found",0)</f>
        <v>Elka Windress</v>
      </c>
      <c r="J384" s="2" t="str" cm="1">
        <f t="array" ref="J384">IF(_xlfn.XLOOKUP(F384,Customers!A383:$A$1001,Customers!C383:$C$1001,"Not Found",0)=0,"",_xlfn.XLOOKUP(F384,Customers!A383:$A$1001,Customers!C383:$C$1001,"Not Found",0))</f>
        <v>ewindressam@marketwatch.com</v>
      </c>
      <c r="K384" s="2" t="str" cm="1">
        <f t="array" ref="K384">_xlfn.XLOOKUP(F384,Customers!A383:$A$1001,Customers!G383:$G$1001,"Not Found",0)</f>
        <v>United States</v>
      </c>
      <c r="L384" t="str">
        <f>INDEX(Products!$A$1:$G$49,MATCH(Orders!$G384,Products!$A$1:$A$49,0),MATCH(Orders!L$1,Products!$A$1:$G$1,0))</f>
        <v>Exc</v>
      </c>
      <c r="M384" t="str">
        <f>INDEX(Products!$A$1:$G$49,MATCH(Orders!$G384,Products!$A$1:$A$49,0),MATCH(Orders!M$1,Products!$A$1:$G$1,0))</f>
        <v>D</v>
      </c>
      <c r="N384" s="4">
        <f>INDEX(Products!$A$1:$G$49,MATCH(Orders!$G384,Products!$A$1:$A$49,0),MATCH(Orders!N$1,Products!$A$1:$G$1,0))</f>
        <v>0.5</v>
      </c>
      <c r="O384" s="7">
        <f>INDEX(Products!$A$1:$G$49,MATCH(Orders!$G384,Products!$A$1:$A$49,0),MATCH(Orders!O$1,Products!$A$1:$G$1,0))</f>
        <v>7.29</v>
      </c>
      <c r="P384" s="7">
        <f t="shared" si="5"/>
        <v>21.87</v>
      </c>
      <c r="Q384" t="str" cm="1">
        <f t="array" ref="Q384">_xlfn.IFS(L384="Rob","Robusta",L384="Exc", "Excelsa",L384="Ara", "Arabica",L384="Lib", "Liberica")</f>
        <v>Excelsa</v>
      </c>
      <c r="R384" t="str" cm="1">
        <f t="array" ref="R384">_xlfn.IFS(M384="M","Medium",M384="L","Light",M384="D","Dark")</f>
        <v>Dark</v>
      </c>
    </row>
    <row r="385" spans="1:18">
      <c r="A385" s="2" t="s">
        <v>816</v>
      </c>
      <c r="B385" s="3">
        <v>43586</v>
      </c>
      <c r="C385" s="9">
        <f>YEAR(Orders_Table[[#This Row],[Order Date]])</f>
        <v>2019</v>
      </c>
      <c r="D385" s="9">
        <f>MONTH(Orders_Table[[#This Row],[Order Date]])</f>
        <v>5</v>
      </c>
      <c r="E385" s="9" t="str" cm="1">
        <f t="array" ref="E3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385" s="2" t="s">
        <v>817</v>
      </c>
      <c r="G385" t="s">
        <v>223</v>
      </c>
      <c r="H385" s="2">
        <v>6</v>
      </c>
      <c r="I385" s="2" t="str" cm="1">
        <f t="array" ref="I385">_xlfn.XLOOKUP(F385,Customers!A384:$A$1001,Customers!B384:$B$1001,"Not Found",0)</f>
        <v>Marty Kidstoun</v>
      </c>
      <c r="J385" s="2" t="str" cm="1">
        <f t="array" ref="J385">IF(_xlfn.XLOOKUP(F385,Customers!A384:$A$1001,Customers!C384:$C$1001,"Not Found",0)=0,"",_xlfn.XLOOKUP(F385,Customers!A384:$A$1001,Customers!C384:$C$1001,"Not Found",0))</f>
        <v/>
      </c>
      <c r="K385" s="2" t="str" cm="1">
        <f t="array" ref="K385">_xlfn.XLOOKUP(F385,Customers!A384:$A$1001,Customers!G384:$G$1001,"Not Found",0)</f>
        <v>United States</v>
      </c>
      <c r="L385" t="str">
        <f>INDEX(Products!$A$1:$G$49,MATCH(Orders!$G385,Products!$A$1:$A$49,0),MATCH(Orders!L$1,Products!$A$1:$G$1,0))</f>
        <v>Exc</v>
      </c>
      <c r="M385" t="str">
        <f>INDEX(Products!$A$1:$G$49,MATCH(Orders!$G385,Products!$A$1:$A$49,0),MATCH(Orders!M$1,Products!$A$1:$G$1,0))</f>
        <v>L</v>
      </c>
      <c r="N385" s="4">
        <f>INDEX(Products!$A$1:$G$49,MATCH(Orders!$G385,Products!$A$1:$A$49,0),MATCH(Orders!N$1,Products!$A$1:$G$1,0))</f>
        <v>0.5</v>
      </c>
      <c r="O385" s="7">
        <f>INDEX(Products!$A$1:$G$49,MATCH(Orders!$G385,Products!$A$1:$A$49,0),MATCH(Orders!O$1,Products!$A$1:$G$1,0))</f>
        <v>8.91</v>
      </c>
      <c r="P385" s="7">
        <f t="shared" si="5"/>
        <v>53.46</v>
      </c>
      <c r="Q385" t="str" cm="1">
        <f t="array" ref="Q385">_xlfn.IFS(L385="Rob","Robusta",L385="Exc", "Excelsa",L385="Ara", "Arabica",L385="Lib", "Liberica")</f>
        <v>Excelsa</v>
      </c>
      <c r="R385" t="str" cm="1">
        <f t="array" ref="R385">_xlfn.IFS(M385="M","Medium",M385="L","Light",M385="D","Dark")</f>
        <v>Light</v>
      </c>
    </row>
    <row r="386" spans="1:18">
      <c r="A386" s="2" t="s">
        <v>818</v>
      </c>
      <c r="B386" s="3">
        <v>43870</v>
      </c>
      <c r="C386" s="9">
        <f>YEAR(Orders_Table[[#This Row],[Order Date]])</f>
        <v>2020</v>
      </c>
      <c r="D386" s="9">
        <f>MONTH(Orders_Table[[#This Row],[Order Date]])</f>
        <v>2</v>
      </c>
      <c r="E386" s="9" t="str" cm="1">
        <f t="array" ref="E3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86" s="2" t="s">
        <v>819</v>
      </c>
      <c r="G386" t="s">
        <v>251</v>
      </c>
      <c r="H386" s="2">
        <v>4</v>
      </c>
      <c r="I386" s="2" t="str" cm="1">
        <f t="array" ref="I386">_xlfn.XLOOKUP(F386,Customers!A385:$A$1001,Customers!B385:$B$1001,"Not Found",0)</f>
        <v>Nickey Dimbleby</v>
      </c>
      <c r="J386" s="2" t="str" cm="1">
        <f t="array" ref="J386">IF(_xlfn.XLOOKUP(F386,Customers!A385:$A$1001,Customers!C385:$C$1001,"Not Found",0)=0,"",_xlfn.XLOOKUP(F386,Customers!A385:$A$1001,Customers!C385:$C$1001,"Not Found",0))</f>
        <v/>
      </c>
      <c r="K386" s="2" t="str" cm="1">
        <f t="array" ref="K386">_xlfn.XLOOKUP(F386,Customers!A385:$A$1001,Customers!G385:$G$1001,"Not Found",0)</f>
        <v>United States</v>
      </c>
      <c r="L386" t="str">
        <f>INDEX(Products!$A$1:$G$49,MATCH(Orders!$G386,Products!$A$1:$A$49,0),MATCH(Orders!L$1,Products!$A$1:$G$1,0))</f>
        <v>Ara</v>
      </c>
      <c r="M386" t="str">
        <f>INDEX(Products!$A$1:$G$49,MATCH(Orders!$G386,Products!$A$1:$A$49,0),MATCH(Orders!M$1,Products!$A$1:$G$1,0))</f>
        <v>L</v>
      </c>
      <c r="N386" s="4">
        <f>INDEX(Products!$A$1:$G$49,MATCH(Orders!$G386,Products!$A$1:$A$49,0),MATCH(Orders!N$1,Products!$A$1:$G$1,0))</f>
        <v>2.5</v>
      </c>
      <c r="O386" s="7">
        <f>INDEX(Products!$A$1:$G$49,MATCH(Orders!$G386,Products!$A$1:$A$49,0),MATCH(Orders!O$1,Products!$A$1:$G$1,0))</f>
        <v>29.784999999999997</v>
      </c>
      <c r="P386" s="7">
        <f t="shared" si="5"/>
        <v>119.13999999999999</v>
      </c>
      <c r="Q386" t="str" cm="1">
        <f t="array" ref="Q386">_xlfn.IFS(L386="Rob","Robusta",L386="Exc", "Excelsa",L386="Ara", "Arabica",L386="Lib", "Liberica")</f>
        <v>Arabica</v>
      </c>
      <c r="R386" t="str" cm="1">
        <f t="array" ref="R386">_xlfn.IFS(M386="M","Medium",M386="L","Light",M386="D","Dark")</f>
        <v>Light</v>
      </c>
    </row>
    <row r="387" spans="1:18">
      <c r="A387" s="2" t="s">
        <v>820</v>
      </c>
      <c r="B387" s="3">
        <v>44559</v>
      </c>
      <c r="C387" s="9">
        <f>YEAR(Orders_Table[[#This Row],[Order Date]])</f>
        <v>2021</v>
      </c>
      <c r="D387" s="9">
        <f>MONTH(Orders_Table[[#This Row],[Order Date]])</f>
        <v>12</v>
      </c>
      <c r="E387" s="9" t="str" cm="1">
        <f t="array" ref="E3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387" s="2" t="s">
        <v>821</v>
      </c>
      <c r="G387" t="s">
        <v>125</v>
      </c>
      <c r="H387" s="2">
        <v>5</v>
      </c>
      <c r="I387" s="2" t="str" cm="1">
        <f t="array" ref="I387">_xlfn.XLOOKUP(F387,Customers!A386:$A$1001,Customers!B386:$B$1001,"Not Found",0)</f>
        <v>Virgil Baumadier</v>
      </c>
      <c r="J387" s="2" t="str" cm="1">
        <f t="array" ref="J387">IF(_xlfn.XLOOKUP(F387,Customers!A386:$A$1001,Customers!C386:$C$1001,"Not Found",0)=0,"",_xlfn.XLOOKUP(F387,Customers!A386:$A$1001,Customers!C386:$C$1001,"Not Found",0))</f>
        <v>vbaumadierap@google.cn</v>
      </c>
      <c r="K387" s="2" t="str" cm="1">
        <f t="array" ref="K387">_xlfn.XLOOKUP(F387,Customers!A386:$A$1001,Customers!G386:$G$1001,"Not Found",0)</f>
        <v>United States</v>
      </c>
      <c r="L387" t="str">
        <f>INDEX(Products!$A$1:$G$49,MATCH(Orders!$G387,Products!$A$1:$A$49,0),MATCH(Orders!L$1,Products!$A$1:$G$1,0))</f>
        <v>Lib</v>
      </c>
      <c r="M387" t="str">
        <f>INDEX(Products!$A$1:$G$49,MATCH(Orders!$G387,Products!$A$1:$A$49,0),MATCH(Orders!M$1,Products!$A$1:$G$1,0))</f>
        <v>M</v>
      </c>
      <c r="N387" s="4">
        <f>INDEX(Products!$A$1:$G$49,MATCH(Orders!$G387,Products!$A$1:$A$49,0),MATCH(Orders!N$1,Products!$A$1:$G$1,0))</f>
        <v>0.5</v>
      </c>
      <c r="O387" s="7">
        <f>INDEX(Products!$A$1:$G$49,MATCH(Orders!$G387,Products!$A$1:$A$49,0),MATCH(Orders!O$1,Products!$A$1:$G$1,0))</f>
        <v>8.73</v>
      </c>
      <c r="P387" s="7">
        <f t="shared" ref="P387:P450" si="6">O387*H387</f>
        <v>43.650000000000006</v>
      </c>
      <c r="Q387" t="str" cm="1">
        <f t="array" ref="Q387">_xlfn.IFS(L387="Rob","Robusta",L387="Exc", "Excelsa",L387="Ara", "Arabica",L387="Lib", "Liberica")</f>
        <v>Liberica</v>
      </c>
      <c r="R387" t="str" cm="1">
        <f t="array" ref="R387">_xlfn.IFS(M387="M","Medium",M387="L","Light",M387="D","Dark")</f>
        <v>Medium</v>
      </c>
    </row>
    <row r="388" spans="1:18">
      <c r="A388" s="2" t="s">
        <v>822</v>
      </c>
      <c r="B388" s="3">
        <v>44083</v>
      </c>
      <c r="C388" s="9">
        <f>YEAR(Orders_Table[[#This Row],[Order Date]])</f>
        <v>2020</v>
      </c>
      <c r="D388" s="9">
        <f>MONTH(Orders_Table[[#This Row],[Order Date]])</f>
        <v>9</v>
      </c>
      <c r="E388" s="9" t="str" cm="1">
        <f t="array" ref="E3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88" s="2" t="s">
        <v>823</v>
      </c>
      <c r="G388" t="s">
        <v>101</v>
      </c>
      <c r="H388" s="2">
        <v>6</v>
      </c>
      <c r="I388" s="2" t="str" cm="1">
        <f t="array" ref="I388">_xlfn.XLOOKUP(F388,Customers!A387:$A$1001,Customers!B387:$B$1001,"Not Found",0)</f>
        <v>Lenore Messenbird</v>
      </c>
      <c r="J388" s="2" t="str" cm="1">
        <f t="array" ref="J388">IF(_xlfn.XLOOKUP(F388,Customers!A387:$A$1001,Customers!C387:$C$1001,"Not Found",0)=0,"",_xlfn.XLOOKUP(F388,Customers!A387:$A$1001,Customers!C387:$C$1001,"Not Found",0))</f>
        <v/>
      </c>
      <c r="K388" s="2" t="str" cm="1">
        <f t="array" ref="K388">_xlfn.XLOOKUP(F388,Customers!A387:$A$1001,Customers!G387:$G$1001,"Not Found",0)</f>
        <v>United States</v>
      </c>
      <c r="L388" t="str">
        <f>INDEX(Products!$A$1:$G$49,MATCH(Orders!$G388,Products!$A$1:$A$49,0),MATCH(Orders!L$1,Products!$A$1:$G$1,0))</f>
        <v>Ara</v>
      </c>
      <c r="M388" t="str">
        <f>INDEX(Products!$A$1:$G$49,MATCH(Orders!$G388,Products!$A$1:$A$49,0),MATCH(Orders!M$1,Products!$A$1:$G$1,0))</f>
        <v>D</v>
      </c>
      <c r="N388" s="4">
        <f>INDEX(Products!$A$1:$G$49,MATCH(Orders!$G388,Products!$A$1:$A$49,0),MATCH(Orders!N$1,Products!$A$1:$G$1,0))</f>
        <v>0.2</v>
      </c>
      <c r="O388" s="7">
        <f>INDEX(Products!$A$1:$G$49,MATCH(Orders!$G388,Products!$A$1:$A$49,0),MATCH(Orders!O$1,Products!$A$1:$G$1,0))</f>
        <v>2.9849999999999999</v>
      </c>
      <c r="P388" s="7">
        <f t="shared" si="6"/>
        <v>17.91</v>
      </c>
      <c r="Q388" t="str" cm="1">
        <f t="array" ref="Q388">_xlfn.IFS(L388="Rob","Robusta",L388="Exc", "Excelsa",L388="Ara", "Arabica",L388="Lib", "Liberica")</f>
        <v>Arabica</v>
      </c>
      <c r="R388" t="str" cm="1">
        <f t="array" ref="R388">_xlfn.IFS(M388="M","Medium",M388="L","Light",M388="D","Dark")</f>
        <v>Dark</v>
      </c>
    </row>
    <row r="389" spans="1:18">
      <c r="A389" s="2" t="s">
        <v>824</v>
      </c>
      <c r="B389" s="3">
        <v>44455</v>
      </c>
      <c r="C389" s="9">
        <f>YEAR(Orders_Table[[#This Row],[Order Date]])</f>
        <v>2021</v>
      </c>
      <c r="D389" s="9">
        <f>MONTH(Orders_Table[[#This Row],[Order Date]])</f>
        <v>9</v>
      </c>
      <c r="E389" s="9" t="str" cm="1">
        <f t="array" ref="E3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89" s="2" t="s">
        <v>825</v>
      </c>
      <c r="G389" t="s">
        <v>184</v>
      </c>
      <c r="H389" s="2">
        <v>5</v>
      </c>
      <c r="I389" s="2" t="str" cm="1">
        <f t="array" ref="I389">_xlfn.XLOOKUP(F389,Customers!A388:$A$1001,Customers!B388:$B$1001,"Not Found",0)</f>
        <v>Shirleen Welds</v>
      </c>
      <c r="J389" s="2" t="str" cm="1">
        <f t="array" ref="J389">IF(_xlfn.XLOOKUP(F389,Customers!A388:$A$1001,Customers!C388:$C$1001,"Not Found",0)=0,"",_xlfn.XLOOKUP(F389,Customers!A388:$A$1001,Customers!C388:$C$1001,"Not Found",0))</f>
        <v>sweldsar@wired.com</v>
      </c>
      <c r="K389" s="2" t="str" cm="1">
        <f t="array" ref="K389">_xlfn.XLOOKUP(F389,Customers!A388:$A$1001,Customers!G388:$G$1001,"Not Found",0)</f>
        <v>United States</v>
      </c>
      <c r="L389" t="str">
        <f>INDEX(Products!$A$1:$G$49,MATCH(Orders!$G389,Products!$A$1:$A$49,0),MATCH(Orders!L$1,Products!$A$1:$G$1,0))</f>
        <v>Exc</v>
      </c>
      <c r="M389" t="str">
        <f>INDEX(Products!$A$1:$G$49,MATCH(Orders!$G389,Products!$A$1:$A$49,0),MATCH(Orders!M$1,Products!$A$1:$G$1,0))</f>
        <v>L</v>
      </c>
      <c r="N389" s="4">
        <f>INDEX(Products!$A$1:$G$49,MATCH(Orders!$G389,Products!$A$1:$A$49,0),MATCH(Orders!N$1,Products!$A$1:$G$1,0))</f>
        <v>1</v>
      </c>
      <c r="O389" s="7">
        <f>INDEX(Products!$A$1:$G$49,MATCH(Orders!$G389,Products!$A$1:$A$49,0),MATCH(Orders!O$1,Products!$A$1:$G$1,0))</f>
        <v>14.85</v>
      </c>
      <c r="P389" s="7">
        <f t="shared" si="6"/>
        <v>74.25</v>
      </c>
      <c r="Q389" t="str" cm="1">
        <f t="array" ref="Q389">_xlfn.IFS(L389="Rob","Robusta",L389="Exc", "Excelsa",L389="Ara", "Arabica",L389="Lib", "Liberica")</f>
        <v>Excelsa</v>
      </c>
      <c r="R389" t="str" cm="1">
        <f t="array" ref="R389">_xlfn.IFS(M389="M","Medium",M389="L","Light",M389="D","Dark")</f>
        <v>Light</v>
      </c>
    </row>
    <row r="390" spans="1:18">
      <c r="A390" s="2" t="s">
        <v>826</v>
      </c>
      <c r="B390" s="3">
        <v>44130</v>
      </c>
      <c r="C390" s="9">
        <f>YEAR(Orders_Table[[#This Row],[Order Date]])</f>
        <v>2020</v>
      </c>
      <c r="D390" s="9">
        <f>MONTH(Orders_Table[[#This Row],[Order Date]])</f>
        <v>10</v>
      </c>
      <c r="E390" s="9" t="str" cm="1">
        <f t="array" ref="E3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90" s="2" t="s">
        <v>827</v>
      </c>
      <c r="G390" t="s">
        <v>85</v>
      </c>
      <c r="H390" s="2">
        <v>3</v>
      </c>
      <c r="I390" s="2" t="str" cm="1">
        <f t="array" ref="I390">_xlfn.XLOOKUP(F390,Customers!A389:$A$1001,Customers!B389:$B$1001,"Not Found",0)</f>
        <v>Maisie Sarvar</v>
      </c>
      <c r="J390" s="2" t="str" cm="1">
        <f t="array" ref="J390">IF(_xlfn.XLOOKUP(F390,Customers!A389:$A$1001,Customers!C389:$C$1001,"Not Found",0)=0,"",_xlfn.XLOOKUP(F390,Customers!A389:$A$1001,Customers!C389:$C$1001,"Not Found",0))</f>
        <v>msarvaras@artisteer.com</v>
      </c>
      <c r="K390" s="2" t="str" cm="1">
        <f t="array" ref="K390">_xlfn.XLOOKUP(F390,Customers!A389:$A$1001,Customers!G389:$G$1001,"Not Found",0)</f>
        <v>United States</v>
      </c>
      <c r="L390" t="str">
        <f>INDEX(Products!$A$1:$G$49,MATCH(Orders!$G390,Products!$A$1:$A$49,0),MATCH(Orders!L$1,Products!$A$1:$G$1,0))</f>
        <v>Lib</v>
      </c>
      <c r="M390" t="str">
        <f>INDEX(Products!$A$1:$G$49,MATCH(Orders!$G390,Products!$A$1:$A$49,0),MATCH(Orders!M$1,Products!$A$1:$G$1,0))</f>
        <v>D</v>
      </c>
      <c r="N390" s="4">
        <f>INDEX(Products!$A$1:$G$49,MATCH(Orders!$G390,Products!$A$1:$A$49,0),MATCH(Orders!N$1,Products!$A$1:$G$1,0))</f>
        <v>0.2</v>
      </c>
      <c r="O390" s="7">
        <f>INDEX(Products!$A$1:$G$49,MATCH(Orders!$G390,Products!$A$1:$A$49,0),MATCH(Orders!O$1,Products!$A$1:$G$1,0))</f>
        <v>3.8849999999999998</v>
      </c>
      <c r="P390" s="7">
        <f t="shared" si="6"/>
        <v>11.654999999999999</v>
      </c>
      <c r="Q390" t="str" cm="1">
        <f t="array" ref="Q390">_xlfn.IFS(L390="Rob","Robusta",L390="Exc", "Excelsa",L390="Ara", "Arabica",L390="Lib", "Liberica")</f>
        <v>Liberica</v>
      </c>
      <c r="R390" t="str" cm="1">
        <f t="array" ref="R390">_xlfn.IFS(M390="M","Medium",M390="L","Light",M390="D","Dark")</f>
        <v>Dark</v>
      </c>
    </row>
    <row r="391" spans="1:18">
      <c r="A391" s="2" t="s">
        <v>828</v>
      </c>
      <c r="B391" s="3">
        <v>43536</v>
      </c>
      <c r="C391" s="9">
        <f>YEAR(Orders_Table[[#This Row],[Order Date]])</f>
        <v>2019</v>
      </c>
      <c r="D391" s="9">
        <f>MONTH(Orders_Table[[#This Row],[Order Date]])</f>
        <v>3</v>
      </c>
      <c r="E391" s="9" t="str" cm="1">
        <f t="array" ref="E3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391" s="2" t="s">
        <v>829</v>
      </c>
      <c r="G391" t="s">
        <v>170</v>
      </c>
      <c r="H391" s="2">
        <v>3</v>
      </c>
      <c r="I391" s="2" t="str" cm="1">
        <f t="array" ref="I391">_xlfn.XLOOKUP(F391,Customers!A390:$A$1001,Customers!B390:$B$1001,"Not Found",0)</f>
        <v>Andrej Havick</v>
      </c>
      <c r="J391" s="2" t="str" cm="1">
        <f t="array" ref="J391">IF(_xlfn.XLOOKUP(F391,Customers!A390:$A$1001,Customers!C390:$C$1001,"Not Found",0)=0,"",_xlfn.XLOOKUP(F391,Customers!A390:$A$1001,Customers!C390:$C$1001,"Not Found",0))</f>
        <v>ahavickat@nsw.gov.au</v>
      </c>
      <c r="K391" s="2" t="str" cm="1">
        <f t="array" ref="K391">_xlfn.XLOOKUP(F391,Customers!A390:$A$1001,Customers!G390:$G$1001,"Not Found",0)</f>
        <v>United States</v>
      </c>
      <c r="L391" t="str">
        <f>INDEX(Products!$A$1:$G$49,MATCH(Orders!$G391,Products!$A$1:$A$49,0),MATCH(Orders!L$1,Products!$A$1:$G$1,0))</f>
        <v>Lib</v>
      </c>
      <c r="M391" t="str">
        <f>INDEX(Products!$A$1:$G$49,MATCH(Orders!$G391,Products!$A$1:$A$49,0),MATCH(Orders!M$1,Products!$A$1:$G$1,0))</f>
        <v>D</v>
      </c>
      <c r="N391" s="4">
        <f>INDEX(Products!$A$1:$G$49,MATCH(Orders!$G391,Products!$A$1:$A$49,0),MATCH(Orders!N$1,Products!$A$1:$G$1,0))</f>
        <v>0.5</v>
      </c>
      <c r="O391" s="7">
        <f>INDEX(Products!$A$1:$G$49,MATCH(Orders!$G391,Products!$A$1:$A$49,0),MATCH(Orders!O$1,Products!$A$1:$G$1,0))</f>
        <v>7.77</v>
      </c>
      <c r="P391" s="7">
        <f t="shared" si="6"/>
        <v>23.31</v>
      </c>
      <c r="Q391" t="str" cm="1">
        <f t="array" ref="Q391">_xlfn.IFS(L391="Rob","Robusta",L391="Exc", "Excelsa",L391="Ara", "Arabica",L391="Lib", "Liberica")</f>
        <v>Liberica</v>
      </c>
      <c r="R391" t="str" cm="1">
        <f t="array" ref="R391">_xlfn.IFS(M391="M","Medium",M391="L","Light",M391="D","Dark")</f>
        <v>Dark</v>
      </c>
    </row>
    <row r="392" spans="1:18">
      <c r="A392" s="2" t="s">
        <v>830</v>
      </c>
      <c r="B392" s="3">
        <v>44245</v>
      </c>
      <c r="C392" s="9">
        <f>YEAR(Orders_Table[[#This Row],[Order Date]])</f>
        <v>2021</v>
      </c>
      <c r="D392" s="9">
        <f>MONTH(Orders_Table[[#This Row],[Order Date]])</f>
        <v>2</v>
      </c>
      <c r="E392" s="9" t="str" cm="1">
        <f t="array" ref="E3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392" s="2" t="s">
        <v>831</v>
      </c>
      <c r="G392" t="s">
        <v>63</v>
      </c>
      <c r="H392" s="2">
        <v>2</v>
      </c>
      <c r="I392" s="2" t="str" cm="1">
        <f t="array" ref="I392">_xlfn.XLOOKUP(F392,Customers!A391:$A$1001,Customers!B391:$B$1001,"Not Found",0)</f>
        <v>Sloan Diviny</v>
      </c>
      <c r="J392" s="2" t="str" cm="1">
        <f t="array" ref="J392">IF(_xlfn.XLOOKUP(F392,Customers!A391:$A$1001,Customers!C391:$C$1001,"Not Found",0)=0,"",_xlfn.XLOOKUP(F392,Customers!A391:$A$1001,Customers!C391:$C$1001,"Not Found",0))</f>
        <v>sdivinyau@ask.com</v>
      </c>
      <c r="K392" s="2" t="str" cm="1">
        <f t="array" ref="K392">_xlfn.XLOOKUP(F392,Customers!A391:$A$1001,Customers!G391:$G$1001,"Not Found",0)</f>
        <v>United States</v>
      </c>
      <c r="L392" t="str">
        <f>INDEX(Products!$A$1:$G$49,MATCH(Orders!$G392,Products!$A$1:$A$49,0),MATCH(Orders!L$1,Products!$A$1:$G$1,0))</f>
        <v>Exc</v>
      </c>
      <c r="M392" t="str">
        <f>INDEX(Products!$A$1:$G$49,MATCH(Orders!$G392,Products!$A$1:$A$49,0),MATCH(Orders!M$1,Products!$A$1:$G$1,0))</f>
        <v>D</v>
      </c>
      <c r="N392" s="4">
        <f>INDEX(Products!$A$1:$G$49,MATCH(Orders!$G392,Products!$A$1:$A$49,0),MATCH(Orders!N$1,Products!$A$1:$G$1,0))</f>
        <v>0.5</v>
      </c>
      <c r="O392" s="7">
        <f>INDEX(Products!$A$1:$G$49,MATCH(Orders!$G392,Products!$A$1:$A$49,0),MATCH(Orders!O$1,Products!$A$1:$G$1,0))</f>
        <v>7.29</v>
      </c>
      <c r="P392" s="7">
        <f t="shared" si="6"/>
        <v>14.58</v>
      </c>
      <c r="Q392" t="str" cm="1">
        <f t="array" ref="Q392">_xlfn.IFS(L392="Rob","Robusta",L392="Exc", "Excelsa",L392="Ara", "Arabica",L392="Lib", "Liberica")</f>
        <v>Excelsa</v>
      </c>
      <c r="R392" t="str" cm="1">
        <f t="array" ref="R392">_xlfn.IFS(M392="M","Medium",M392="L","Light",M392="D","Dark")</f>
        <v>Dark</v>
      </c>
    </row>
    <row r="393" spans="1:18">
      <c r="A393" s="2" t="s">
        <v>832</v>
      </c>
      <c r="B393" s="3">
        <v>44133</v>
      </c>
      <c r="C393" s="9">
        <f>YEAR(Orders_Table[[#This Row],[Order Date]])</f>
        <v>2020</v>
      </c>
      <c r="D393" s="9">
        <f>MONTH(Orders_Table[[#This Row],[Order Date]])</f>
        <v>10</v>
      </c>
      <c r="E393" s="9" t="str" cm="1">
        <f t="array" ref="E3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393" s="2" t="s">
        <v>833</v>
      </c>
      <c r="G393" t="s">
        <v>114</v>
      </c>
      <c r="H393" s="2">
        <v>2</v>
      </c>
      <c r="I393" s="2" t="str" cm="1">
        <f t="array" ref="I393">_xlfn.XLOOKUP(F393,Customers!A392:$A$1001,Customers!B392:$B$1001,"Not Found",0)</f>
        <v>Itch Norquoy</v>
      </c>
      <c r="J393" s="2" t="str" cm="1">
        <f t="array" ref="J393">IF(_xlfn.XLOOKUP(F393,Customers!A392:$A$1001,Customers!C392:$C$1001,"Not Found",0)=0,"",_xlfn.XLOOKUP(F393,Customers!A392:$A$1001,Customers!C392:$C$1001,"Not Found",0))</f>
        <v>inorquoyav@businessweek.com</v>
      </c>
      <c r="K393" s="2" t="str" cm="1">
        <f t="array" ref="K393">_xlfn.XLOOKUP(F393,Customers!A392:$A$1001,Customers!G392:$G$1001,"Not Found",0)</f>
        <v>United States</v>
      </c>
      <c r="L393" t="str">
        <f>INDEX(Products!$A$1:$G$49,MATCH(Orders!$G393,Products!$A$1:$A$49,0),MATCH(Orders!L$1,Products!$A$1:$G$1,0))</f>
        <v>Ara</v>
      </c>
      <c r="M393" t="str">
        <f>INDEX(Products!$A$1:$G$49,MATCH(Orders!$G393,Products!$A$1:$A$49,0),MATCH(Orders!M$1,Products!$A$1:$G$1,0))</f>
        <v>M</v>
      </c>
      <c r="N393" s="4">
        <f>INDEX(Products!$A$1:$G$49,MATCH(Orders!$G393,Products!$A$1:$A$49,0),MATCH(Orders!N$1,Products!$A$1:$G$1,0))</f>
        <v>0.5</v>
      </c>
      <c r="O393" s="7">
        <f>INDEX(Products!$A$1:$G$49,MATCH(Orders!$G393,Products!$A$1:$A$49,0),MATCH(Orders!O$1,Products!$A$1:$G$1,0))</f>
        <v>6.75</v>
      </c>
      <c r="P393" s="7">
        <f t="shared" si="6"/>
        <v>13.5</v>
      </c>
      <c r="Q393" t="str" cm="1">
        <f t="array" ref="Q393">_xlfn.IFS(L393="Rob","Robusta",L393="Exc", "Excelsa",L393="Ara", "Arabica",L393="Lib", "Liberica")</f>
        <v>Arabica</v>
      </c>
      <c r="R393" t="str" cm="1">
        <f t="array" ref="R393">_xlfn.IFS(M393="M","Medium",M393="L","Light",M393="D","Dark")</f>
        <v>Medium</v>
      </c>
    </row>
    <row r="394" spans="1:18">
      <c r="A394" s="2" t="s">
        <v>834</v>
      </c>
      <c r="B394" s="3">
        <v>44445</v>
      </c>
      <c r="C394" s="9">
        <f>YEAR(Orders_Table[[#This Row],[Order Date]])</f>
        <v>2021</v>
      </c>
      <c r="D394" s="9">
        <f>MONTH(Orders_Table[[#This Row],[Order Date]])</f>
        <v>9</v>
      </c>
      <c r="E394" s="9" t="str" cm="1">
        <f t="array" ref="E3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94" s="2" t="s">
        <v>835</v>
      </c>
      <c r="G394" t="s">
        <v>184</v>
      </c>
      <c r="H394" s="2">
        <v>6</v>
      </c>
      <c r="I394" s="2" t="str" cm="1">
        <f t="array" ref="I394">_xlfn.XLOOKUP(F394,Customers!A393:$A$1001,Customers!B393:$B$1001,"Not Found",0)</f>
        <v>Anson Iddison</v>
      </c>
      <c r="J394" s="2" t="str" cm="1">
        <f t="array" ref="J394">IF(_xlfn.XLOOKUP(F394,Customers!A393:$A$1001,Customers!C393:$C$1001,"Not Found",0)=0,"",_xlfn.XLOOKUP(F394,Customers!A393:$A$1001,Customers!C393:$C$1001,"Not Found",0))</f>
        <v>aiddisonaw@usa.gov</v>
      </c>
      <c r="K394" s="2" t="str" cm="1">
        <f t="array" ref="K394">_xlfn.XLOOKUP(F394,Customers!A393:$A$1001,Customers!G393:$G$1001,"Not Found",0)</f>
        <v>United States</v>
      </c>
      <c r="L394" t="str">
        <f>INDEX(Products!$A$1:$G$49,MATCH(Orders!$G394,Products!$A$1:$A$49,0),MATCH(Orders!L$1,Products!$A$1:$G$1,0))</f>
        <v>Exc</v>
      </c>
      <c r="M394" t="str">
        <f>INDEX(Products!$A$1:$G$49,MATCH(Orders!$G394,Products!$A$1:$A$49,0),MATCH(Orders!M$1,Products!$A$1:$G$1,0))</f>
        <v>L</v>
      </c>
      <c r="N394" s="4">
        <f>INDEX(Products!$A$1:$G$49,MATCH(Orders!$G394,Products!$A$1:$A$49,0),MATCH(Orders!N$1,Products!$A$1:$G$1,0))</f>
        <v>1</v>
      </c>
      <c r="O394" s="7">
        <f>INDEX(Products!$A$1:$G$49,MATCH(Orders!$G394,Products!$A$1:$A$49,0),MATCH(Orders!O$1,Products!$A$1:$G$1,0))</f>
        <v>14.85</v>
      </c>
      <c r="P394" s="7">
        <f t="shared" si="6"/>
        <v>89.1</v>
      </c>
      <c r="Q394" t="str" cm="1">
        <f t="array" ref="Q394">_xlfn.IFS(L394="Rob","Robusta",L394="Exc", "Excelsa",L394="Ara", "Arabica",L394="Lib", "Liberica")</f>
        <v>Excelsa</v>
      </c>
      <c r="R394" t="str" cm="1">
        <f t="array" ref="R394">_xlfn.IFS(M394="M","Medium",M394="L","Light",M394="D","Dark")</f>
        <v>Light</v>
      </c>
    </row>
    <row r="395" spans="1:18">
      <c r="A395" s="2" t="s">
        <v>834</v>
      </c>
      <c r="B395" s="3">
        <v>44445</v>
      </c>
      <c r="C395" s="9">
        <f>YEAR(Orders_Table[[#This Row],[Order Date]])</f>
        <v>2021</v>
      </c>
      <c r="D395" s="9">
        <f>MONTH(Orders_Table[[#This Row],[Order Date]])</f>
        <v>9</v>
      </c>
      <c r="E395" s="9" t="str" cm="1">
        <f t="array" ref="E3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95" s="2" t="s">
        <v>835</v>
      </c>
      <c r="G395" t="s">
        <v>162</v>
      </c>
      <c r="H395" s="2">
        <v>1</v>
      </c>
      <c r="I395" s="2" t="str" cm="1">
        <f t="array" ref="I395">_xlfn.XLOOKUP(F395,Customers!A394:$A$1001,Customers!B394:$B$1001,"Not Found",0)</f>
        <v>Anson Iddison</v>
      </c>
      <c r="J395" s="2" t="str" cm="1">
        <f t="array" ref="J395">IF(_xlfn.XLOOKUP(F395,Customers!A394:$A$1001,Customers!C394:$C$1001,"Not Found",0)=0,"",_xlfn.XLOOKUP(F395,Customers!A394:$A$1001,Customers!C394:$C$1001,"Not Found",0))</f>
        <v>aiddisonaw@usa.gov</v>
      </c>
      <c r="K395" s="2" t="str" cm="1">
        <f t="array" ref="K395">_xlfn.XLOOKUP(F395,Customers!A394:$A$1001,Customers!G394:$G$1001,"Not Found",0)</f>
        <v>United States</v>
      </c>
      <c r="L395" t="str">
        <f>INDEX(Products!$A$1:$G$49,MATCH(Orders!$G395,Products!$A$1:$A$49,0),MATCH(Orders!L$1,Products!$A$1:$G$1,0))</f>
        <v>Ara</v>
      </c>
      <c r="M395" t="str">
        <f>INDEX(Products!$A$1:$G$49,MATCH(Orders!$G395,Products!$A$1:$A$49,0),MATCH(Orders!M$1,Products!$A$1:$G$1,0))</f>
        <v>L</v>
      </c>
      <c r="N395" s="4">
        <f>INDEX(Products!$A$1:$G$49,MATCH(Orders!$G395,Products!$A$1:$A$49,0),MATCH(Orders!N$1,Products!$A$1:$G$1,0))</f>
        <v>0.2</v>
      </c>
      <c r="O395" s="7">
        <f>INDEX(Products!$A$1:$G$49,MATCH(Orders!$G395,Products!$A$1:$A$49,0),MATCH(Orders!O$1,Products!$A$1:$G$1,0))</f>
        <v>3.8849999999999998</v>
      </c>
      <c r="P395" s="7">
        <f t="shared" si="6"/>
        <v>3.8849999999999998</v>
      </c>
      <c r="Q395" t="str" cm="1">
        <f t="array" ref="Q395">_xlfn.IFS(L395="Rob","Robusta",L395="Exc", "Excelsa",L395="Ara", "Arabica",L395="Lib", "Liberica")</f>
        <v>Arabica</v>
      </c>
      <c r="R395" t="str" cm="1">
        <f t="array" ref="R395">_xlfn.IFS(M395="M","Medium",M395="L","Light",M395="D","Dark")</f>
        <v>Light</v>
      </c>
    </row>
    <row r="396" spans="1:18">
      <c r="A396" s="2" t="s">
        <v>836</v>
      </c>
      <c r="B396" s="3">
        <v>44083</v>
      </c>
      <c r="C396" s="9">
        <f>YEAR(Orders_Table[[#This Row],[Order Date]])</f>
        <v>2020</v>
      </c>
      <c r="D396" s="9">
        <f>MONTH(Orders_Table[[#This Row],[Order Date]])</f>
        <v>9</v>
      </c>
      <c r="E396" s="9" t="str" cm="1">
        <f t="array" ref="E3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96" s="2" t="s">
        <v>837</v>
      </c>
      <c r="G396" t="s">
        <v>57</v>
      </c>
      <c r="H396" s="2">
        <v>4</v>
      </c>
      <c r="I396" s="2" t="str" cm="1">
        <f t="array" ref="I396">_xlfn.XLOOKUP(F396,Customers!A395:$A$1001,Customers!B395:$B$1001,"Not Found",0)</f>
        <v>Randal Longfield</v>
      </c>
      <c r="J396" s="2" t="str" cm="1">
        <f t="array" ref="J396">IF(_xlfn.XLOOKUP(F396,Customers!A395:$A$1001,Customers!C395:$C$1001,"Not Found",0)=0,"",_xlfn.XLOOKUP(F396,Customers!A395:$A$1001,Customers!C395:$C$1001,"Not Found",0))</f>
        <v>rlongfielday@bluehost.com</v>
      </c>
      <c r="K396" s="2" t="str" cm="1">
        <f t="array" ref="K396">_xlfn.XLOOKUP(F396,Customers!A395:$A$1001,Customers!G395:$G$1001,"Not Found",0)</f>
        <v>United States</v>
      </c>
      <c r="L396" t="str">
        <f>INDEX(Products!$A$1:$G$49,MATCH(Orders!$G396,Products!$A$1:$A$49,0),MATCH(Orders!L$1,Products!$A$1:$G$1,0))</f>
        <v>Rob</v>
      </c>
      <c r="M396" t="str">
        <f>INDEX(Products!$A$1:$G$49,MATCH(Orders!$G396,Products!$A$1:$A$49,0),MATCH(Orders!M$1,Products!$A$1:$G$1,0))</f>
        <v>L</v>
      </c>
      <c r="N396" s="4">
        <f>INDEX(Products!$A$1:$G$49,MATCH(Orders!$G396,Products!$A$1:$A$49,0),MATCH(Orders!N$1,Products!$A$1:$G$1,0))</f>
        <v>2.5</v>
      </c>
      <c r="O396" s="7">
        <f>INDEX(Products!$A$1:$G$49,MATCH(Orders!$G396,Products!$A$1:$A$49,0),MATCH(Orders!O$1,Products!$A$1:$G$1,0))</f>
        <v>27.484999999999996</v>
      </c>
      <c r="P396" s="7">
        <f t="shared" si="6"/>
        <v>109.93999999999998</v>
      </c>
      <c r="Q396" t="str" cm="1">
        <f t="array" ref="Q396">_xlfn.IFS(L396="Rob","Robusta",L396="Exc", "Excelsa",L396="Ara", "Arabica",L396="Lib", "Liberica")</f>
        <v>Robusta</v>
      </c>
      <c r="R396" t="str" cm="1">
        <f t="array" ref="R396">_xlfn.IFS(M396="M","Medium",M396="L","Light",M396="D","Dark")</f>
        <v>Light</v>
      </c>
    </row>
    <row r="397" spans="1:18">
      <c r="A397" s="2" t="s">
        <v>838</v>
      </c>
      <c r="B397" s="3">
        <v>44465</v>
      </c>
      <c r="C397" s="9">
        <f>YEAR(Orders_Table[[#This Row],[Order Date]])</f>
        <v>2021</v>
      </c>
      <c r="D397" s="9">
        <f>MONTH(Orders_Table[[#This Row],[Order Date]])</f>
        <v>9</v>
      </c>
      <c r="E397" s="9" t="str" cm="1">
        <f t="array" ref="E3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97" s="2" t="s">
        <v>839</v>
      </c>
      <c r="G397" t="s">
        <v>170</v>
      </c>
      <c r="H397" s="2">
        <v>6</v>
      </c>
      <c r="I397" s="2" t="str" cm="1">
        <f t="array" ref="I397">_xlfn.XLOOKUP(F397,Customers!A396:$A$1001,Customers!B396:$B$1001,"Not Found",0)</f>
        <v>Gregorius Kislingbury</v>
      </c>
      <c r="J397" s="2" t="str" cm="1">
        <f t="array" ref="J397">IF(_xlfn.XLOOKUP(F397,Customers!A396:$A$1001,Customers!C396:$C$1001,"Not Found",0)=0,"",_xlfn.XLOOKUP(F397,Customers!A396:$A$1001,Customers!C396:$C$1001,"Not Found",0))</f>
        <v>gkislingburyaz@samsung.com</v>
      </c>
      <c r="K397" s="2" t="str" cm="1">
        <f t="array" ref="K397">_xlfn.XLOOKUP(F397,Customers!A396:$A$1001,Customers!G396:$G$1001,"Not Found",0)</f>
        <v>United States</v>
      </c>
      <c r="L397" t="str">
        <f>INDEX(Products!$A$1:$G$49,MATCH(Orders!$G397,Products!$A$1:$A$49,0),MATCH(Orders!L$1,Products!$A$1:$G$1,0))</f>
        <v>Lib</v>
      </c>
      <c r="M397" t="str">
        <f>INDEX(Products!$A$1:$G$49,MATCH(Orders!$G397,Products!$A$1:$A$49,0),MATCH(Orders!M$1,Products!$A$1:$G$1,0))</f>
        <v>D</v>
      </c>
      <c r="N397" s="4">
        <f>INDEX(Products!$A$1:$G$49,MATCH(Orders!$G397,Products!$A$1:$A$49,0),MATCH(Orders!N$1,Products!$A$1:$G$1,0))</f>
        <v>0.5</v>
      </c>
      <c r="O397" s="7">
        <f>INDEX(Products!$A$1:$G$49,MATCH(Orders!$G397,Products!$A$1:$A$49,0),MATCH(Orders!O$1,Products!$A$1:$G$1,0))</f>
        <v>7.77</v>
      </c>
      <c r="P397" s="7">
        <f t="shared" si="6"/>
        <v>46.62</v>
      </c>
      <c r="Q397" t="str" cm="1">
        <f t="array" ref="Q397">_xlfn.IFS(L397="Rob","Robusta",L397="Exc", "Excelsa",L397="Ara", "Arabica",L397="Lib", "Liberica")</f>
        <v>Liberica</v>
      </c>
      <c r="R397" t="str" cm="1">
        <f t="array" ref="R397">_xlfn.IFS(M397="M","Medium",M397="L","Light",M397="D","Dark")</f>
        <v>Dark</v>
      </c>
    </row>
    <row r="398" spans="1:18">
      <c r="A398" s="2" t="s">
        <v>840</v>
      </c>
      <c r="B398" s="3">
        <v>44140</v>
      </c>
      <c r="C398" s="9">
        <f>YEAR(Orders_Table[[#This Row],[Order Date]])</f>
        <v>2020</v>
      </c>
      <c r="D398" s="9">
        <f>MONTH(Orders_Table[[#This Row],[Order Date]])</f>
        <v>11</v>
      </c>
      <c r="E398" s="9" t="str" cm="1">
        <f t="array" ref="E3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398" s="2" t="s">
        <v>841</v>
      </c>
      <c r="G398" t="s">
        <v>239</v>
      </c>
      <c r="H398" s="2">
        <v>5</v>
      </c>
      <c r="I398" s="2" t="str" cm="1">
        <f t="array" ref="I398">_xlfn.XLOOKUP(F398,Customers!A397:$A$1001,Customers!B397:$B$1001,"Not Found",0)</f>
        <v>Xenos Gibbons</v>
      </c>
      <c r="J398" s="2" t="str" cm="1">
        <f t="array" ref="J398">IF(_xlfn.XLOOKUP(F398,Customers!A397:$A$1001,Customers!C397:$C$1001,"Not Found",0)=0,"",_xlfn.XLOOKUP(F398,Customers!A397:$A$1001,Customers!C397:$C$1001,"Not Found",0))</f>
        <v>xgibbonsb0@artisteer.com</v>
      </c>
      <c r="K398" s="2" t="str" cm="1">
        <f t="array" ref="K398">_xlfn.XLOOKUP(F398,Customers!A397:$A$1001,Customers!G397:$G$1001,"Not Found",0)</f>
        <v>United States</v>
      </c>
      <c r="L398" t="str">
        <f>INDEX(Products!$A$1:$G$49,MATCH(Orders!$G398,Products!$A$1:$A$49,0),MATCH(Orders!L$1,Products!$A$1:$G$1,0))</f>
        <v>Ara</v>
      </c>
      <c r="M398" t="str">
        <f>INDEX(Products!$A$1:$G$49,MATCH(Orders!$G398,Products!$A$1:$A$49,0),MATCH(Orders!M$1,Products!$A$1:$G$1,0))</f>
        <v>L</v>
      </c>
      <c r="N398" s="4">
        <f>INDEX(Products!$A$1:$G$49,MATCH(Orders!$G398,Products!$A$1:$A$49,0),MATCH(Orders!N$1,Products!$A$1:$G$1,0))</f>
        <v>0.5</v>
      </c>
      <c r="O398" s="7">
        <f>INDEX(Products!$A$1:$G$49,MATCH(Orders!$G398,Products!$A$1:$A$49,0),MATCH(Orders!O$1,Products!$A$1:$G$1,0))</f>
        <v>7.77</v>
      </c>
      <c r="P398" s="7">
        <f t="shared" si="6"/>
        <v>38.849999999999994</v>
      </c>
      <c r="Q398" t="str" cm="1">
        <f t="array" ref="Q398">_xlfn.IFS(L398="Rob","Robusta",L398="Exc", "Excelsa",L398="Ara", "Arabica",L398="Lib", "Liberica")</f>
        <v>Arabica</v>
      </c>
      <c r="R398" t="str" cm="1">
        <f t="array" ref="R398">_xlfn.IFS(M398="M","Medium",M398="L","Light",M398="D","Dark")</f>
        <v>Light</v>
      </c>
    </row>
    <row r="399" spans="1:18">
      <c r="A399" s="2" t="s">
        <v>842</v>
      </c>
      <c r="B399" s="3">
        <v>43720</v>
      </c>
      <c r="C399" s="9">
        <f>YEAR(Orders_Table[[#This Row],[Order Date]])</f>
        <v>2019</v>
      </c>
      <c r="D399" s="9">
        <f>MONTH(Orders_Table[[#This Row],[Order Date]])</f>
        <v>9</v>
      </c>
      <c r="E399" s="9" t="str" cm="1">
        <f t="array" ref="E3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399" s="2" t="s">
        <v>843</v>
      </c>
      <c r="G399" t="s">
        <v>170</v>
      </c>
      <c r="H399" s="2">
        <v>4</v>
      </c>
      <c r="I399" s="2" t="str" cm="1">
        <f t="array" ref="I399">_xlfn.XLOOKUP(F399,Customers!A398:$A$1001,Customers!B398:$B$1001,"Not Found",0)</f>
        <v>Fleur Parres</v>
      </c>
      <c r="J399" s="2" t="str" cm="1">
        <f t="array" ref="J399">IF(_xlfn.XLOOKUP(F399,Customers!A398:$A$1001,Customers!C398:$C$1001,"Not Found",0)=0,"",_xlfn.XLOOKUP(F399,Customers!A398:$A$1001,Customers!C398:$C$1001,"Not Found",0))</f>
        <v>fparresb1@imageshack.us</v>
      </c>
      <c r="K399" s="2" t="str" cm="1">
        <f t="array" ref="K399">_xlfn.XLOOKUP(F399,Customers!A398:$A$1001,Customers!G398:$G$1001,"Not Found",0)</f>
        <v>United States</v>
      </c>
      <c r="L399" t="str">
        <f>INDEX(Products!$A$1:$G$49,MATCH(Orders!$G399,Products!$A$1:$A$49,0),MATCH(Orders!L$1,Products!$A$1:$G$1,0))</f>
        <v>Lib</v>
      </c>
      <c r="M399" t="str">
        <f>INDEX(Products!$A$1:$G$49,MATCH(Orders!$G399,Products!$A$1:$A$49,0),MATCH(Orders!M$1,Products!$A$1:$G$1,0))</f>
        <v>D</v>
      </c>
      <c r="N399" s="4">
        <f>INDEX(Products!$A$1:$G$49,MATCH(Orders!$G399,Products!$A$1:$A$49,0),MATCH(Orders!N$1,Products!$A$1:$G$1,0))</f>
        <v>0.5</v>
      </c>
      <c r="O399" s="7">
        <f>INDEX(Products!$A$1:$G$49,MATCH(Orders!$G399,Products!$A$1:$A$49,0),MATCH(Orders!O$1,Products!$A$1:$G$1,0))</f>
        <v>7.77</v>
      </c>
      <c r="P399" s="7">
        <f t="shared" si="6"/>
        <v>31.08</v>
      </c>
      <c r="Q399" t="str" cm="1">
        <f t="array" ref="Q399">_xlfn.IFS(L399="Rob","Robusta",L399="Exc", "Excelsa",L399="Ara", "Arabica",L399="Lib", "Liberica")</f>
        <v>Liberica</v>
      </c>
      <c r="R399" t="str" cm="1">
        <f t="array" ref="R399">_xlfn.IFS(M399="M","Medium",M399="L","Light",M399="D","Dark")</f>
        <v>Dark</v>
      </c>
    </row>
    <row r="400" spans="1:18">
      <c r="A400" s="2" t="s">
        <v>844</v>
      </c>
      <c r="B400" s="3">
        <v>43677</v>
      </c>
      <c r="C400" s="9">
        <f>YEAR(Orders_Table[[#This Row],[Order Date]])</f>
        <v>2019</v>
      </c>
      <c r="D400" s="9">
        <f>MONTH(Orders_Table[[#This Row],[Order Date]])</f>
        <v>7</v>
      </c>
      <c r="E400" s="9" t="str" cm="1">
        <f t="array" ref="E4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00" s="2" t="s">
        <v>845</v>
      </c>
      <c r="G400" t="s">
        <v>101</v>
      </c>
      <c r="H400" s="2">
        <v>6</v>
      </c>
      <c r="I400" s="2" t="str" cm="1">
        <f t="array" ref="I400">_xlfn.XLOOKUP(F400,Customers!A399:$A$1001,Customers!B399:$B$1001,"Not Found",0)</f>
        <v>Gran Sibray</v>
      </c>
      <c r="J400" s="2" t="str" cm="1">
        <f t="array" ref="J400">IF(_xlfn.XLOOKUP(F400,Customers!A399:$A$1001,Customers!C399:$C$1001,"Not Found",0)=0,"",_xlfn.XLOOKUP(F400,Customers!A399:$A$1001,Customers!C399:$C$1001,"Not Found",0))</f>
        <v>gsibrayb2@wsj.com</v>
      </c>
      <c r="K400" s="2" t="str" cm="1">
        <f t="array" ref="K400">_xlfn.XLOOKUP(F400,Customers!A399:$A$1001,Customers!G399:$G$1001,"Not Found",0)</f>
        <v>United States</v>
      </c>
      <c r="L400" t="str">
        <f>INDEX(Products!$A$1:$G$49,MATCH(Orders!$G400,Products!$A$1:$A$49,0),MATCH(Orders!L$1,Products!$A$1:$G$1,0))</f>
        <v>Ara</v>
      </c>
      <c r="M400" t="str">
        <f>INDEX(Products!$A$1:$G$49,MATCH(Orders!$G400,Products!$A$1:$A$49,0),MATCH(Orders!M$1,Products!$A$1:$G$1,0))</f>
        <v>D</v>
      </c>
      <c r="N400" s="4">
        <f>INDEX(Products!$A$1:$G$49,MATCH(Orders!$G400,Products!$A$1:$A$49,0),MATCH(Orders!N$1,Products!$A$1:$G$1,0))</f>
        <v>0.2</v>
      </c>
      <c r="O400" s="7">
        <f>INDEX(Products!$A$1:$G$49,MATCH(Orders!$G400,Products!$A$1:$A$49,0),MATCH(Orders!O$1,Products!$A$1:$G$1,0))</f>
        <v>2.9849999999999999</v>
      </c>
      <c r="P400" s="7">
        <f t="shared" si="6"/>
        <v>17.91</v>
      </c>
      <c r="Q400" t="str" cm="1">
        <f t="array" ref="Q400">_xlfn.IFS(L400="Rob","Robusta",L400="Exc", "Excelsa",L400="Ara", "Arabica",L400="Lib", "Liberica")</f>
        <v>Arabica</v>
      </c>
      <c r="R400" t="str" cm="1">
        <f t="array" ref="R400">_xlfn.IFS(M400="M","Medium",M400="L","Light",M400="D","Dark")</f>
        <v>Dark</v>
      </c>
    </row>
    <row r="401" spans="1:18">
      <c r="A401" s="2" t="s">
        <v>846</v>
      </c>
      <c r="B401" s="3">
        <v>43539</v>
      </c>
      <c r="C401" s="9">
        <f>YEAR(Orders_Table[[#This Row],[Order Date]])</f>
        <v>2019</v>
      </c>
      <c r="D401" s="9">
        <f>MONTH(Orders_Table[[#This Row],[Order Date]])</f>
        <v>3</v>
      </c>
      <c r="E401" s="9" t="str" cm="1">
        <f t="array" ref="E4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401" s="2" t="s">
        <v>847</v>
      </c>
      <c r="G401" t="s">
        <v>577</v>
      </c>
      <c r="H401" s="2">
        <v>6</v>
      </c>
      <c r="I401" s="2" t="str" cm="1">
        <f t="array" ref="I401">_xlfn.XLOOKUP(F401,Customers!A400:$A$1001,Customers!B400:$B$1001,"Not Found",0)</f>
        <v>Ingelbert Hotchkin</v>
      </c>
      <c r="J401" s="2" t="str" cm="1">
        <f t="array" ref="J401">IF(_xlfn.XLOOKUP(F401,Customers!A400:$A$1001,Customers!C400:$C$1001,"Not Found",0)=0,"",_xlfn.XLOOKUP(F401,Customers!A400:$A$1001,Customers!C400:$C$1001,"Not Found",0))</f>
        <v>ihotchkinb3@mit.edu</v>
      </c>
      <c r="K401" s="2" t="str" cm="1">
        <f t="array" ref="K401">_xlfn.XLOOKUP(F401,Customers!A400:$A$1001,Customers!G400:$G$1001,"Not Found",0)</f>
        <v>United Kingdom</v>
      </c>
      <c r="L401" t="str">
        <f>INDEX(Products!$A$1:$G$49,MATCH(Orders!$G401,Products!$A$1:$A$49,0),MATCH(Orders!L$1,Products!$A$1:$G$1,0))</f>
        <v>Exc</v>
      </c>
      <c r="M401" t="str">
        <f>INDEX(Products!$A$1:$G$49,MATCH(Orders!$G401,Products!$A$1:$A$49,0),MATCH(Orders!M$1,Products!$A$1:$G$1,0))</f>
        <v>D</v>
      </c>
      <c r="N401" s="4">
        <f>INDEX(Products!$A$1:$G$49,MATCH(Orders!$G401,Products!$A$1:$A$49,0),MATCH(Orders!N$1,Products!$A$1:$G$1,0))</f>
        <v>2.5</v>
      </c>
      <c r="O401" s="7">
        <f>INDEX(Products!$A$1:$G$49,MATCH(Orders!$G401,Products!$A$1:$A$49,0),MATCH(Orders!O$1,Products!$A$1:$G$1,0))</f>
        <v>27.945</v>
      </c>
      <c r="P401" s="7">
        <f t="shared" si="6"/>
        <v>167.67000000000002</v>
      </c>
      <c r="Q401" t="str" cm="1">
        <f t="array" ref="Q401">_xlfn.IFS(L401="Rob","Robusta",L401="Exc", "Excelsa",L401="Ara", "Arabica",L401="Lib", "Liberica")</f>
        <v>Excelsa</v>
      </c>
      <c r="R401" t="str" cm="1">
        <f t="array" ref="R401">_xlfn.IFS(M401="M","Medium",M401="L","Light",M401="D","Dark")</f>
        <v>Dark</v>
      </c>
    </row>
    <row r="402" spans="1:18">
      <c r="A402" s="2" t="s">
        <v>848</v>
      </c>
      <c r="B402" s="3">
        <v>44332</v>
      </c>
      <c r="C402" s="9">
        <f>YEAR(Orders_Table[[#This Row],[Order Date]])</f>
        <v>2021</v>
      </c>
      <c r="D402" s="9">
        <f>MONTH(Orders_Table[[#This Row],[Order Date]])</f>
        <v>5</v>
      </c>
      <c r="E402" s="9" t="str" cm="1">
        <f t="array" ref="E4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02" s="2" t="s">
        <v>849</v>
      </c>
      <c r="G402" t="s">
        <v>179</v>
      </c>
      <c r="H402" s="2">
        <v>4</v>
      </c>
      <c r="I402" s="2" t="str" cm="1">
        <f t="array" ref="I402">_xlfn.XLOOKUP(F402,Customers!A401:$A$1001,Customers!B401:$B$1001,"Not Found",0)</f>
        <v>Neely Broadberrie</v>
      </c>
      <c r="J402" s="2" t="str" cm="1">
        <f t="array" ref="J402">IF(_xlfn.XLOOKUP(F402,Customers!A401:$A$1001,Customers!C401:$C$1001,"Not Found",0)=0,"",_xlfn.XLOOKUP(F402,Customers!A401:$A$1001,Customers!C401:$C$1001,"Not Found",0))</f>
        <v>nbroadberrieb4@gnu.org</v>
      </c>
      <c r="K402" s="2" t="str" cm="1">
        <f t="array" ref="K402">_xlfn.XLOOKUP(F402,Customers!A401:$A$1001,Customers!G401:$G$1001,"Not Found",0)</f>
        <v>United States</v>
      </c>
      <c r="L402" t="str">
        <f>INDEX(Products!$A$1:$G$49,MATCH(Orders!$G402,Products!$A$1:$A$49,0),MATCH(Orders!L$1,Products!$A$1:$G$1,0))</f>
        <v>Lib</v>
      </c>
      <c r="M402" t="str">
        <f>INDEX(Products!$A$1:$G$49,MATCH(Orders!$G402,Products!$A$1:$A$49,0),MATCH(Orders!M$1,Products!$A$1:$G$1,0))</f>
        <v>L</v>
      </c>
      <c r="N402" s="4">
        <f>INDEX(Products!$A$1:$G$49,MATCH(Orders!$G402,Products!$A$1:$A$49,0),MATCH(Orders!N$1,Products!$A$1:$G$1,0))</f>
        <v>1</v>
      </c>
      <c r="O402" s="7">
        <f>INDEX(Products!$A$1:$G$49,MATCH(Orders!$G402,Products!$A$1:$A$49,0),MATCH(Orders!O$1,Products!$A$1:$G$1,0))</f>
        <v>15.85</v>
      </c>
      <c r="P402" s="7">
        <f t="shared" si="6"/>
        <v>63.4</v>
      </c>
      <c r="Q402" t="str" cm="1">
        <f t="array" ref="Q402">_xlfn.IFS(L402="Rob","Robusta",L402="Exc", "Excelsa",L402="Ara", "Arabica",L402="Lib", "Liberica")</f>
        <v>Liberica</v>
      </c>
      <c r="R402" t="str" cm="1">
        <f t="array" ref="R402">_xlfn.IFS(M402="M","Medium",M402="L","Light",M402="D","Dark")</f>
        <v>Light</v>
      </c>
    </row>
    <row r="403" spans="1:18">
      <c r="A403" s="2" t="s">
        <v>850</v>
      </c>
      <c r="B403" s="3">
        <v>43591</v>
      </c>
      <c r="C403" s="9">
        <f>YEAR(Orders_Table[[#This Row],[Order Date]])</f>
        <v>2019</v>
      </c>
      <c r="D403" s="9">
        <f>MONTH(Orders_Table[[#This Row],[Order Date]])</f>
        <v>5</v>
      </c>
      <c r="E403" s="9" t="str" cm="1">
        <f t="array" ref="E4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03" s="2" t="s">
        <v>851</v>
      </c>
      <c r="G403" t="s">
        <v>124</v>
      </c>
      <c r="H403" s="2">
        <v>2</v>
      </c>
      <c r="I403" s="2" t="str" cm="1">
        <f t="array" ref="I403">_xlfn.XLOOKUP(F403,Customers!A402:$A$1001,Customers!B402:$B$1001,"Not Found",0)</f>
        <v>Rutger Pithcock</v>
      </c>
      <c r="J403" s="2" t="str" cm="1">
        <f t="array" ref="J403">IF(_xlfn.XLOOKUP(F403,Customers!A402:$A$1001,Customers!C402:$C$1001,"Not Found",0)=0,"",_xlfn.XLOOKUP(F403,Customers!A402:$A$1001,Customers!C402:$C$1001,"Not Found",0))</f>
        <v>rpithcockb5@yellowbook.com</v>
      </c>
      <c r="K403" s="2" t="str" cm="1">
        <f t="array" ref="K403">_xlfn.XLOOKUP(F403,Customers!A402:$A$1001,Customers!G402:$G$1001,"Not Found",0)</f>
        <v>United States</v>
      </c>
      <c r="L403" t="str">
        <f>INDEX(Products!$A$1:$G$49,MATCH(Orders!$G403,Products!$A$1:$A$49,0),MATCH(Orders!L$1,Products!$A$1:$G$1,0))</f>
        <v>Lib</v>
      </c>
      <c r="M403" t="str">
        <f>INDEX(Products!$A$1:$G$49,MATCH(Orders!$G403,Products!$A$1:$A$49,0),MATCH(Orders!M$1,Products!$A$1:$G$1,0))</f>
        <v>M</v>
      </c>
      <c r="N403" s="4">
        <f>INDEX(Products!$A$1:$G$49,MATCH(Orders!$G403,Products!$A$1:$A$49,0),MATCH(Orders!N$1,Products!$A$1:$G$1,0))</f>
        <v>0.2</v>
      </c>
      <c r="O403" s="7">
        <f>INDEX(Products!$A$1:$G$49,MATCH(Orders!$G403,Products!$A$1:$A$49,0),MATCH(Orders!O$1,Products!$A$1:$G$1,0))</f>
        <v>4.3650000000000002</v>
      </c>
      <c r="P403" s="7">
        <f t="shared" si="6"/>
        <v>8.73</v>
      </c>
      <c r="Q403" t="str" cm="1">
        <f t="array" ref="Q403">_xlfn.IFS(L403="Rob","Robusta",L403="Exc", "Excelsa",L403="Ara", "Arabica",L403="Lib", "Liberica")</f>
        <v>Liberica</v>
      </c>
      <c r="R403" t="str" cm="1">
        <f t="array" ref="R403">_xlfn.IFS(M403="M","Medium",M403="L","Light",M403="D","Dark")</f>
        <v>Medium</v>
      </c>
    </row>
    <row r="404" spans="1:18">
      <c r="A404" s="2" t="s">
        <v>852</v>
      </c>
      <c r="B404" s="3">
        <v>43502</v>
      </c>
      <c r="C404" s="9">
        <f>YEAR(Orders_Table[[#This Row],[Order Date]])</f>
        <v>2019</v>
      </c>
      <c r="D404" s="9">
        <f>MONTH(Orders_Table[[#This Row],[Order Date]])</f>
        <v>2</v>
      </c>
      <c r="E404" s="9" t="str" cm="1">
        <f t="array" ref="E4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04" s="2" t="s">
        <v>853</v>
      </c>
      <c r="G404" t="s">
        <v>226</v>
      </c>
      <c r="H404" s="2">
        <v>3</v>
      </c>
      <c r="I404" s="2" t="str" cm="1">
        <f t="array" ref="I404">_xlfn.XLOOKUP(F404,Customers!A403:$A$1001,Customers!B403:$B$1001,"Not Found",0)</f>
        <v>Gale Croysdale</v>
      </c>
      <c r="J404" s="2" t="str" cm="1">
        <f t="array" ref="J404">IF(_xlfn.XLOOKUP(F404,Customers!A403:$A$1001,Customers!C403:$C$1001,"Not Found",0)=0,"",_xlfn.XLOOKUP(F404,Customers!A403:$A$1001,Customers!C403:$C$1001,"Not Found",0))</f>
        <v>gcroysdaleb6@nih.gov</v>
      </c>
      <c r="K404" s="2" t="str" cm="1">
        <f t="array" ref="K404">_xlfn.XLOOKUP(F404,Customers!A403:$A$1001,Customers!G403:$G$1001,"Not Found",0)</f>
        <v>United States</v>
      </c>
      <c r="L404" t="str">
        <f>INDEX(Products!$A$1:$G$49,MATCH(Orders!$G404,Products!$A$1:$A$49,0),MATCH(Orders!L$1,Products!$A$1:$G$1,0))</f>
        <v>Rob</v>
      </c>
      <c r="M404" t="str">
        <f>INDEX(Products!$A$1:$G$49,MATCH(Orders!$G404,Products!$A$1:$A$49,0),MATCH(Orders!M$1,Products!$A$1:$G$1,0))</f>
        <v>D</v>
      </c>
      <c r="N404" s="4">
        <f>INDEX(Products!$A$1:$G$49,MATCH(Orders!$G404,Products!$A$1:$A$49,0),MATCH(Orders!N$1,Products!$A$1:$G$1,0))</f>
        <v>1</v>
      </c>
      <c r="O404" s="7">
        <f>INDEX(Products!$A$1:$G$49,MATCH(Orders!$G404,Products!$A$1:$A$49,0),MATCH(Orders!O$1,Products!$A$1:$G$1,0))</f>
        <v>8.9499999999999993</v>
      </c>
      <c r="P404" s="7">
        <f t="shared" si="6"/>
        <v>26.849999999999998</v>
      </c>
      <c r="Q404" t="str" cm="1">
        <f t="array" ref="Q404">_xlfn.IFS(L404="Rob","Robusta",L404="Exc", "Excelsa",L404="Ara", "Arabica",L404="Lib", "Liberica")</f>
        <v>Robusta</v>
      </c>
      <c r="R404" t="str" cm="1">
        <f t="array" ref="R404">_xlfn.IFS(M404="M","Medium",M404="L","Light",M404="D","Dark")</f>
        <v>Dark</v>
      </c>
    </row>
    <row r="405" spans="1:18">
      <c r="A405" s="2" t="s">
        <v>854</v>
      </c>
      <c r="B405" s="3">
        <v>44295</v>
      </c>
      <c r="C405" s="9">
        <f>YEAR(Orders_Table[[#This Row],[Order Date]])</f>
        <v>2021</v>
      </c>
      <c r="D405" s="9">
        <f>MONTH(Orders_Table[[#This Row],[Order Date]])</f>
        <v>4</v>
      </c>
      <c r="E405" s="9" t="str" cm="1">
        <f t="array" ref="E4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05" s="2" t="s">
        <v>855</v>
      </c>
      <c r="G405" t="s">
        <v>66</v>
      </c>
      <c r="H405" s="2">
        <v>2</v>
      </c>
      <c r="I405" s="2" t="str" cm="1">
        <f t="array" ref="I405">_xlfn.XLOOKUP(F405,Customers!A404:$A$1001,Customers!B404:$B$1001,"Not Found",0)</f>
        <v>Benedetto Gozzett</v>
      </c>
      <c r="J405" s="2" t="str" cm="1">
        <f t="array" ref="J405">IF(_xlfn.XLOOKUP(F405,Customers!A404:$A$1001,Customers!C404:$C$1001,"Not Found",0)=0,"",_xlfn.XLOOKUP(F405,Customers!A404:$A$1001,Customers!C404:$C$1001,"Not Found",0))</f>
        <v>bgozzettb7@github.com</v>
      </c>
      <c r="K405" s="2" t="str" cm="1">
        <f t="array" ref="K405">_xlfn.XLOOKUP(F405,Customers!A404:$A$1001,Customers!G404:$G$1001,"Not Found",0)</f>
        <v>United States</v>
      </c>
      <c r="L405" t="str">
        <f>INDEX(Products!$A$1:$G$49,MATCH(Orders!$G405,Products!$A$1:$A$49,0),MATCH(Orders!L$1,Products!$A$1:$G$1,0))</f>
        <v>Lib</v>
      </c>
      <c r="M405" t="str">
        <f>INDEX(Products!$A$1:$G$49,MATCH(Orders!$G405,Products!$A$1:$A$49,0),MATCH(Orders!M$1,Products!$A$1:$G$1,0))</f>
        <v>L</v>
      </c>
      <c r="N405" s="4">
        <f>INDEX(Products!$A$1:$G$49,MATCH(Orders!$G405,Products!$A$1:$A$49,0),MATCH(Orders!N$1,Products!$A$1:$G$1,0))</f>
        <v>0.2</v>
      </c>
      <c r="O405" s="7">
        <f>INDEX(Products!$A$1:$G$49,MATCH(Orders!$G405,Products!$A$1:$A$49,0),MATCH(Orders!O$1,Products!$A$1:$G$1,0))</f>
        <v>4.7549999999999999</v>
      </c>
      <c r="P405" s="7">
        <f t="shared" si="6"/>
        <v>9.51</v>
      </c>
      <c r="Q405" t="str" cm="1">
        <f t="array" ref="Q405">_xlfn.IFS(L405="Rob","Robusta",L405="Exc", "Excelsa",L405="Ara", "Arabica",L405="Lib", "Liberica")</f>
        <v>Liberica</v>
      </c>
      <c r="R405" t="str" cm="1">
        <f t="array" ref="R405">_xlfn.IFS(M405="M","Medium",M405="L","Light",M405="D","Dark")</f>
        <v>Light</v>
      </c>
    </row>
    <row r="406" spans="1:18">
      <c r="A406" s="2" t="s">
        <v>856</v>
      </c>
      <c r="B406" s="3">
        <v>43971</v>
      </c>
      <c r="C406" s="9">
        <f>YEAR(Orders_Table[[#This Row],[Order Date]])</f>
        <v>2020</v>
      </c>
      <c r="D406" s="9">
        <f>MONTH(Orders_Table[[#This Row],[Order Date]])</f>
        <v>5</v>
      </c>
      <c r="E406" s="9" t="str" cm="1">
        <f t="array" ref="E4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06" s="2" t="s">
        <v>857</v>
      </c>
      <c r="G406" t="s">
        <v>74</v>
      </c>
      <c r="H406" s="2">
        <v>4</v>
      </c>
      <c r="I406" s="2" t="str" cm="1">
        <f t="array" ref="I406">_xlfn.XLOOKUP(F406,Customers!A405:$A$1001,Customers!B405:$B$1001,"Not Found",0)</f>
        <v>Tania Craggs</v>
      </c>
      <c r="J406" s="2" t="str" cm="1">
        <f t="array" ref="J406">IF(_xlfn.XLOOKUP(F406,Customers!A405:$A$1001,Customers!C405:$C$1001,"Not Found",0)=0,"",_xlfn.XLOOKUP(F406,Customers!A405:$A$1001,Customers!C405:$C$1001,"Not Found",0))</f>
        <v>tcraggsb8@house.gov</v>
      </c>
      <c r="K406" s="2" t="str" cm="1">
        <f t="array" ref="K406">_xlfn.XLOOKUP(F406,Customers!A405:$A$1001,Customers!G405:$G$1001,"Not Found",0)</f>
        <v>Ireland</v>
      </c>
      <c r="L406" t="str">
        <f>INDEX(Products!$A$1:$G$49,MATCH(Orders!$G406,Products!$A$1:$A$49,0),MATCH(Orders!L$1,Products!$A$1:$G$1,0))</f>
        <v>Ara</v>
      </c>
      <c r="M406" t="str">
        <f>INDEX(Products!$A$1:$G$49,MATCH(Orders!$G406,Products!$A$1:$A$49,0),MATCH(Orders!M$1,Products!$A$1:$G$1,0))</f>
        <v>D</v>
      </c>
      <c r="N406" s="4">
        <f>INDEX(Products!$A$1:$G$49,MATCH(Orders!$G406,Products!$A$1:$A$49,0),MATCH(Orders!N$1,Products!$A$1:$G$1,0))</f>
        <v>1</v>
      </c>
      <c r="O406" s="7">
        <f>INDEX(Products!$A$1:$G$49,MATCH(Orders!$G406,Products!$A$1:$A$49,0),MATCH(Orders!O$1,Products!$A$1:$G$1,0))</f>
        <v>9.9499999999999993</v>
      </c>
      <c r="P406" s="7">
        <f t="shared" si="6"/>
        <v>39.799999999999997</v>
      </c>
      <c r="Q406" t="str" cm="1">
        <f t="array" ref="Q406">_xlfn.IFS(L406="Rob","Robusta",L406="Exc", "Excelsa",L406="Ara", "Arabica",L406="Lib", "Liberica")</f>
        <v>Arabica</v>
      </c>
      <c r="R406" t="str" cm="1">
        <f t="array" ref="R406">_xlfn.IFS(M406="M","Medium",M406="L","Light",M406="D","Dark")</f>
        <v>Dark</v>
      </c>
    </row>
    <row r="407" spans="1:18">
      <c r="A407" s="2" t="s">
        <v>858</v>
      </c>
      <c r="B407" s="3">
        <v>44167</v>
      </c>
      <c r="C407" s="9">
        <f>YEAR(Orders_Table[[#This Row],[Order Date]])</f>
        <v>2020</v>
      </c>
      <c r="D407" s="9">
        <f>MONTH(Orders_Table[[#This Row],[Order Date]])</f>
        <v>12</v>
      </c>
      <c r="E407" s="9" t="str" cm="1">
        <f t="array" ref="E4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07" s="2" t="s">
        <v>859</v>
      </c>
      <c r="G407" t="s">
        <v>50</v>
      </c>
      <c r="H407" s="2">
        <v>3</v>
      </c>
      <c r="I407" s="2" t="str" cm="1">
        <f t="array" ref="I407">_xlfn.XLOOKUP(F407,Customers!A406:$A$1001,Customers!B406:$B$1001,"Not Found",0)</f>
        <v>Leonie Cullrford</v>
      </c>
      <c r="J407" s="2" t="str" cm="1">
        <f t="array" ref="J407">IF(_xlfn.XLOOKUP(F407,Customers!A406:$A$1001,Customers!C406:$C$1001,"Not Found",0)=0,"",_xlfn.XLOOKUP(F407,Customers!A406:$A$1001,Customers!C406:$C$1001,"Not Found",0))</f>
        <v>lcullrfordb9@xing.com</v>
      </c>
      <c r="K407" s="2" t="str" cm="1">
        <f t="array" ref="K407">_xlfn.XLOOKUP(F407,Customers!A406:$A$1001,Customers!G406:$G$1001,"Not Found",0)</f>
        <v>United States</v>
      </c>
      <c r="L407" t="str">
        <f>INDEX(Products!$A$1:$G$49,MATCH(Orders!$G407,Products!$A$1:$A$49,0),MATCH(Orders!L$1,Products!$A$1:$G$1,0))</f>
        <v>Exc</v>
      </c>
      <c r="M407" t="str">
        <f>INDEX(Products!$A$1:$G$49,MATCH(Orders!$G407,Products!$A$1:$A$49,0),MATCH(Orders!M$1,Products!$A$1:$G$1,0))</f>
        <v>M</v>
      </c>
      <c r="N407" s="4">
        <f>INDEX(Products!$A$1:$G$49,MATCH(Orders!$G407,Products!$A$1:$A$49,0),MATCH(Orders!N$1,Products!$A$1:$G$1,0))</f>
        <v>0.5</v>
      </c>
      <c r="O407" s="7">
        <f>INDEX(Products!$A$1:$G$49,MATCH(Orders!$G407,Products!$A$1:$A$49,0),MATCH(Orders!O$1,Products!$A$1:$G$1,0))</f>
        <v>8.25</v>
      </c>
      <c r="P407" s="7">
        <f t="shared" si="6"/>
        <v>24.75</v>
      </c>
      <c r="Q407" t="str" cm="1">
        <f t="array" ref="Q407">_xlfn.IFS(L407="Rob","Robusta",L407="Exc", "Excelsa",L407="Ara", "Arabica",L407="Lib", "Liberica")</f>
        <v>Excelsa</v>
      </c>
      <c r="R407" t="str" cm="1">
        <f t="array" ref="R407">_xlfn.IFS(M407="M","Medium",M407="L","Light",M407="D","Dark")</f>
        <v>Medium</v>
      </c>
    </row>
    <row r="408" spans="1:18">
      <c r="A408" s="2" t="s">
        <v>860</v>
      </c>
      <c r="B408" s="3">
        <v>44416</v>
      </c>
      <c r="C408" s="9">
        <f>YEAR(Orders_Table[[#This Row],[Order Date]])</f>
        <v>2021</v>
      </c>
      <c r="D408" s="9">
        <f>MONTH(Orders_Table[[#This Row],[Order Date]])</f>
        <v>8</v>
      </c>
      <c r="E408" s="9" t="str" cm="1">
        <f t="array" ref="E4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08" s="2" t="s">
        <v>861</v>
      </c>
      <c r="G408" t="s">
        <v>56</v>
      </c>
      <c r="H408" s="2">
        <v>5</v>
      </c>
      <c r="I408" s="2" t="str" cm="1">
        <f t="array" ref="I408">_xlfn.XLOOKUP(F408,Customers!A407:$A$1001,Customers!B407:$B$1001,"Not Found",0)</f>
        <v>Auguste Rizon</v>
      </c>
      <c r="J408" s="2" t="str" cm="1">
        <f t="array" ref="J408">IF(_xlfn.XLOOKUP(F408,Customers!A407:$A$1001,Customers!C407:$C$1001,"Not Found",0)=0,"",_xlfn.XLOOKUP(F408,Customers!A407:$A$1001,Customers!C407:$C$1001,"Not Found",0))</f>
        <v>arizonba@xing.com</v>
      </c>
      <c r="K408" s="2" t="str" cm="1">
        <f t="array" ref="K408">_xlfn.XLOOKUP(F408,Customers!A407:$A$1001,Customers!G407:$G$1001,"Not Found",0)</f>
        <v>United States</v>
      </c>
      <c r="L408" t="str">
        <f>INDEX(Products!$A$1:$G$49,MATCH(Orders!$G408,Products!$A$1:$A$49,0),MATCH(Orders!L$1,Products!$A$1:$G$1,0))</f>
        <v>Exc</v>
      </c>
      <c r="M408" t="str">
        <f>INDEX(Products!$A$1:$G$49,MATCH(Orders!$G408,Products!$A$1:$A$49,0),MATCH(Orders!M$1,Products!$A$1:$G$1,0))</f>
        <v>M</v>
      </c>
      <c r="N408" s="4">
        <f>INDEX(Products!$A$1:$G$49,MATCH(Orders!$G408,Products!$A$1:$A$49,0),MATCH(Orders!N$1,Products!$A$1:$G$1,0))</f>
        <v>1</v>
      </c>
      <c r="O408" s="7">
        <f>INDEX(Products!$A$1:$G$49,MATCH(Orders!$G408,Products!$A$1:$A$49,0),MATCH(Orders!O$1,Products!$A$1:$G$1,0))</f>
        <v>13.75</v>
      </c>
      <c r="P408" s="7">
        <f t="shared" si="6"/>
        <v>68.75</v>
      </c>
      <c r="Q408" t="str" cm="1">
        <f t="array" ref="Q408">_xlfn.IFS(L408="Rob","Robusta",L408="Exc", "Excelsa",L408="Ara", "Arabica",L408="Lib", "Liberica")</f>
        <v>Excelsa</v>
      </c>
      <c r="R408" t="str" cm="1">
        <f t="array" ref="R408">_xlfn.IFS(M408="M","Medium",M408="L","Light",M408="D","Dark")</f>
        <v>Medium</v>
      </c>
    </row>
    <row r="409" spans="1:18">
      <c r="A409" s="2" t="s">
        <v>862</v>
      </c>
      <c r="B409" s="3">
        <v>44595</v>
      </c>
      <c r="C409" s="9">
        <f>YEAR(Orders_Table[[#This Row],[Order Date]])</f>
        <v>2022</v>
      </c>
      <c r="D409" s="9">
        <f>MONTH(Orders_Table[[#This Row],[Order Date]])</f>
        <v>2</v>
      </c>
      <c r="E409" s="9" t="str" cm="1">
        <f t="array" ref="E4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09" s="2" t="s">
        <v>863</v>
      </c>
      <c r="G409" t="s">
        <v>50</v>
      </c>
      <c r="H409" s="2">
        <v>6</v>
      </c>
      <c r="I409" s="2" t="str" cm="1">
        <f t="array" ref="I409">_xlfn.XLOOKUP(F409,Customers!A408:$A$1001,Customers!B408:$B$1001,"Not Found",0)</f>
        <v>Lorin Guerrazzi</v>
      </c>
      <c r="J409" s="2" t="str" cm="1">
        <f t="array" ref="J409">IF(_xlfn.XLOOKUP(F409,Customers!A408:$A$1001,Customers!C408:$C$1001,"Not Found",0)=0,"",_xlfn.XLOOKUP(F409,Customers!A408:$A$1001,Customers!C408:$C$1001,"Not Found",0))</f>
        <v/>
      </c>
      <c r="K409" s="2" t="str" cm="1">
        <f t="array" ref="K409">_xlfn.XLOOKUP(F409,Customers!A408:$A$1001,Customers!G408:$G$1001,"Not Found",0)</f>
        <v>Ireland</v>
      </c>
      <c r="L409" t="str">
        <f>INDEX(Products!$A$1:$G$49,MATCH(Orders!$G409,Products!$A$1:$A$49,0),MATCH(Orders!L$1,Products!$A$1:$G$1,0))</f>
        <v>Exc</v>
      </c>
      <c r="M409" t="str">
        <f>INDEX(Products!$A$1:$G$49,MATCH(Orders!$G409,Products!$A$1:$A$49,0),MATCH(Orders!M$1,Products!$A$1:$G$1,0))</f>
        <v>M</v>
      </c>
      <c r="N409" s="4">
        <f>INDEX(Products!$A$1:$G$49,MATCH(Orders!$G409,Products!$A$1:$A$49,0),MATCH(Orders!N$1,Products!$A$1:$G$1,0))</f>
        <v>0.5</v>
      </c>
      <c r="O409" s="7">
        <f>INDEX(Products!$A$1:$G$49,MATCH(Orders!$G409,Products!$A$1:$A$49,0),MATCH(Orders!O$1,Products!$A$1:$G$1,0))</f>
        <v>8.25</v>
      </c>
      <c r="P409" s="7">
        <f t="shared" si="6"/>
        <v>49.5</v>
      </c>
      <c r="Q409" t="str" cm="1">
        <f t="array" ref="Q409">_xlfn.IFS(L409="Rob","Robusta",L409="Exc", "Excelsa",L409="Ara", "Arabica",L409="Lib", "Liberica")</f>
        <v>Excelsa</v>
      </c>
      <c r="R409" t="str" cm="1">
        <f t="array" ref="R409">_xlfn.IFS(M409="M","Medium",M409="L","Light",M409="D","Dark")</f>
        <v>Medium</v>
      </c>
    </row>
    <row r="410" spans="1:18">
      <c r="A410" s="2" t="s">
        <v>864</v>
      </c>
      <c r="B410" s="3">
        <v>44659</v>
      </c>
      <c r="C410" s="9">
        <f>YEAR(Orders_Table[[#This Row],[Order Date]])</f>
        <v>2022</v>
      </c>
      <c r="D410" s="9">
        <f>MONTH(Orders_Table[[#This Row],[Order Date]])</f>
        <v>4</v>
      </c>
      <c r="E410" s="9" t="str" cm="1">
        <f t="array" ref="E4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10" s="2" t="s">
        <v>865</v>
      </c>
      <c r="G410" t="s">
        <v>218</v>
      </c>
      <c r="H410" s="2">
        <v>2</v>
      </c>
      <c r="I410" s="2" t="str" cm="1">
        <f t="array" ref="I410">_xlfn.XLOOKUP(F410,Customers!A409:$A$1001,Customers!B409:$B$1001,"Not Found",0)</f>
        <v>Felice Miell</v>
      </c>
      <c r="J410" s="2" t="str" cm="1">
        <f t="array" ref="J410">IF(_xlfn.XLOOKUP(F410,Customers!A409:$A$1001,Customers!C409:$C$1001,"Not Found",0)=0,"",_xlfn.XLOOKUP(F410,Customers!A409:$A$1001,Customers!C409:$C$1001,"Not Found",0))</f>
        <v>fmiellbc@spiegel.de</v>
      </c>
      <c r="K410" s="2" t="str" cm="1">
        <f t="array" ref="K410">_xlfn.XLOOKUP(F410,Customers!A409:$A$1001,Customers!G409:$G$1001,"Not Found",0)</f>
        <v>United States</v>
      </c>
      <c r="L410" t="str">
        <f>INDEX(Products!$A$1:$G$49,MATCH(Orders!$G410,Products!$A$1:$A$49,0),MATCH(Orders!L$1,Products!$A$1:$G$1,0))</f>
        <v>Ara</v>
      </c>
      <c r="M410" t="str">
        <f>INDEX(Products!$A$1:$G$49,MATCH(Orders!$G410,Products!$A$1:$A$49,0),MATCH(Orders!M$1,Products!$A$1:$G$1,0))</f>
        <v>M</v>
      </c>
      <c r="N410" s="4">
        <f>INDEX(Products!$A$1:$G$49,MATCH(Orders!$G410,Products!$A$1:$A$49,0),MATCH(Orders!N$1,Products!$A$1:$G$1,0))</f>
        <v>2.5</v>
      </c>
      <c r="O410" s="7">
        <f>INDEX(Products!$A$1:$G$49,MATCH(Orders!$G410,Products!$A$1:$A$49,0),MATCH(Orders!O$1,Products!$A$1:$G$1,0))</f>
        <v>25.874999999999996</v>
      </c>
      <c r="P410" s="7">
        <f t="shared" si="6"/>
        <v>51.749999999999993</v>
      </c>
      <c r="Q410" t="str" cm="1">
        <f t="array" ref="Q410">_xlfn.IFS(L410="Rob","Robusta",L410="Exc", "Excelsa",L410="Ara", "Arabica",L410="Lib", "Liberica")</f>
        <v>Arabica</v>
      </c>
      <c r="R410" t="str" cm="1">
        <f t="array" ref="R410">_xlfn.IFS(M410="M","Medium",M410="L","Light",M410="D","Dark")</f>
        <v>Medium</v>
      </c>
    </row>
    <row r="411" spans="1:18">
      <c r="A411" s="2" t="s">
        <v>866</v>
      </c>
      <c r="B411" s="3">
        <v>44203</v>
      </c>
      <c r="C411" s="9">
        <f>YEAR(Orders_Table[[#This Row],[Order Date]])</f>
        <v>2021</v>
      </c>
      <c r="D411" s="9">
        <f>MONTH(Orders_Table[[#This Row],[Order Date]])</f>
        <v>1</v>
      </c>
      <c r="E411" s="9" t="str" cm="1">
        <f t="array" ref="E4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11" s="2" t="s">
        <v>867</v>
      </c>
      <c r="G411" t="s">
        <v>179</v>
      </c>
      <c r="H411" s="2">
        <v>3</v>
      </c>
      <c r="I411" s="2" t="str" cm="1">
        <f t="array" ref="I411">_xlfn.XLOOKUP(F411,Customers!A410:$A$1001,Customers!B410:$B$1001,"Not Found",0)</f>
        <v>Hamish Skeech</v>
      </c>
      <c r="J411" s="2" t="str" cm="1">
        <f t="array" ref="J411">IF(_xlfn.XLOOKUP(F411,Customers!A410:$A$1001,Customers!C410:$C$1001,"Not Found",0)=0,"",_xlfn.XLOOKUP(F411,Customers!A410:$A$1001,Customers!C410:$C$1001,"Not Found",0))</f>
        <v/>
      </c>
      <c r="K411" s="2" t="str" cm="1">
        <f t="array" ref="K411">_xlfn.XLOOKUP(F411,Customers!A410:$A$1001,Customers!G410:$G$1001,"Not Found",0)</f>
        <v>Ireland</v>
      </c>
      <c r="L411" t="str">
        <f>INDEX(Products!$A$1:$G$49,MATCH(Orders!$G411,Products!$A$1:$A$49,0),MATCH(Orders!L$1,Products!$A$1:$G$1,0))</f>
        <v>Lib</v>
      </c>
      <c r="M411" t="str">
        <f>INDEX(Products!$A$1:$G$49,MATCH(Orders!$G411,Products!$A$1:$A$49,0),MATCH(Orders!M$1,Products!$A$1:$G$1,0))</f>
        <v>L</v>
      </c>
      <c r="N411" s="4">
        <f>INDEX(Products!$A$1:$G$49,MATCH(Orders!$G411,Products!$A$1:$A$49,0),MATCH(Orders!N$1,Products!$A$1:$G$1,0))</f>
        <v>1</v>
      </c>
      <c r="O411" s="7">
        <f>INDEX(Products!$A$1:$G$49,MATCH(Orders!$G411,Products!$A$1:$A$49,0),MATCH(Orders!O$1,Products!$A$1:$G$1,0))</f>
        <v>15.85</v>
      </c>
      <c r="P411" s="7">
        <f t="shared" si="6"/>
        <v>47.55</v>
      </c>
      <c r="Q411" t="str" cm="1">
        <f t="array" ref="Q411">_xlfn.IFS(L411="Rob","Robusta",L411="Exc", "Excelsa",L411="Ara", "Arabica",L411="Lib", "Liberica")</f>
        <v>Liberica</v>
      </c>
      <c r="R411" t="str" cm="1">
        <f t="array" ref="R411">_xlfn.IFS(M411="M","Medium",M411="L","Light",M411="D","Dark")</f>
        <v>Light</v>
      </c>
    </row>
    <row r="412" spans="1:18">
      <c r="A412" s="2" t="s">
        <v>868</v>
      </c>
      <c r="B412" s="3">
        <v>44441</v>
      </c>
      <c r="C412" s="9">
        <f>YEAR(Orders_Table[[#This Row],[Order Date]])</f>
        <v>2021</v>
      </c>
      <c r="D412" s="9">
        <f>MONTH(Orders_Table[[#This Row],[Order Date]])</f>
        <v>9</v>
      </c>
      <c r="E412" s="9" t="str" cm="1">
        <f t="array" ref="E4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12" s="2" t="s">
        <v>869</v>
      </c>
      <c r="G412" t="s">
        <v>162</v>
      </c>
      <c r="H412" s="2">
        <v>4</v>
      </c>
      <c r="I412" s="2" t="str" cm="1">
        <f t="array" ref="I412">_xlfn.XLOOKUP(F412,Customers!A411:$A$1001,Customers!B411:$B$1001,"Not Found",0)</f>
        <v>Giordano Lorenzin</v>
      </c>
      <c r="J412" s="2" t="str" cm="1">
        <f t="array" ref="J412">IF(_xlfn.XLOOKUP(F412,Customers!A411:$A$1001,Customers!C411:$C$1001,"Not Found",0)=0,"",_xlfn.XLOOKUP(F412,Customers!A411:$A$1001,Customers!C411:$C$1001,"Not Found",0))</f>
        <v/>
      </c>
      <c r="K412" s="2" t="str" cm="1">
        <f t="array" ref="K412">_xlfn.XLOOKUP(F412,Customers!A411:$A$1001,Customers!G411:$G$1001,"Not Found",0)</f>
        <v>United States</v>
      </c>
      <c r="L412" t="str">
        <f>INDEX(Products!$A$1:$G$49,MATCH(Orders!$G412,Products!$A$1:$A$49,0),MATCH(Orders!L$1,Products!$A$1:$G$1,0))</f>
        <v>Ara</v>
      </c>
      <c r="M412" t="str">
        <f>INDEX(Products!$A$1:$G$49,MATCH(Orders!$G412,Products!$A$1:$A$49,0),MATCH(Orders!M$1,Products!$A$1:$G$1,0))</f>
        <v>L</v>
      </c>
      <c r="N412" s="4">
        <f>INDEX(Products!$A$1:$G$49,MATCH(Orders!$G412,Products!$A$1:$A$49,0),MATCH(Orders!N$1,Products!$A$1:$G$1,0))</f>
        <v>0.2</v>
      </c>
      <c r="O412" s="7">
        <f>INDEX(Products!$A$1:$G$49,MATCH(Orders!$G412,Products!$A$1:$A$49,0),MATCH(Orders!O$1,Products!$A$1:$G$1,0))</f>
        <v>3.8849999999999998</v>
      </c>
      <c r="P412" s="7">
        <f t="shared" si="6"/>
        <v>15.54</v>
      </c>
      <c r="Q412" t="str" cm="1">
        <f t="array" ref="Q412">_xlfn.IFS(L412="Rob","Robusta",L412="Exc", "Excelsa",L412="Ara", "Arabica",L412="Lib", "Liberica")</f>
        <v>Arabica</v>
      </c>
      <c r="R412" t="str" cm="1">
        <f t="array" ref="R412">_xlfn.IFS(M412="M","Medium",M412="L","Light",M412="D","Dark")</f>
        <v>Light</v>
      </c>
    </row>
    <row r="413" spans="1:18">
      <c r="A413" s="2" t="s">
        <v>870</v>
      </c>
      <c r="B413" s="3">
        <v>44504</v>
      </c>
      <c r="C413" s="9">
        <f>YEAR(Orders_Table[[#This Row],[Order Date]])</f>
        <v>2021</v>
      </c>
      <c r="D413" s="9">
        <f>MONTH(Orders_Table[[#This Row],[Order Date]])</f>
        <v>11</v>
      </c>
      <c r="E413" s="9" t="str" cm="1">
        <f t="array" ref="E4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13" s="2" t="s">
        <v>871</v>
      </c>
      <c r="G413" t="s">
        <v>143</v>
      </c>
      <c r="H413" s="2">
        <v>6</v>
      </c>
      <c r="I413" s="2" t="str" cm="1">
        <f t="array" ref="I413">_xlfn.XLOOKUP(F413,Customers!A412:$A$1001,Customers!B412:$B$1001,"Not Found",0)</f>
        <v>Harwilll Bishell</v>
      </c>
      <c r="J413" s="2" t="str" cm="1">
        <f t="array" ref="J413">IF(_xlfn.XLOOKUP(F413,Customers!A412:$A$1001,Customers!C412:$C$1001,"Not Found",0)=0,"",_xlfn.XLOOKUP(F413,Customers!A412:$A$1001,Customers!C412:$C$1001,"Not Found",0))</f>
        <v/>
      </c>
      <c r="K413" s="2" t="str" cm="1">
        <f t="array" ref="K413">_xlfn.XLOOKUP(F413,Customers!A412:$A$1001,Customers!G412:$G$1001,"Not Found",0)</f>
        <v>United States</v>
      </c>
      <c r="L413" t="str">
        <f>INDEX(Products!$A$1:$G$49,MATCH(Orders!$G413,Products!$A$1:$A$49,0),MATCH(Orders!L$1,Products!$A$1:$G$1,0))</f>
        <v>Lib</v>
      </c>
      <c r="M413" t="str">
        <f>INDEX(Products!$A$1:$G$49,MATCH(Orders!$G413,Products!$A$1:$A$49,0),MATCH(Orders!M$1,Products!$A$1:$G$1,0))</f>
        <v>M</v>
      </c>
      <c r="N413" s="4">
        <f>INDEX(Products!$A$1:$G$49,MATCH(Orders!$G413,Products!$A$1:$A$49,0),MATCH(Orders!N$1,Products!$A$1:$G$1,0))</f>
        <v>1</v>
      </c>
      <c r="O413" s="7">
        <f>INDEX(Products!$A$1:$G$49,MATCH(Orders!$G413,Products!$A$1:$A$49,0),MATCH(Orders!O$1,Products!$A$1:$G$1,0))</f>
        <v>14.55</v>
      </c>
      <c r="P413" s="7">
        <f t="shared" si="6"/>
        <v>87.300000000000011</v>
      </c>
      <c r="Q413" t="str" cm="1">
        <f t="array" ref="Q413">_xlfn.IFS(L413="Rob","Robusta",L413="Exc", "Excelsa",L413="Ara", "Arabica",L413="Lib", "Liberica")</f>
        <v>Liberica</v>
      </c>
      <c r="R413" t="str" cm="1">
        <f t="array" ref="R413">_xlfn.IFS(M413="M","Medium",M413="L","Light",M413="D","Dark")</f>
        <v>Medium</v>
      </c>
    </row>
    <row r="414" spans="1:18">
      <c r="A414" s="2" t="s">
        <v>872</v>
      </c>
      <c r="B414" s="3">
        <v>44410</v>
      </c>
      <c r="C414" s="9">
        <f>YEAR(Orders_Table[[#This Row],[Order Date]])</f>
        <v>2021</v>
      </c>
      <c r="D414" s="9">
        <f>MONTH(Orders_Table[[#This Row],[Order Date]])</f>
        <v>8</v>
      </c>
      <c r="E414" s="9" t="str" cm="1">
        <f t="array" ref="E4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14" s="2" t="s">
        <v>873</v>
      </c>
      <c r="G414" t="s">
        <v>108</v>
      </c>
      <c r="H414" s="2">
        <v>5</v>
      </c>
      <c r="I414" s="2" t="str" cm="1">
        <f t="array" ref="I414">_xlfn.XLOOKUP(F414,Customers!A413:$A$1001,Customers!B413:$B$1001,"Not Found",0)</f>
        <v>Freeland Missenden</v>
      </c>
      <c r="J414" s="2" t="str" cm="1">
        <f t="array" ref="J414">IF(_xlfn.XLOOKUP(F414,Customers!A413:$A$1001,Customers!C413:$C$1001,"Not Found",0)=0,"",_xlfn.XLOOKUP(F414,Customers!A413:$A$1001,Customers!C413:$C$1001,"Not Found",0))</f>
        <v/>
      </c>
      <c r="K414" s="2" t="str" cm="1">
        <f t="array" ref="K414">_xlfn.XLOOKUP(F414,Customers!A413:$A$1001,Customers!G413:$G$1001,"Not Found",0)</f>
        <v>United States</v>
      </c>
      <c r="L414" t="str">
        <f>INDEX(Products!$A$1:$G$49,MATCH(Orders!$G414,Products!$A$1:$A$49,0),MATCH(Orders!L$1,Products!$A$1:$G$1,0))</f>
        <v>Ara</v>
      </c>
      <c r="M414" t="str">
        <f>INDEX(Products!$A$1:$G$49,MATCH(Orders!$G414,Products!$A$1:$A$49,0),MATCH(Orders!M$1,Products!$A$1:$G$1,0))</f>
        <v>M</v>
      </c>
      <c r="N414" s="4">
        <f>INDEX(Products!$A$1:$G$49,MATCH(Orders!$G414,Products!$A$1:$A$49,0),MATCH(Orders!N$1,Products!$A$1:$G$1,0))</f>
        <v>1</v>
      </c>
      <c r="O414" s="7">
        <f>INDEX(Products!$A$1:$G$49,MATCH(Orders!$G414,Products!$A$1:$A$49,0),MATCH(Orders!O$1,Products!$A$1:$G$1,0))</f>
        <v>11.25</v>
      </c>
      <c r="P414" s="7">
        <f t="shared" si="6"/>
        <v>56.25</v>
      </c>
      <c r="Q414" t="str" cm="1">
        <f t="array" ref="Q414">_xlfn.IFS(L414="Rob","Robusta",L414="Exc", "Excelsa",L414="Ara", "Arabica",L414="Lib", "Liberica")</f>
        <v>Arabica</v>
      </c>
      <c r="R414" t="str" cm="1">
        <f t="array" ref="R414">_xlfn.IFS(M414="M","Medium",M414="L","Light",M414="D","Dark")</f>
        <v>Medium</v>
      </c>
    </row>
    <row r="415" spans="1:18">
      <c r="A415" s="2" t="s">
        <v>874</v>
      </c>
      <c r="B415" s="3">
        <v>43857</v>
      </c>
      <c r="C415" s="9">
        <f>YEAR(Orders_Table[[#This Row],[Order Date]])</f>
        <v>2020</v>
      </c>
      <c r="D415" s="9">
        <f>MONTH(Orders_Table[[#This Row],[Order Date]])</f>
        <v>1</v>
      </c>
      <c r="E415" s="9" t="str" cm="1">
        <f t="array" ref="E4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15" s="2" t="s">
        <v>875</v>
      </c>
      <c r="G415" t="s">
        <v>151</v>
      </c>
      <c r="H415" s="2">
        <v>1</v>
      </c>
      <c r="I415" s="2" t="str" cm="1">
        <f t="array" ref="I415">_xlfn.XLOOKUP(F415,Customers!A414:$A$1001,Customers!B414:$B$1001,"Not Found",0)</f>
        <v>Waylan Springall</v>
      </c>
      <c r="J415" s="2" t="str" cm="1">
        <f t="array" ref="J415">IF(_xlfn.XLOOKUP(F415,Customers!A414:$A$1001,Customers!C414:$C$1001,"Not Found",0)=0,"",_xlfn.XLOOKUP(F415,Customers!A414:$A$1001,Customers!C414:$C$1001,"Not Found",0))</f>
        <v>wspringallbh@jugem.jp</v>
      </c>
      <c r="K415" s="2" t="str" cm="1">
        <f t="array" ref="K415">_xlfn.XLOOKUP(F415,Customers!A414:$A$1001,Customers!G414:$G$1001,"Not Found",0)</f>
        <v>United States</v>
      </c>
      <c r="L415" t="str">
        <f>INDEX(Products!$A$1:$G$49,MATCH(Orders!$G415,Products!$A$1:$A$49,0),MATCH(Orders!L$1,Products!$A$1:$G$1,0))</f>
        <v>Lib</v>
      </c>
      <c r="M415" t="str">
        <f>INDEX(Products!$A$1:$G$49,MATCH(Orders!$G415,Products!$A$1:$A$49,0),MATCH(Orders!M$1,Products!$A$1:$G$1,0))</f>
        <v>L</v>
      </c>
      <c r="N415" s="4">
        <f>INDEX(Products!$A$1:$G$49,MATCH(Orders!$G415,Products!$A$1:$A$49,0),MATCH(Orders!N$1,Products!$A$1:$G$1,0))</f>
        <v>2.5</v>
      </c>
      <c r="O415" s="7">
        <f>INDEX(Products!$A$1:$G$49,MATCH(Orders!$G415,Products!$A$1:$A$49,0),MATCH(Orders!O$1,Products!$A$1:$G$1,0))</f>
        <v>36.454999999999998</v>
      </c>
      <c r="P415" s="7">
        <f t="shared" si="6"/>
        <v>36.454999999999998</v>
      </c>
      <c r="Q415" t="str" cm="1">
        <f t="array" ref="Q415">_xlfn.IFS(L415="Rob","Robusta",L415="Exc", "Excelsa",L415="Ara", "Arabica",L415="Lib", "Liberica")</f>
        <v>Liberica</v>
      </c>
      <c r="R415" t="str" cm="1">
        <f t="array" ref="R415">_xlfn.IFS(M415="M","Medium",M415="L","Light",M415="D","Dark")</f>
        <v>Light</v>
      </c>
    </row>
    <row r="416" spans="1:18">
      <c r="A416" s="2" t="s">
        <v>876</v>
      </c>
      <c r="B416" s="3">
        <v>43802</v>
      </c>
      <c r="C416" s="9">
        <f>YEAR(Orders_Table[[#This Row],[Order Date]])</f>
        <v>2019</v>
      </c>
      <c r="D416" s="9">
        <f>MONTH(Orders_Table[[#This Row],[Order Date]])</f>
        <v>12</v>
      </c>
      <c r="E416" s="9" t="str" cm="1">
        <f t="array" ref="E4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16" s="2" t="s">
        <v>877</v>
      </c>
      <c r="G416" t="s">
        <v>229</v>
      </c>
      <c r="H416" s="2">
        <v>3</v>
      </c>
      <c r="I416" s="2" t="str" cm="1">
        <f t="array" ref="I416">_xlfn.XLOOKUP(F416,Customers!A415:$A$1001,Customers!B415:$B$1001,"Not Found",0)</f>
        <v>Kiri Avramow</v>
      </c>
      <c r="J416" s="2" t="str" cm="1">
        <f t="array" ref="J416">IF(_xlfn.XLOOKUP(F416,Customers!A415:$A$1001,Customers!C415:$C$1001,"Not Found",0)=0,"",_xlfn.XLOOKUP(F416,Customers!A415:$A$1001,Customers!C415:$C$1001,"Not Found",0))</f>
        <v/>
      </c>
      <c r="K416" s="2" t="str" cm="1">
        <f t="array" ref="K416">_xlfn.XLOOKUP(F416,Customers!A415:$A$1001,Customers!G415:$G$1001,"Not Found",0)</f>
        <v>United States</v>
      </c>
      <c r="L416" t="str">
        <f>INDEX(Products!$A$1:$G$49,MATCH(Orders!$G416,Products!$A$1:$A$49,0),MATCH(Orders!L$1,Products!$A$1:$G$1,0))</f>
        <v>Rob</v>
      </c>
      <c r="M416" t="str">
        <f>INDEX(Products!$A$1:$G$49,MATCH(Orders!$G416,Products!$A$1:$A$49,0),MATCH(Orders!M$1,Products!$A$1:$G$1,0))</f>
        <v>L</v>
      </c>
      <c r="N416" s="4">
        <f>INDEX(Products!$A$1:$G$49,MATCH(Orders!$G416,Products!$A$1:$A$49,0),MATCH(Orders!N$1,Products!$A$1:$G$1,0))</f>
        <v>0.2</v>
      </c>
      <c r="O416" s="7">
        <f>INDEX(Products!$A$1:$G$49,MATCH(Orders!$G416,Products!$A$1:$A$49,0),MATCH(Orders!O$1,Products!$A$1:$G$1,0))</f>
        <v>3.5849999999999995</v>
      </c>
      <c r="P416" s="7">
        <f t="shared" si="6"/>
        <v>10.754999999999999</v>
      </c>
      <c r="Q416" t="str" cm="1">
        <f t="array" ref="Q416">_xlfn.IFS(L416="Rob","Robusta",L416="Exc", "Excelsa",L416="Ara", "Arabica",L416="Lib", "Liberica")</f>
        <v>Robusta</v>
      </c>
      <c r="R416" t="str" cm="1">
        <f t="array" ref="R416">_xlfn.IFS(M416="M","Medium",M416="L","Light",M416="D","Dark")</f>
        <v>Light</v>
      </c>
    </row>
    <row r="417" spans="1:18">
      <c r="A417" s="2" t="s">
        <v>878</v>
      </c>
      <c r="B417" s="3">
        <v>43683</v>
      </c>
      <c r="C417" s="9">
        <f>YEAR(Orders_Table[[#This Row],[Order Date]])</f>
        <v>2019</v>
      </c>
      <c r="D417" s="9">
        <f>MONTH(Orders_Table[[#This Row],[Order Date]])</f>
        <v>8</v>
      </c>
      <c r="E417" s="9" t="str" cm="1">
        <f t="array" ref="E4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17" s="2" t="s">
        <v>879</v>
      </c>
      <c r="G417" t="s">
        <v>209</v>
      </c>
      <c r="H417" s="2">
        <v>3</v>
      </c>
      <c r="I417" s="2" t="str" cm="1">
        <f t="array" ref="I417">_xlfn.XLOOKUP(F417,Customers!A416:$A$1001,Customers!B416:$B$1001,"Not Found",0)</f>
        <v>Gregg Hawkyens</v>
      </c>
      <c r="J417" s="2" t="str" cm="1">
        <f t="array" ref="J417">IF(_xlfn.XLOOKUP(F417,Customers!A416:$A$1001,Customers!C416:$C$1001,"Not Found",0)=0,"",_xlfn.XLOOKUP(F417,Customers!A416:$A$1001,Customers!C416:$C$1001,"Not Found",0))</f>
        <v>ghawkyensbj@census.gov</v>
      </c>
      <c r="K417" s="2" t="str" cm="1">
        <f t="array" ref="K417">_xlfn.XLOOKUP(F417,Customers!A416:$A$1001,Customers!G416:$G$1001,"Not Found",0)</f>
        <v>United States</v>
      </c>
      <c r="L417" t="str">
        <f>INDEX(Products!$A$1:$G$49,MATCH(Orders!$G417,Products!$A$1:$A$49,0),MATCH(Orders!L$1,Products!$A$1:$G$1,0))</f>
        <v>Rob</v>
      </c>
      <c r="M417" t="str">
        <f>INDEX(Products!$A$1:$G$49,MATCH(Orders!$G417,Products!$A$1:$A$49,0),MATCH(Orders!M$1,Products!$A$1:$G$1,0))</f>
        <v>M</v>
      </c>
      <c r="N417" s="4">
        <f>INDEX(Products!$A$1:$G$49,MATCH(Orders!$G417,Products!$A$1:$A$49,0),MATCH(Orders!N$1,Products!$A$1:$G$1,0))</f>
        <v>0.2</v>
      </c>
      <c r="O417" s="7">
        <f>INDEX(Products!$A$1:$G$49,MATCH(Orders!$G417,Products!$A$1:$A$49,0),MATCH(Orders!O$1,Products!$A$1:$G$1,0))</f>
        <v>2.9849999999999999</v>
      </c>
      <c r="P417" s="7">
        <f t="shared" si="6"/>
        <v>8.9550000000000001</v>
      </c>
      <c r="Q417" t="str" cm="1">
        <f t="array" ref="Q417">_xlfn.IFS(L417="Rob","Robusta",L417="Exc", "Excelsa",L417="Ara", "Arabica",L417="Lib", "Liberica")</f>
        <v>Robusta</v>
      </c>
      <c r="R417" t="str" cm="1">
        <f t="array" ref="R417">_xlfn.IFS(M417="M","Medium",M417="L","Light",M417="D","Dark")</f>
        <v>Medium</v>
      </c>
    </row>
    <row r="418" spans="1:18">
      <c r="A418" s="2" t="s">
        <v>880</v>
      </c>
      <c r="B418" s="3">
        <v>43901</v>
      </c>
      <c r="C418" s="9">
        <f>YEAR(Orders_Table[[#This Row],[Order Date]])</f>
        <v>2020</v>
      </c>
      <c r="D418" s="9">
        <f>MONTH(Orders_Table[[#This Row],[Order Date]])</f>
        <v>3</v>
      </c>
      <c r="E418" s="9" t="str" cm="1">
        <f t="array" ref="E4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418" s="2" t="s">
        <v>881</v>
      </c>
      <c r="G418" t="s">
        <v>239</v>
      </c>
      <c r="H418" s="2">
        <v>3</v>
      </c>
      <c r="I418" s="2" t="str" cm="1">
        <f t="array" ref="I418">_xlfn.XLOOKUP(F418,Customers!A417:$A$1001,Customers!B417:$B$1001,"Not Found",0)</f>
        <v>Reggis Pracy</v>
      </c>
      <c r="J418" s="2" t="str" cm="1">
        <f t="array" ref="J418">IF(_xlfn.XLOOKUP(F418,Customers!A417:$A$1001,Customers!C417:$C$1001,"Not Found",0)=0,"",_xlfn.XLOOKUP(F418,Customers!A417:$A$1001,Customers!C417:$C$1001,"Not Found",0))</f>
        <v/>
      </c>
      <c r="K418" s="2" t="str" cm="1">
        <f t="array" ref="K418">_xlfn.XLOOKUP(F418,Customers!A417:$A$1001,Customers!G417:$G$1001,"Not Found",0)</f>
        <v>United States</v>
      </c>
      <c r="L418" t="str">
        <f>INDEX(Products!$A$1:$G$49,MATCH(Orders!$G418,Products!$A$1:$A$49,0),MATCH(Orders!L$1,Products!$A$1:$G$1,0))</f>
        <v>Ara</v>
      </c>
      <c r="M418" t="str">
        <f>INDEX(Products!$A$1:$G$49,MATCH(Orders!$G418,Products!$A$1:$A$49,0),MATCH(Orders!M$1,Products!$A$1:$G$1,0))</f>
        <v>L</v>
      </c>
      <c r="N418" s="4">
        <f>INDEX(Products!$A$1:$G$49,MATCH(Orders!$G418,Products!$A$1:$A$49,0),MATCH(Orders!N$1,Products!$A$1:$G$1,0))</f>
        <v>0.5</v>
      </c>
      <c r="O418" s="7">
        <f>INDEX(Products!$A$1:$G$49,MATCH(Orders!$G418,Products!$A$1:$A$49,0),MATCH(Orders!O$1,Products!$A$1:$G$1,0))</f>
        <v>7.77</v>
      </c>
      <c r="P418" s="7">
        <f t="shared" si="6"/>
        <v>23.31</v>
      </c>
      <c r="Q418" t="str" cm="1">
        <f t="array" ref="Q418">_xlfn.IFS(L418="Rob","Robusta",L418="Exc", "Excelsa",L418="Ara", "Arabica",L418="Lib", "Liberica")</f>
        <v>Arabica</v>
      </c>
      <c r="R418" t="str" cm="1">
        <f t="array" ref="R418">_xlfn.IFS(M418="M","Medium",M418="L","Light",M418="D","Dark")</f>
        <v>Light</v>
      </c>
    </row>
    <row r="419" spans="1:18">
      <c r="A419" s="2" t="s">
        <v>882</v>
      </c>
      <c r="B419" s="3">
        <v>44457</v>
      </c>
      <c r="C419" s="9">
        <f>YEAR(Orders_Table[[#This Row],[Order Date]])</f>
        <v>2021</v>
      </c>
      <c r="D419" s="9">
        <f>MONTH(Orders_Table[[#This Row],[Order Date]])</f>
        <v>9</v>
      </c>
      <c r="E419" s="9" t="str" cm="1">
        <f t="array" ref="E4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19" s="2" t="s">
        <v>883</v>
      </c>
      <c r="G419" t="s">
        <v>251</v>
      </c>
      <c r="H419" s="2">
        <v>1</v>
      </c>
      <c r="I419" s="2" t="str" cm="1">
        <f t="array" ref="I419">_xlfn.XLOOKUP(F419,Customers!A418:$A$1001,Customers!B418:$B$1001,"Not Found",0)</f>
        <v>Paula Denis</v>
      </c>
      <c r="J419" s="2" t="str" cm="1">
        <f t="array" ref="J419">IF(_xlfn.XLOOKUP(F419,Customers!A418:$A$1001,Customers!C418:$C$1001,"Not Found",0)=0,"",_xlfn.XLOOKUP(F419,Customers!A418:$A$1001,Customers!C418:$C$1001,"Not Found",0))</f>
        <v/>
      </c>
      <c r="K419" s="2" t="str" cm="1">
        <f t="array" ref="K419">_xlfn.XLOOKUP(F419,Customers!A418:$A$1001,Customers!G418:$G$1001,"Not Found",0)</f>
        <v>United States</v>
      </c>
      <c r="L419" t="str">
        <f>INDEX(Products!$A$1:$G$49,MATCH(Orders!$G419,Products!$A$1:$A$49,0),MATCH(Orders!L$1,Products!$A$1:$G$1,0))</f>
        <v>Ara</v>
      </c>
      <c r="M419" t="str">
        <f>INDEX(Products!$A$1:$G$49,MATCH(Orders!$G419,Products!$A$1:$A$49,0),MATCH(Orders!M$1,Products!$A$1:$G$1,0))</f>
        <v>L</v>
      </c>
      <c r="N419" s="4">
        <f>INDEX(Products!$A$1:$G$49,MATCH(Orders!$G419,Products!$A$1:$A$49,0),MATCH(Orders!N$1,Products!$A$1:$G$1,0))</f>
        <v>2.5</v>
      </c>
      <c r="O419" s="7">
        <f>INDEX(Products!$A$1:$G$49,MATCH(Orders!$G419,Products!$A$1:$A$49,0),MATCH(Orders!O$1,Products!$A$1:$G$1,0))</f>
        <v>29.784999999999997</v>
      </c>
      <c r="P419" s="7">
        <f t="shared" si="6"/>
        <v>29.784999999999997</v>
      </c>
      <c r="Q419" t="str" cm="1">
        <f t="array" ref="Q419">_xlfn.IFS(L419="Rob","Robusta",L419="Exc", "Excelsa",L419="Ara", "Arabica",L419="Lib", "Liberica")</f>
        <v>Arabica</v>
      </c>
      <c r="R419" t="str" cm="1">
        <f t="array" ref="R419">_xlfn.IFS(M419="M","Medium",M419="L","Light",M419="D","Dark")</f>
        <v>Light</v>
      </c>
    </row>
    <row r="420" spans="1:18">
      <c r="A420" s="2" t="s">
        <v>884</v>
      </c>
      <c r="B420" s="3">
        <v>44142</v>
      </c>
      <c r="C420" s="9">
        <f>YEAR(Orders_Table[[#This Row],[Order Date]])</f>
        <v>2020</v>
      </c>
      <c r="D420" s="9">
        <f>MONTH(Orders_Table[[#This Row],[Order Date]])</f>
        <v>11</v>
      </c>
      <c r="E420" s="9" t="str" cm="1">
        <f t="array" ref="E4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20" s="2" t="s">
        <v>885</v>
      </c>
      <c r="G420" t="s">
        <v>251</v>
      </c>
      <c r="H420" s="2">
        <v>5</v>
      </c>
      <c r="I420" s="2" t="str" cm="1">
        <f t="array" ref="I420">_xlfn.XLOOKUP(F420,Customers!A419:$A$1001,Customers!B419:$B$1001,"Not Found",0)</f>
        <v>Broderick McGilvra</v>
      </c>
      <c r="J420" s="2" t="str" cm="1">
        <f t="array" ref="J420">IF(_xlfn.XLOOKUP(F420,Customers!A419:$A$1001,Customers!C419:$C$1001,"Not Found",0)=0,"",_xlfn.XLOOKUP(F420,Customers!A419:$A$1001,Customers!C419:$C$1001,"Not Found",0))</f>
        <v>bmcgilvrabm@so-net.ne.jp</v>
      </c>
      <c r="K420" s="2" t="str" cm="1">
        <f t="array" ref="K420">_xlfn.XLOOKUP(F420,Customers!A419:$A$1001,Customers!G419:$G$1001,"Not Found",0)</f>
        <v>United States</v>
      </c>
      <c r="L420" t="str">
        <f>INDEX(Products!$A$1:$G$49,MATCH(Orders!$G420,Products!$A$1:$A$49,0),MATCH(Orders!L$1,Products!$A$1:$G$1,0))</f>
        <v>Ara</v>
      </c>
      <c r="M420" t="str">
        <f>INDEX(Products!$A$1:$G$49,MATCH(Orders!$G420,Products!$A$1:$A$49,0),MATCH(Orders!M$1,Products!$A$1:$G$1,0))</f>
        <v>L</v>
      </c>
      <c r="N420" s="4">
        <f>INDEX(Products!$A$1:$G$49,MATCH(Orders!$G420,Products!$A$1:$A$49,0),MATCH(Orders!N$1,Products!$A$1:$G$1,0))</f>
        <v>2.5</v>
      </c>
      <c r="O420" s="7">
        <f>INDEX(Products!$A$1:$G$49,MATCH(Orders!$G420,Products!$A$1:$A$49,0),MATCH(Orders!O$1,Products!$A$1:$G$1,0))</f>
        <v>29.784999999999997</v>
      </c>
      <c r="P420" s="7">
        <f t="shared" si="6"/>
        <v>148.92499999999998</v>
      </c>
      <c r="Q420" t="str" cm="1">
        <f t="array" ref="Q420">_xlfn.IFS(L420="Rob","Robusta",L420="Exc", "Excelsa",L420="Ara", "Arabica",L420="Lib", "Liberica")</f>
        <v>Arabica</v>
      </c>
      <c r="R420" t="str" cm="1">
        <f t="array" ref="R420">_xlfn.IFS(M420="M","Medium",M420="L","Light",M420="D","Dark")</f>
        <v>Light</v>
      </c>
    </row>
    <row r="421" spans="1:18">
      <c r="A421" s="2" t="s">
        <v>886</v>
      </c>
      <c r="B421" s="3">
        <v>44739</v>
      </c>
      <c r="C421" s="9">
        <f>YEAR(Orders_Table[[#This Row],[Order Date]])</f>
        <v>2022</v>
      </c>
      <c r="D421" s="9">
        <f>MONTH(Orders_Table[[#This Row],[Order Date]])</f>
        <v>6</v>
      </c>
      <c r="E421" s="9" t="str" cm="1">
        <f t="array" ref="E4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21" s="2" t="s">
        <v>887</v>
      </c>
      <c r="G421" t="s">
        <v>125</v>
      </c>
      <c r="H421" s="2">
        <v>1</v>
      </c>
      <c r="I421" s="2" t="str" cm="1">
        <f t="array" ref="I421">_xlfn.XLOOKUP(F421,Customers!A420:$A$1001,Customers!B420:$B$1001,"Not Found",0)</f>
        <v>Annabella Danzey</v>
      </c>
      <c r="J421" s="2" t="str" cm="1">
        <f t="array" ref="J421">IF(_xlfn.XLOOKUP(F421,Customers!A420:$A$1001,Customers!C420:$C$1001,"Not Found",0)=0,"",_xlfn.XLOOKUP(F421,Customers!A420:$A$1001,Customers!C420:$C$1001,"Not Found",0))</f>
        <v>adanzeybn@github.com</v>
      </c>
      <c r="K421" s="2" t="str" cm="1">
        <f t="array" ref="K421">_xlfn.XLOOKUP(F421,Customers!A420:$A$1001,Customers!G420:$G$1001,"Not Found",0)</f>
        <v>United States</v>
      </c>
      <c r="L421" t="str">
        <f>INDEX(Products!$A$1:$G$49,MATCH(Orders!$G421,Products!$A$1:$A$49,0),MATCH(Orders!L$1,Products!$A$1:$G$1,0))</f>
        <v>Lib</v>
      </c>
      <c r="M421" t="str">
        <f>INDEX(Products!$A$1:$G$49,MATCH(Orders!$G421,Products!$A$1:$A$49,0),MATCH(Orders!M$1,Products!$A$1:$G$1,0))</f>
        <v>M</v>
      </c>
      <c r="N421" s="4">
        <f>INDEX(Products!$A$1:$G$49,MATCH(Orders!$G421,Products!$A$1:$A$49,0),MATCH(Orders!N$1,Products!$A$1:$G$1,0))</f>
        <v>0.5</v>
      </c>
      <c r="O421" s="7">
        <f>INDEX(Products!$A$1:$G$49,MATCH(Orders!$G421,Products!$A$1:$A$49,0),MATCH(Orders!O$1,Products!$A$1:$G$1,0))</f>
        <v>8.73</v>
      </c>
      <c r="P421" s="7">
        <f t="shared" si="6"/>
        <v>8.73</v>
      </c>
      <c r="Q421" t="str" cm="1">
        <f t="array" ref="Q421">_xlfn.IFS(L421="Rob","Robusta",L421="Exc", "Excelsa",L421="Ara", "Arabica",L421="Lib", "Liberica")</f>
        <v>Liberica</v>
      </c>
      <c r="R421" t="str" cm="1">
        <f t="array" ref="R421">_xlfn.IFS(M421="M","Medium",M421="L","Light",M421="D","Dark")</f>
        <v>Medium</v>
      </c>
    </row>
    <row r="422" spans="1:18">
      <c r="A422" s="2" t="s">
        <v>888</v>
      </c>
      <c r="B422" s="3">
        <v>43866</v>
      </c>
      <c r="C422" s="9">
        <f>YEAR(Orders_Table[[#This Row],[Order Date]])</f>
        <v>2020</v>
      </c>
      <c r="D422" s="9">
        <f>MONTH(Orders_Table[[#This Row],[Order Date]])</f>
        <v>2</v>
      </c>
      <c r="E422" s="9" t="str" cm="1">
        <f t="array" ref="E4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22" s="2" t="s">
        <v>796</v>
      </c>
      <c r="G422" t="s">
        <v>170</v>
      </c>
      <c r="H422" s="2">
        <v>4</v>
      </c>
      <c r="I422" s="2" t="str" cm="1">
        <f t="array" ref="I422">_xlfn.XLOOKUP(F422,Customers!A421:$A$1001,Customers!B421:$B$1001,"Not Found",0)</f>
        <v>Not Found</v>
      </c>
      <c r="J422" s="2" t="str" cm="1">
        <f t="array" ref="J422">IF(_xlfn.XLOOKUP(F422,Customers!A421:$A$1001,Customers!C421:$C$1001,"Not Found",0)=0,"",_xlfn.XLOOKUP(F422,Customers!A421:$A$1001,Customers!C421:$C$1001,"Not Found",0))</f>
        <v>Not Found</v>
      </c>
      <c r="K422" s="2" t="str" cm="1">
        <f t="array" ref="K422">_xlfn.XLOOKUP(F422,Customers!A421:$A$1001,Customers!G421:$G$1001,"Not Found",0)</f>
        <v>Not Found</v>
      </c>
      <c r="L422" t="str">
        <f>INDEX(Products!$A$1:$G$49,MATCH(Orders!$G422,Products!$A$1:$A$49,0),MATCH(Orders!L$1,Products!$A$1:$G$1,0))</f>
        <v>Lib</v>
      </c>
      <c r="M422" t="str">
        <f>INDEX(Products!$A$1:$G$49,MATCH(Orders!$G422,Products!$A$1:$A$49,0),MATCH(Orders!M$1,Products!$A$1:$G$1,0))</f>
        <v>D</v>
      </c>
      <c r="N422" s="4">
        <f>INDEX(Products!$A$1:$G$49,MATCH(Orders!$G422,Products!$A$1:$A$49,0),MATCH(Orders!N$1,Products!$A$1:$G$1,0))</f>
        <v>0.5</v>
      </c>
      <c r="O422" s="7">
        <f>INDEX(Products!$A$1:$G$49,MATCH(Orders!$G422,Products!$A$1:$A$49,0),MATCH(Orders!O$1,Products!$A$1:$G$1,0))</f>
        <v>7.77</v>
      </c>
      <c r="P422" s="7">
        <f t="shared" si="6"/>
        <v>31.08</v>
      </c>
      <c r="Q422" t="str" cm="1">
        <f t="array" ref="Q422">_xlfn.IFS(L422="Rob","Robusta",L422="Exc", "Excelsa",L422="Ara", "Arabica",L422="Lib", "Liberica")</f>
        <v>Liberica</v>
      </c>
      <c r="R422" t="str" cm="1">
        <f t="array" ref="R422">_xlfn.IFS(M422="M","Medium",M422="L","Light",M422="D","Dark")</f>
        <v>Dark</v>
      </c>
    </row>
    <row r="423" spans="1:18">
      <c r="A423" s="2" t="s">
        <v>888</v>
      </c>
      <c r="B423" s="3">
        <v>43866</v>
      </c>
      <c r="C423" s="9">
        <f>YEAR(Orders_Table[[#This Row],[Order Date]])</f>
        <v>2020</v>
      </c>
      <c r="D423" s="9">
        <f>MONTH(Orders_Table[[#This Row],[Order Date]])</f>
        <v>2</v>
      </c>
      <c r="E423" s="9" t="str" cm="1">
        <f t="array" ref="E4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23" s="2" t="s">
        <v>796</v>
      </c>
      <c r="G423" t="s">
        <v>165</v>
      </c>
      <c r="H423" s="2">
        <v>6</v>
      </c>
      <c r="I423" s="2" t="str" cm="1">
        <f t="array" ref="I423">_xlfn.XLOOKUP(F423,Customers!A422:$A$1001,Customers!B422:$B$1001,"Not Found",0)</f>
        <v>Not Found</v>
      </c>
      <c r="J423" s="2" t="str" cm="1">
        <f t="array" ref="J423">IF(_xlfn.XLOOKUP(F423,Customers!A422:$A$1001,Customers!C422:$C$1001,"Not Found",0)=0,"",_xlfn.XLOOKUP(F423,Customers!A422:$A$1001,Customers!C422:$C$1001,"Not Found",0))</f>
        <v>Not Found</v>
      </c>
      <c r="K423" s="2" t="str" cm="1">
        <f t="array" ref="K423">_xlfn.XLOOKUP(F423,Customers!A422:$A$1001,Customers!G422:$G$1001,"Not Found",0)</f>
        <v>Not Found</v>
      </c>
      <c r="L423" t="str">
        <f>INDEX(Products!$A$1:$G$49,MATCH(Orders!$G423,Products!$A$1:$A$49,0),MATCH(Orders!L$1,Products!$A$1:$G$1,0))</f>
        <v>Ara</v>
      </c>
      <c r="M423" t="str">
        <f>INDEX(Products!$A$1:$G$49,MATCH(Orders!$G423,Products!$A$1:$A$49,0),MATCH(Orders!M$1,Products!$A$1:$G$1,0))</f>
        <v>D</v>
      </c>
      <c r="N423" s="4">
        <f>INDEX(Products!$A$1:$G$49,MATCH(Orders!$G423,Products!$A$1:$A$49,0),MATCH(Orders!N$1,Products!$A$1:$G$1,0))</f>
        <v>2.5</v>
      </c>
      <c r="O423" s="7">
        <f>INDEX(Products!$A$1:$G$49,MATCH(Orders!$G423,Products!$A$1:$A$49,0),MATCH(Orders!O$1,Products!$A$1:$G$1,0))</f>
        <v>22.884999999999998</v>
      </c>
      <c r="P423" s="7">
        <f t="shared" si="6"/>
        <v>137.31</v>
      </c>
      <c r="Q423" t="str" cm="1">
        <f t="array" ref="Q423">_xlfn.IFS(L423="Rob","Robusta",L423="Exc", "Excelsa",L423="Ara", "Arabica",L423="Lib", "Liberica")</f>
        <v>Arabica</v>
      </c>
      <c r="R423" t="str" cm="1">
        <f t="array" ref="R423">_xlfn.IFS(M423="M","Medium",M423="L","Light",M423="D","Dark")</f>
        <v>Dark</v>
      </c>
    </row>
    <row r="424" spans="1:18">
      <c r="A424" s="2" t="s">
        <v>889</v>
      </c>
      <c r="B424" s="3">
        <v>43868</v>
      </c>
      <c r="C424" s="9">
        <f>YEAR(Orders_Table[[#This Row],[Order Date]])</f>
        <v>2020</v>
      </c>
      <c r="D424" s="9">
        <f>MONTH(Orders_Table[[#This Row],[Order Date]])</f>
        <v>2</v>
      </c>
      <c r="E424" s="9" t="str" cm="1">
        <f t="array" ref="E4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24" s="2" t="s">
        <v>890</v>
      </c>
      <c r="G424" t="s">
        <v>119</v>
      </c>
      <c r="H424" s="2">
        <v>5</v>
      </c>
      <c r="I424" s="2" t="str" cm="1">
        <f t="array" ref="I424">_xlfn.XLOOKUP(F424,Customers!A423:$A$1001,Customers!B423:$B$1001,"Not Found",0)</f>
        <v>Nevins Glowacz</v>
      </c>
      <c r="J424" s="2" t="str" cm="1">
        <f t="array" ref="J424">IF(_xlfn.XLOOKUP(F424,Customers!A423:$A$1001,Customers!C423:$C$1001,"Not Found",0)=0,"",_xlfn.XLOOKUP(F424,Customers!A423:$A$1001,Customers!C423:$C$1001,"Not Found",0))</f>
        <v/>
      </c>
      <c r="K424" s="2" t="str" cm="1">
        <f t="array" ref="K424">_xlfn.XLOOKUP(F424,Customers!A423:$A$1001,Customers!G423:$G$1001,"Not Found",0)</f>
        <v>United States</v>
      </c>
      <c r="L424" t="str">
        <f>INDEX(Products!$A$1:$G$49,MATCH(Orders!$G424,Products!$A$1:$A$49,0),MATCH(Orders!L$1,Products!$A$1:$G$1,0))</f>
        <v>Ara</v>
      </c>
      <c r="M424" t="str">
        <f>INDEX(Products!$A$1:$G$49,MATCH(Orders!$G424,Products!$A$1:$A$49,0),MATCH(Orders!M$1,Products!$A$1:$G$1,0))</f>
        <v>D</v>
      </c>
      <c r="N424" s="4">
        <f>INDEX(Products!$A$1:$G$49,MATCH(Orders!$G424,Products!$A$1:$A$49,0),MATCH(Orders!N$1,Products!$A$1:$G$1,0))</f>
        <v>0.5</v>
      </c>
      <c r="O424" s="7">
        <f>INDEX(Products!$A$1:$G$49,MATCH(Orders!$G424,Products!$A$1:$A$49,0),MATCH(Orders!O$1,Products!$A$1:$G$1,0))</f>
        <v>5.97</v>
      </c>
      <c r="P424" s="7">
        <f t="shared" si="6"/>
        <v>29.849999999999998</v>
      </c>
      <c r="Q424" t="str" cm="1">
        <f t="array" ref="Q424">_xlfn.IFS(L424="Rob","Robusta",L424="Exc", "Excelsa",L424="Ara", "Arabica",L424="Lib", "Liberica")</f>
        <v>Arabica</v>
      </c>
      <c r="R424" t="str" cm="1">
        <f t="array" ref="R424">_xlfn.IFS(M424="M","Medium",M424="L","Light",M424="D","Dark")</f>
        <v>Dark</v>
      </c>
    </row>
    <row r="425" spans="1:18">
      <c r="A425" s="2" t="s">
        <v>891</v>
      </c>
      <c r="B425" s="3">
        <v>44183</v>
      </c>
      <c r="C425" s="9">
        <f>YEAR(Orders_Table[[#This Row],[Order Date]])</f>
        <v>2020</v>
      </c>
      <c r="D425" s="9">
        <f>MONTH(Orders_Table[[#This Row],[Order Date]])</f>
        <v>12</v>
      </c>
      <c r="E425" s="9" t="str" cm="1">
        <f t="array" ref="E4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25" s="2" t="s">
        <v>892</v>
      </c>
      <c r="G425" t="s">
        <v>69</v>
      </c>
      <c r="H425" s="2">
        <v>3</v>
      </c>
      <c r="I425" s="2" t="str" cm="1">
        <f t="array" ref="I425">_xlfn.XLOOKUP(F425,Customers!A424:$A$1001,Customers!B424:$B$1001,"Not Found",0)</f>
        <v>Adelice Isabell</v>
      </c>
      <c r="J425" s="2" t="str" cm="1">
        <f t="array" ref="J425">IF(_xlfn.XLOOKUP(F425,Customers!A424:$A$1001,Customers!C424:$C$1001,"Not Found",0)=0,"",_xlfn.XLOOKUP(F425,Customers!A424:$A$1001,Customers!C424:$C$1001,"Not Found",0))</f>
        <v/>
      </c>
      <c r="K425" s="2" t="str" cm="1">
        <f t="array" ref="K425">_xlfn.XLOOKUP(F425,Customers!A424:$A$1001,Customers!G424:$G$1001,"Not Found",0)</f>
        <v>United States</v>
      </c>
      <c r="L425" t="str">
        <f>INDEX(Products!$A$1:$G$49,MATCH(Orders!$G425,Products!$A$1:$A$49,0),MATCH(Orders!L$1,Products!$A$1:$G$1,0))</f>
        <v>Rob</v>
      </c>
      <c r="M425" t="str">
        <f>INDEX(Products!$A$1:$G$49,MATCH(Orders!$G425,Products!$A$1:$A$49,0),MATCH(Orders!M$1,Products!$A$1:$G$1,0))</f>
        <v>M</v>
      </c>
      <c r="N425" s="4">
        <f>INDEX(Products!$A$1:$G$49,MATCH(Orders!$G425,Products!$A$1:$A$49,0),MATCH(Orders!N$1,Products!$A$1:$G$1,0))</f>
        <v>0.5</v>
      </c>
      <c r="O425" s="7">
        <f>INDEX(Products!$A$1:$G$49,MATCH(Orders!$G425,Products!$A$1:$A$49,0),MATCH(Orders!O$1,Products!$A$1:$G$1,0))</f>
        <v>5.97</v>
      </c>
      <c r="P425" s="7">
        <f t="shared" si="6"/>
        <v>17.91</v>
      </c>
      <c r="Q425" t="str" cm="1">
        <f t="array" ref="Q425">_xlfn.IFS(L425="Rob","Robusta",L425="Exc", "Excelsa",L425="Ara", "Arabica",L425="Lib", "Liberica")</f>
        <v>Robusta</v>
      </c>
      <c r="R425" t="str" cm="1">
        <f t="array" ref="R425">_xlfn.IFS(M425="M","Medium",M425="L","Light",M425="D","Dark")</f>
        <v>Medium</v>
      </c>
    </row>
    <row r="426" spans="1:18">
      <c r="A426" s="2" t="s">
        <v>893</v>
      </c>
      <c r="B426" s="3">
        <v>44431</v>
      </c>
      <c r="C426" s="9">
        <f>YEAR(Orders_Table[[#This Row],[Order Date]])</f>
        <v>2021</v>
      </c>
      <c r="D426" s="9">
        <f>MONTH(Orders_Table[[#This Row],[Order Date]])</f>
        <v>8</v>
      </c>
      <c r="E426" s="9" t="str" cm="1">
        <f t="array" ref="E4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26" s="2" t="s">
        <v>894</v>
      </c>
      <c r="G426" t="s">
        <v>223</v>
      </c>
      <c r="H426" s="2">
        <v>3</v>
      </c>
      <c r="I426" s="2" t="str" cm="1">
        <f t="array" ref="I426">_xlfn.XLOOKUP(F426,Customers!A425:$A$1001,Customers!B425:$B$1001,"Not Found",0)</f>
        <v>Yulma Dombrell</v>
      </c>
      <c r="J426" s="2" t="str" cm="1">
        <f t="array" ref="J426">IF(_xlfn.XLOOKUP(F426,Customers!A425:$A$1001,Customers!C425:$C$1001,"Not Found",0)=0,"",_xlfn.XLOOKUP(F426,Customers!A425:$A$1001,Customers!C425:$C$1001,"Not Found",0))</f>
        <v>ydombrellbs@dedecms.com</v>
      </c>
      <c r="K426" s="2" t="str" cm="1">
        <f t="array" ref="K426">_xlfn.XLOOKUP(F426,Customers!A425:$A$1001,Customers!G425:$G$1001,"Not Found",0)</f>
        <v>United States</v>
      </c>
      <c r="L426" t="str">
        <f>INDEX(Products!$A$1:$G$49,MATCH(Orders!$G426,Products!$A$1:$A$49,0),MATCH(Orders!L$1,Products!$A$1:$G$1,0))</f>
        <v>Exc</v>
      </c>
      <c r="M426" t="str">
        <f>INDEX(Products!$A$1:$G$49,MATCH(Orders!$G426,Products!$A$1:$A$49,0),MATCH(Orders!M$1,Products!$A$1:$G$1,0))</f>
        <v>L</v>
      </c>
      <c r="N426" s="4">
        <f>INDEX(Products!$A$1:$G$49,MATCH(Orders!$G426,Products!$A$1:$A$49,0),MATCH(Orders!N$1,Products!$A$1:$G$1,0))</f>
        <v>0.5</v>
      </c>
      <c r="O426" s="7">
        <f>INDEX(Products!$A$1:$G$49,MATCH(Orders!$G426,Products!$A$1:$A$49,0),MATCH(Orders!O$1,Products!$A$1:$G$1,0))</f>
        <v>8.91</v>
      </c>
      <c r="P426" s="7">
        <f t="shared" si="6"/>
        <v>26.73</v>
      </c>
      <c r="Q426" t="str" cm="1">
        <f t="array" ref="Q426">_xlfn.IFS(L426="Rob","Robusta",L426="Exc", "Excelsa",L426="Ara", "Arabica",L426="Lib", "Liberica")</f>
        <v>Excelsa</v>
      </c>
      <c r="R426" t="str" cm="1">
        <f t="array" ref="R426">_xlfn.IFS(M426="M","Medium",M426="L","Light",M426="D","Dark")</f>
        <v>Light</v>
      </c>
    </row>
    <row r="427" spans="1:18">
      <c r="A427" s="2" t="s">
        <v>895</v>
      </c>
      <c r="B427" s="3">
        <v>44428</v>
      </c>
      <c r="C427" s="9">
        <f>YEAR(Orders_Table[[#This Row],[Order Date]])</f>
        <v>2021</v>
      </c>
      <c r="D427" s="9">
        <f>MONTH(Orders_Table[[#This Row],[Order Date]])</f>
        <v>8</v>
      </c>
      <c r="E427" s="9" t="str" cm="1">
        <f t="array" ref="E4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27" s="2" t="s">
        <v>896</v>
      </c>
      <c r="G427" t="s">
        <v>226</v>
      </c>
      <c r="H427" s="2">
        <v>2</v>
      </c>
      <c r="I427" s="2" t="str" cm="1">
        <f t="array" ref="I427">_xlfn.XLOOKUP(F427,Customers!A426:$A$1001,Customers!B426:$B$1001,"Not Found",0)</f>
        <v>Alric Darth</v>
      </c>
      <c r="J427" s="2" t="str" cm="1">
        <f t="array" ref="J427">IF(_xlfn.XLOOKUP(F427,Customers!A426:$A$1001,Customers!C426:$C$1001,"Not Found",0)=0,"",_xlfn.XLOOKUP(F427,Customers!A426:$A$1001,Customers!C426:$C$1001,"Not Found",0))</f>
        <v>adarthbt@t.co</v>
      </c>
      <c r="K427" s="2" t="str" cm="1">
        <f t="array" ref="K427">_xlfn.XLOOKUP(F427,Customers!A426:$A$1001,Customers!G426:$G$1001,"Not Found",0)</f>
        <v>United States</v>
      </c>
      <c r="L427" t="str">
        <f>INDEX(Products!$A$1:$G$49,MATCH(Orders!$G427,Products!$A$1:$A$49,0),MATCH(Orders!L$1,Products!$A$1:$G$1,0))</f>
        <v>Rob</v>
      </c>
      <c r="M427" t="str">
        <f>INDEX(Products!$A$1:$G$49,MATCH(Orders!$G427,Products!$A$1:$A$49,0),MATCH(Orders!M$1,Products!$A$1:$G$1,0))</f>
        <v>D</v>
      </c>
      <c r="N427" s="4">
        <f>INDEX(Products!$A$1:$G$49,MATCH(Orders!$G427,Products!$A$1:$A$49,0),MATCH(Orders!N$1,Products!$A$1:$G$1,0))</f>
        <v>1</v>
      </c>
      <c r="O427" s="7">
        <f>INDEX(Products!$A$1:$G$49,MATCH(Orders!$G427,Products!$A$1:$A$49,0),MATCH(Orders!O$1,Products!$A$1:$G$1,0))</f>
        <v>8.9499999999999993</v>
      </c>
      <c r="P427" s="7">
        <f t="shared" si="6"/>
        <v>17.899999999999999</v>
      </c>
      <c r="Q427" t="str" cm="1">
        <f t="array" ref="Q427">_xlfn.IFS(L427="Rob","Robusta",L427="Exc", "Excelsa",L427="Ara", "Arabica",L427="Lib", "Liberica")</f>
        <v>Robusta</v>
      </c>
      <c r="R427" t="str" cm="1">
        <f t="array" ref="R427">_xlfn.IFS(M427="M","Medium",M427="L","Light",M427="D","Dark")</f>
        <v>Dark</v>
      </c>
    </row>
    <row r="428" spans="1:18">
      <c r="A428" s="2" t="s">
        <v>897</v>
      </c>
      <c r="B428" s="3">
        <v>43556</v>
      </c>
      <c r="C428" s="9">
        <f>YEAR(Orders_Table[[#This Row],[Order Date]])</f>
        <v>2019</v>
      </c>
      <c r="D428" s="9">
        <f>MONTH(Orders_Table[[#This Row],[Order Date]])</f>
        <v>4</v>
      </c>
      <c r="E428" s="9" t="str" cm="1">
        <f t="array" ref="E4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28" s="2" t="s">
        <v>898</v>
      </c>
      <c r="G428" t="s">
        <v>229</v>
      </c>
      <c r="H428" s="2">
        <v>4</v>
      </c>
      <c r="I428" s="2" t="str" cm="1">
        <f t="array" ref="I428">_xlfn.XLOOKUP(F428,Customers!A427:$A$1001,Customers!B427:$B$1001,"Not Found",0)</f>
        <v>Manuel Darrigoe</v>
      </c>
      <c r="J428" s="2" t="str" cm="1">
        <f t="array" ref="J428">IF(_xlfn.XLOOKUP(F428,Customers!A427:$A$1001,Customers!C427:$C$1001,"Not Found",0)=0,"",_xlfn.XLOOKUP(F428,Customers!A427:$A$1001,Customers!C427:$C$1001,"Not Found",0))</f>
        <v>mdarrigoebu@hud.gov</v>
      </c>
      <c r="K428" s="2" t="str" cm="1">
        <f t="array" ref="K428">_xlfn.XLOOKUP(F428,Customers!A427:$A$1001,Customers!G427:$G$1001,"Not Found",0)</f>
        <v>Ireland</v>
      </c>
      <c r="L428" t="str">
        <f>INDEX(Products!$A$1:$G$49,MATCH(Orders!$G428,Products!$A$1:$A$49,0),MATCH(Orders!L$1,Products!$A$1:$G$1,0))</f>
        <v>Rob</v>
      </c>
      <c r="M428" t="str">
        <f>INDEX(Products!$A$1:$G$49,MATCH(Orders!$G428,Products!$A$1:$A$49,0),MATCH(Orders!M$1,Products!$A$1:$G$1,0))</f>
        <v>L</v>
      </c>
      <c r="N428" s="4">
        <f>INDEX(Products!$A$1:$G$49,MATCH(Orders!$G428,Products!$A$1:$A$49,0),MATCH(Orders!N$1,Products!$A$1:$G$1,0))</f>
        <v>0.2</v>
      </c>
      <c r="O428" s="7">
        <f>INDEX(Products!$A$1:$G$49,MATCH(Orders!$G428,Products!$A$1:$A$49,0),MATCH(Orders!O$1,Products!$A$1:$G$1,0))</f>
        <v>3.5849999999999995</v>
      </c>
      <c r="P428" s="7">
        <f t="shared" si="6"/>
        <v>14.339999999999998</v>
      </c>
      <c r="Q428" t="str" cm="1">
        <f t="array" ref="Q428">_xlfn.IFS(L428="Rob","Robusta",L428="Exc", "Excelsa",L428="Ara", "Arabica",L428="Lib", "Liberica")</f>
        <v>Robusta</v>
      </c>
      <c r="R428" t="str" cm="1">
        <f t="array" ref="R428">_xlfn.IFS(M428="M","Medium",M428="L","Light",M428="D","Dark")</f>
        <v>Light</v>
      </c>
    </row>
    <row r="429" spans="1:18">
      <c r="A429" s="2" t="s">
        <v>899</v>
      </c>
      <c r="B429" s="3">
        <v>44224</v>
      </c>
      <c r="C429" s="9">
        <f>YEAR(Orders_Table[[#This Row],[Order Date]])</f>
        <v>2021</v>
      </c>
      <c r="D429" s="9">
        <f>MONTH(Orders_Table[[#This Row],[Order Date]])</f>
        <v>1</v>
      </c>
      <c r="E429" s="9" t="str" cm="1">
        <f t="array" ref="E4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29" s="2" t="s">
        <v>900</v>
      </c>
      <c r="G429" t="s">
        <v>218</v>
      </c>
      <c r="H429" s="2">
        <v>3</v>
      </c>
      <c r="I429" s="2" t="str" cm="1">
        <f t="array" ref="I429">_xlfn.XLOOKUP(F429,Customers!A428:$A$1001,Customers!B428:$B$1001,"Not Found",0)</f>
        <v>Kynthia Berick</v>
      </c>
      <c r="J429" s="2" t="str" cm="1">
        <f t="array" ref="J429">IF(_xlfn.XLOOKUP(F429,Customers!A428:$A$1001,Customers!C428:$C$1001,"Not Found",0)=0,"",_xlfn.XLOOKUP(F429,Customers!A428:$A$1001,Customers!C428:$C$1001,"Not Found",0))</f>
        <v/>
      </c>
      <c r="K429" s="2" t="str" cm="1">
        <f t="array" ref="K429">_xlfn.XLOOKUP(F429,Customers!A428:$A$1001,Customers!G428:$G$1001,"Not Found",0)</f>
        <v>United States</v>
      </c>
      <c r="L429" t="str">
        <f>INDEX(Products!$A$1:$G$49,MATCH(Orders!$G429,Products!$A$1:$A$49,0),MATCH(Orders!L$1,Products!$A$1:$G$1,0))</f>
        <v>Ara</v>
      </c>
      <c r="M429" t="str">
        <f>INDEX(Products!$A$1:$G$49,MATCH(Orders!$G429,Products!$A$1:$A$49,0),MATCH(Orders!M$1,Products!$A$1:$G$1,0))</f>
        <v>M</v>
      </c>
      <c r="N429" s="4">
        <f>INDEX(Products!$A$1:$G$49,MATCH(Orders!$G429,Products!$A$1:$A$49,0),MATCH(Orders!N$1,Products!$A$1:$G$1,0))</f>
        <v>2.5</v>
      </c>
      <c r="O429" s="7">
        <f>INDEX(Products!$A$1:$G$49,MATCH(Orders!$G429,Products!$A$1:$A$49,0),MATCH(Orders!O$1,Products!$A$1:$G$1,0))</f>
        <v>25.874999999999996</v>
      </c>
      <c r="P429" s="7">
        <f t="shared" si="6"/>
        <v>77.624999999999986</v>
      </c>
      <c r="Q429" t="str" cm="1">
        <f t="array" ref="Q429">_xlfn.IFS(L429="Rob","Robusta",L429="Exc", "Excelsa",L429="Ara", "Arabica",L429="Lib", "Liberica")</f>
        <v>Arabica</v>
      </c>
      <c r="R429" t="str" cm="1">
        <f t="array" ref="R429">_xlfn.IFS(M429="M","Medium",M429="L","Light",M429="D","Dark")</f>
        <v>Medium</v>
      </c>
    </row>
    <row r="430" spans="1:18">
      <c r="A430" s="2" t="s">
        <v>901</v>
      </c>
      <c r="B430" s="3">
        <v>43759</v>
      </c>
      <c r="C430" s="9">
        <f>YEAR(Orders_Table[[#This Row],[Order Date]])</f>
        <v>2019</v>
      </c>
      <c r="D430" s="9">
        <f>MONTH(Orders_Table[[#This Row],[Order Date]])</f>
        <v>10</v>
      </c>
      <c r="E430" s="9" t="str" cm="1">
        <f t="array" ref="E4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30" s="2" t="s">
        <v>902</v>
      </c>
      <c r="G430" t="s">
        <v>236</v>
      </c>
      <c r="H430" s="2">
        <v>5</v>
      </c>
      <c r="I430" s="2" t="str" cm="1">
        <f t="array" ref="I430">_xlfn.XLOOKUP(F430,Customers!A429:$A$1001,Customers!B429:$B$1001,"Not Found",0)</f>
        <v>Minetta Ackrill</v>
      </c>
      <c r="J430" s="2" t="str" cm="1">
        <f t="array" ref="J430">IF(_xlfn.XLOOKUP(F430,Customers!A429:$A$1001,Customers!C429:$C$1001,"Not Found",0)=0,"",_xlfn.XLOOKUP(F430,Customers!A429:$A$1001,Customers!C429:$C$1001,"Not Found",0))</f>
        <v>mackrillbw@bandcamp.com</v>
      </c>
      <c r="K430" s="2" t="str" cm="1">
        <f t="array" ref="K430">_xlfn.XLOOKUP(F430,Customers!A429:$A$1001,Customers!G429:$G$1001,"Not Found",0)</f>
        <v>United States</v>
      </c>
      <c r="L430" t="str">
        <f>INDEX(Products!$A$1:$G$49,MATCH(Orders!$G430,Products!$A$1:$A$49,0),MATCH(Orders!L$1,Products!$A$1:$G$1,0))</f>
        <v>Rob</v>
      </c>
      <c r="M430" t="str">
        <f>INDEX(Products!$A$1:$G$49,MATCH(Orders!$G430,Products!$A$1:$A$49,0),MATCH(Orders!M$1,Products!$A$1:$G$1,0))</f>
        <v>L</v>
      </c>
      <c r="N430" s="4">
        <f>INDEX(Products!$A$1:$G$49,MATCH(Orders!$G430,Products!$A$1:$A$49,0),MATCH(Orders!N$1,Products!$A$1:$G$1,0))</f>
        <v>1</v>
      </c>
      <c r="O430" s="7">
        <f>INDEX(Products!$A$1:$G$49,MATCH(Orders!$G430,Products!$A$1:$A$49,0),MATCH(Orders!O$1,Products!$A$1:$G$1,0))</f>
        <v>11.95</v>
      </c>
      <c r="P430" s="7">
        <f t="shared" si="6"/>
        <v>59.75</v>
      </c>
      <c r="Q430" t="str" cm="1">
        <f t="array" ref="Q430">_xlfn.IFS(L430="Rob","Robusta",L430="Exc", "Excelsa",L430="Ara", "Arabica",L430="Lib", "Liberica")</f>
        <v>Robusta</v>
      </c>
      <c r="R430" t="str" cm="1">
        <f t="array" ref="R430">_xlfn.IFS(M430="M","Medium",M430="L","Light",M430="D","Dark")</f>
        <v>Light</v>
      </c>
    </row>
    <row r="431" spans="1:18">
      <c r="A431" s="2" t="s">
        <v>903</v>
      </c>
      <c r="B431" s="3">
        <v>44367</v>
      </c>
      <c r="C431" s="9">
        <f>YEAR(Orders_Table[[#This Row],[Order Date]])</f>
        <v>2021</v>
      </c>
      <c r="D431" s="9">
        <f>MONTH(Orders_Table[[#This Row],[Order Date]])</f>
        <v>6</v>
      </c>
      <c r="E431" s="9" t="str" cm="1">
        <f t="array" ref="E4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31" s="2" t="s">
        <v>796</v>
      </c>
      <c r="G431" t="s">
        <v>53</v>
      </c>
      <c r="H431" s="2">
        <v>6</v>
      </c>
      <c r="I431" s="2" t="str" cm="1">
        <f t="array" ref="I431">_xlfn.XLOOKUP(F431,Customers!A430:$A$1001,Customers!B430:$B$1001,"Not Found",0)</f>
        <v>Not Found</v>
      </c>
      <c r="J431" s="2" t="str" cm="1">
        <f t="array" ref="J431">IF(_xlfn.XLOOKUP(F431,Customers!A430:$A$1001,Customers!C430:$C$1001,"Not Found",0)=0,"",_xlfn.XLOOKUP(F431,Customers!A430:$A$1001,Customers!C430:$C$1001,"Not Found",0))</f>
        <v>Not Found</v>
      </c>
      <c r="K431" s="2" t="str" cm="1">
        <f t="array" ref="K431">_xlfn.XLOOKUP(F431,Customers!A430:$A$1001,Customers!G430:$G$1001,"Not Found",0)</f>
        <v>Not Found</v>
      </c>
      <c r="L431" t="str">
        <f>INDEX(Products!$A$1:$G$49,MATCH(Orders!$G431,Products!$A$1:$A$49,0),MATCH(Orders!L$1,Products!$A$1:$G$1,0))</f>
        <v>Ara</v>
      </c>
      <c r="M431" t="str">
        <f>INDEX(Products!$A$1:$G$49,MATCH(Orders!$G431,Products!$A$1:$A$49,0),MATCH(Orders!M$1,Products!$A$1:$G$1,0))</f>
        <v>L</v>
      </c>
      <c r="N431" s="4">
        <f>INDEX(Products!$A$1:$G$49,MATCH(Orders!$G431,Products!$A$1:$A$49,0),MATCH(Orders!N$1,Products!$A$1:$G$1,0))</f>
        <v>1</v>
      </c>
      <c r="O431" s="7">
        <f>INDEX(Products!$A$1:$G$49,MATCH(Orders!$G431,Products!$A$1:$A$49,0),MATCH(Orders!O$1,Products!$A$1:$G$1,0))</f>
        <v>12.95</v>
      </c>
      <c r="P431" s="7">
        <f t="shared" si="6"/>
        <v>77.699999999999989</v>
      </c>
      <c r="Q431" t="str" cm="1">
        <f t="array" ref="Q431">_xlfn.IFS(L431="Rob","Robusta",L431="Exc", "Excelsa",L431="Ara", "Arabica",L431="Lib", "Liberica")</f>
        <v>Arabica</v>
      </c>
      <c r="R431" t="str" cm="1">
        <f t="array" ref="R431">_xlfn.IFS(M431="M","Medium",M431="L","Light",M431="D","Dark")</f>
        <v>Light</v>
      </c>
    </row>
    <row r="432" spans="1:18">
      <c r="A432" s="2" t="s">
        <v>904</v>
      </c>
      <c r="B432" s="3">
        <v>44504</v>
      </c>
      <c r="C432" s="9">
        <f>YEAR(Orders_Table[[#This Row],[Order Date]])</f>
        <v>2021</v>
      </c>
      <c r="D432" s="9">
        <f>MONTH(Orders_Table[[#This Row],[Order Date]])</f>
        <v>11</v>
      </c>
      <c r="E432" s="9" t="str" cm="1">
        <f t="array" ref="E4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32" s="2" t="s">
        <v>905</v>
      </c>
      <c r="G432" t="s">
        <v>148</v>
      </c>
      <c r="H432" s="2">
        <v>2</v>
      </c>
      <c r="I432" s="2" t="str" cm="1">
        <f t="array" ref="I432">_xlfn.XLOOKUP(F432,Customers!A431:$A$1001,Customers!B431:$B$1001,"Not Found",0)</f>
        <v>Melosa Kippen</v>
      </c>
      <c r="J432" s="2" t="str" cm="1">
        <f t="array" ref="J432">IF(_xlfn.XLOOKUP(F432,Customers!A431:$A$1001,Customers!C431:$C$1001,"Not Found",0)=0,"",_xlfn.XLOOKUP(F432,Customers!A431:$A$1001,Customers!C431:$C$1001,"Not Found",0))</f>
        <v>mkippenby@dion.ne.jp</v>
      </c>
      <c r="K432" s="2" t="str" cm="1">
        <f t="array" ref="K432">_xlfn.XLOOKUP(F432,Customers!A431:$A$1001,Customers!G431:$G$1001,"Not Found",0)</f>
        <v>United States</v>
      </c>
      <c r="L432" t="str">
        <f>INDEX(Products!$A$1:$G$49,MATCH(Orders!$G432,Products!$A$1:$A$49,0),MATCH(Orders!L$1,Products!$A$1:$G$1,0))</f>
        <v>Rob</v>
      </c>
      <c r="M432" t="str">
        <f>INDEX(Products!$A$1:$G$49,MATCH(Orders!$G432,Products!$A$1:$A$49,0),MATCH(Orders!M$1,Products!$A$1:$G$1,0))</f>
        <v>D</v>
      </c>
      <c r="N432" s="4">
        <f>INDEX(Products!$A$1:$G$49,MATCH(Orders!$G432,Products!$A$1:$A$49,0),MATCH(Orders!N$1,Products!$A$1:$G$1,0))</f>
        <v>0.2</v>
      </c>
      <c r="O432" s="7">
        <f>INDEX(Products!$A$1:$G$49,MATCH(Orders!$G432,Products!$A$1:$A$49,0),MATCH(Orders!O$1,Products!$A$1:$G$1,0))</f>
        <v>2.6849999999999996</v>
      </c>
      <c r="P432" s="7">
        <f t="shared" si="6"/>
        <v>5.3699999999999992</v>
      </c>
      <c r="Q432" t="str" cm="1">
        <f t="array" ref="Q432">_xlfn.IFS(L432="Rob","Robusta",L432="Exc", "Excelsa",L432="Ara", "Arabica",L432="Lib", "Liberica")</f>
        <v>Robusta</v>
      </c>
      <c r="R432" t="str" cm="1">
        <f t="array" ref="R432">_xlfn.IFS(M432="M","Medium",M432="L","Light",M432="D","Dark")</f>
        <v>Dark</v>
      </c>
    </row>
    <row r="433" spans="1:18">
      <c r="A433" s="2" t="s">
        <v>906</v>
      </c>
      <c r="B433" s="3">
        <v>44291</v>
      </c>
      <c r="C433" s="9">
        <f>YEAR(Orders_Table[[#This Row],[Order Date]])</f>
        <v>2021</v>
      </c>
      <c r="D433" s="9">
        <f>MONTH(Orders_Table[[#This Row],[Order Date]])</f>
        <v>4</v>
      </c>
      <c r="E433" s="9" t="str" cm="1">
        <f t="array" ref="E4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33" s="2" t="s">
        <v>907</v>
      </c>
      <c r="G433" t="s">
        <v>577</v>
      </c>
      <c r="H433" s="2">
        <v>3</v>
      </c>
      <c r="I433" s="2" t="str" cm="1">
        <f t="array" ref="I433">_xlfn.XLOOKUP(F433,Customers!A432:$A$1001,Customers!B432:$B$1001,"Not Found",0)</f>
        <v>Witty Ranson</v>
      </c>
      <c r="J433" s="2" t="str" cm="1">
        <f t="array" ref="J433">IF(_xlfn.XLOOKUP(F433,Customers!A432:$A$1001,Customers!C432:$C$1001,"Not Found",0)=0,"",_xlfn.XLOOKUP(F433,Customers!A432:$A$1001,Customers!C432:$C$1001,"Not Found",0))</f>
        <v>wransonbz@ted.com</v>
      </c>
      <c r="K433" s="2" t="str" cm="1">
        <f t="array" ref="K433">_xlfn.XLOOKUP(F433,Customers!A432:$A$1001,Customers!G432:$G$1001,"Not Found",0)</f>
        <v>Ireland</v>
      </c>
      <c r="L433" t="str">
        <f>INDEX(Products!$A$1:$G$49,MATCH(Orders!$G433,Products!$A$1:$A$49,0),MATCH(Orders!L$1,Products!$A$1:$G$1,0))</f>
        <v>Exc</v>
      </c>
      <c r="M433" t="str">
        <f>INDEX(Products!$A$1:$G$49,MATCH(Orders!$G433,Products!$A$1:$A$49,0),MATCH(Orders!M$1,Products!$A$1:$G$1,0))</f>
        <v>D</v>
      </c>
      <c r="N433" s="4">
        <f>INDEX(Products!$A$1:$G$49,MATCH(Orders!$G433,Products!$A$1:$A$49,0),MATCH(Orders!N$1,Products!$A$1:$G$1,0))</f>
        <v>2.5</v>
      </c>
      <c r="O433" s="7">
        <f>INDEX(Products!$A$1:$G$49,MATCH(Orders!$G433,Products!$A$1:$A$49,0),MATCH(Orders!O$1,Products!$A$1:$G$1,0))</f>
        <v>27.945</v>
      </c>
      <c r="P433" s="7">
        <f t="shared" si="6"/>
        <v>83.835000000000008</v>
      </c>
      <c r="Q433" t="str" cm="1">
        <f t="array" ref="Q433">_xlfn.IFS(L433="Rob","Robusta",L433="Exc", "Excelsa",L433="Ara", "Arabica",L433="Lib", "Liberica")</f>
        <v>Excelsa</v>
      </c>
      <c r="R433" t="str" cm="1">
        <f t="array" ref="R433">_xlfn.IFS(M433="M","Medium",M433="L","Light",M433="D","Dark")</f>
        <v>Dark</v>
      </c>
    </row>
    <row r="434" spans="1:18">
      <c r="A434" s="2" t="s">
        <v>908</v>
      </c>
      <c r="B434" s="3">
        <v>43808</v>
      </c>
      <c r="C434" s="9">
        <f>YEAR(Orders_Table[[#This Row],[Order Date]])</f>
        <v>2019</v>
      </c>
      <c r="D434" s="9">
        <f>MONTH(Orders_Table[[#This Row],[Order Date]])</f>
        <v>12</v>
      </c>
      <c r="E434" s="9" t="str" cm="1">
        <f t="array" ref="E4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34" s="2" t="s">
        <v>909</v>
      </c>
      <c r="G434" t="s">
        <v>108</v>
      </c>
      <c r="H434" s="2">
        <v>2</v>
      </c>
      <c r="I434" s="2" t="str" cm="1">
        <f t="array" ref="I434">_xlfn.XLOOKUP(F434,Customers!A433:$A$1001,Customers!B433:$B$1001,"Not Found",0)</f>
        <v>Rod Gowdie</v>
      </c>
      <c r="J434" s="2" t="str" cm="1">
        <f t="array" ref="J434">IF(_xlfn.XLOOKUP(F434,Customers!A433:$A$1001,Customers!C433:$C$1001,"Not Found",0)=0,"",_xlfn.XLOOKUP(F434,Customers!A433:$A$1001,Customers!C433:$C$1001,"Not Found",0))</f>
        <v/>
      </c>
      <c r="K434" s="2" t="str" cm="1">
        <f t="array" ref="K434">_xlfn.XLOOKUP(F434,Customers!A433:$A$1001,Customers!G433:$G$1001,"Not Found",0)</f>
        <v>United States</v>
      </c>
      <c r="L434" t="str">
        <f>INDEX(Products!$A$1:$G$49,MATCH(Orders!$G434,Products!$A$1:$A$49,0),MATCH(Orders!L$1,Products!$A$1:$G$1,0))</f>
        <v>Ara</v>
      </c>
      <c r="M434" t="str">
        <f>INDEX(Products!$A$1:$G$49,MATCH(Orders!$G434,Products!$A$1:$A$49,0),MATCH(Orders!M$1,Products!$A$1:$G$1,0))</f>
        <v>M</v>
      </c>
      <c r="N434" s="4">
        <f>INDEX(Products!$A$1:$G$49,MATCH(Orders!$G434,Products!$A$1:$A$49,0),MATCH(Orders!N$1,Products!$A$1:$G$1,0))</f>
        <v>1</v>
      </c>
      <c r="O434" s="7">
        <f>INDEX(Products!$A$1:$G$49,MATCH(Orders!$G434,Products!$A$1:$A$49,0),MATCH(Orders!O$1,Products!$A$1:$G$1,0))</f>
        <v>11.25</v>
      </c>
      <c r="P434" s="7">
        <f t="shared" si="6"/>
        <v>22.5</v>
      </c>
      <c r="Q434" t="str" cm="1">
        <f t="array" ref="Q434">_xlfn.IFS(L434="Rob","Robusta",L434="Exc", "Excelsa",L434="Ara", "Arabica",L434="Lib", "Liberica")</f>
        <v>Arabica</v>
      </c>
      <c r="R434" t="str" cm="1">
        <f t="array" ref="R434">_xlfn.IFS(M434="M","Medium",M434="L","Light",M434="D","Dark")</f>
        <v>Medium</v>
      </c>
    </row>
    <row r="435" spans="1:18">
      <c r="A435" s="2" t="s">
        <v>910</v>
      </c>
      <c r="B435" s="3">
        <v>44563</v>
      </c>
      <c r="C435" s="9">
        <f>YEAR(Orders_Table[[#This Row],[Order Date]])</f>
        <v>2022</v>
      </c>
      <c r="D435" s="9">
        <f>MONTH(Orders_Table[[#This Row],[Order Date]])</f>
        <v>1</v>
      </c>
      <c r="E435" s="9" t="str" cm="1">
        <f t="array" ref="E4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35" s="2" t="s">
        <v>911</v>
      </c>
      <c r="G435" t="s">
        <v>244</v>
      </c>
      <c r="H435" s="2">
        <v>6</v>
      </c>
      <c r="I435" s="2" t="str" cm="1">
        <f t="array" ref="I435">_xlfn.XLOOKUP(F435,Customers!A434:$A$1001,Customers!B434:$B$1001,"Not Found",0)</f>
        <v>Lemuel Rignold</v>
      </c>
      <c r="J435" s="2" t="str" cm="1">
        <f t="array" ref="J435">IF(_xlfn.XLOOKUP(F435,Customers!A434:$A$1001,Customers!C434:$C$1001,"Not Found",0)=0,"",_xlfn.XLOOKUP(F435,Customers!A434:$A$1001,Customers!C434:$C$1001,"Not Found",0))</f>
        <v>lrignoldc1@miibeian.gov.cn</v>
      </c>
      <c r="K435" s="2" t="str" cm="1">
        <f t="array" ref="K435">_xlfn.XLOOKUP(F435,Customers!A434:$A$1001,Customers!G434:$G$1001,"Not Found",0)</f>
        <v>United States</v>
      </c>
      <c r="L435" t="str">
        <f>INDEX(Products!$A$1:$G$49,MATCH(Orders!$G435,Products!$A$1:$A$49,0),MATCH(Orders!L$1,Products!$A$1:$G$1,0))</f>
        <v>Lib</v>
      </c>
      <c r="M435" t="str">
        <f>INDEX(Products!$A$1:$G$49,MATCH(Orders!$G435,Products!$A$1:$A$49,0),MATCH(Orders!M$1,Products!$A$1:$G$1,0))</f>
        <v>M</v>
      </c>
      <c r="N435" s="4">
        <f>INDEX(Products!$A$1:$G$49,MATCH(Orders!$G435,Products!$A$1:$A$49,0),MATCH(Orders!N$1,Products!$A$1:$G$1,0))</f>
        <v>2.5</v>
      </c>
      <c r="O435" s="7">
        <f>INDEX(Products!$A$1:$G$49,MATCH(Orders!$G435,Products!$A$1:$A$49,0),MATCH(Orders!O$1,Products!$A$1:$G$1,0))</f>
        <v>33.464999999999996</v>
      </c>
      <c r="P435" s="7">
        <f t="shared" si="6"/>
        <v>200.78999999999996</v>
      </c>
      <c r="Q435" t="str" cm="1">
        <f t="array" ref="Q435">_xlfn.IFS(L435="Rob","Robusta",L435="Exc", "Excelsa",L435="Ara", "Arabica",L435="Lib", "Liberica")</f>
        <v>Liberica</v>
      </c>
      <c r="R435" t="str" cm="1">
        <f t="array" ref="R435">_xlfn.IFS(M435="M","Medium",M435="L","Light",M435="D","Dark")</f>
        <v>Medium</v>
      </c>
    </row>
    <row r="436" spans="1:18">
      <c r="A436" s="2" t="s">
        <v>912</v>
      </c>
      <c r="B436" s="3">
        <v>43807</v>
      </c>
      <c r="C436" s="9">
        <f>YEAR(Orders_Table[[#This Row],[Order Date]])</f>
        <v>2019</v>
      </c>
      <c r="D436" s="9">
        <f>MONTH(Orders_Table[[#This Row],[Order Date]])</f>
        <v>12</v>
      </c>
      <c r="E436" s="9" t="str" cm="1">
        <f t="array" ref="E4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36" s="2" t="s">
        <v>913</v>
      </c>
      <c r="G436" t="s">
        <v>108</v>
      </c>
      <c r="H436" s="2">
        <v>6</v>
      </c>
      <c r="I436" s="2" t="str" cm="1">
        <f t="array" ref="I436">_xlfn.XLOOKUP(F436,Customers!A435:$A$1001,Customers!B435:$B$1001,"Not Found",0)</f>
        <v>Nevsa Fields</v>
      </c>
      <c r="J436" s="2" t="str" cm="1">
        <f t="array" ref="J436">IF(_xlfn.XLOOKUP(F436,Customers!A435:$A$1001,Customers!C435:$C$1001,"Not Found",0)=0,"",_xlfn.XLOOKUP(F436,Customers!A435:$A$1001,Customers!C435:$C$1001,"Not Found",0))</f>
        <v/>
      </c>
      <c r="K436" s="2" t="str" cm="1">
        <f t="array" ref="K436">_xlfn.XLOOKUP(F436,Customers!A435:$A$1001,Customers!G435:$G$1001,"Not Found",0)</f>
        <v>United States</v>
      </c>
      <c r="L436" t="str">
        <f>INDEX(Products!$A$1:$G$49,MATCH(Orders!$G436,Products!$A$1:$A$49,0),MATCH(Orders!L$1,Products!$A$1:$G$1,0))</f>
        <v>Ara</v>
      </c>
      <c r="M436" t="str">
        <f>INDEX(Products!$A$1:$G$49,MATCH(Orders!$G436,Products!$A$1:$A$49,0),MATCH(Orders!M$1,Products!$A$1:$G$1,0))</f>
        <v>M</v>
      </c>
      <c r="N436" s="4">
        <f>INDEX(Products!$A$1:$G$49,MATCH(Orders!$G436,Products!$A$1:$A$49,0),MATCH(Orders!N$1,Products!$A$1:$G$1,0))</f>
        <v>1</v>
      </c>
      <c r="O436" s="7">
        <f>INDEX(Products!$A$1:$G$49,MATCH(Orders!$G436,Products!$A$1:$A$49,0),MATCH(Orders!O$1,Products!$A$1:$G$1,0))</f>
        <v>11.25</v>
      </c>
      <c r="P436" s="7">
        <f t="shared" si="6"/>
        <v>67.5</v>
      </c>
      <c r="Q436" t="str" cm="1">
        <f t="array" ref="Q436">_xlfn.IFS(L436="Rob","Robusta",L436="Exc", "Excelsa",L436="Ara", "Arabica",L436="Lib", "Liberica")</f>
        <v>Arabica</v>
      </c>
      <c r="R436" t="str" cm="1">
        <f t="array" ref="R436">_xlfn.IFS(M436="M","Medium",M436="L","Light",M436="D","Dark")</f>
        <v>Medium</v>
      </c>
    </row>
    <row r="437" spans="1:18">
      <c r="A437" s="2" t="s">
        <v>914</v>
      </c>
      <c r="B437" s="3">
        <v>44528</v>
      </c>
      <c r="C437" s="9">
        <f>YEAR(Orders_Table[[#This Row],[Order Date]])</f>
        <v>2021</v>
      </c>
      <c r="D437" s="9">
        <f>MONTH(Orders_Table[[#This Row],[Order Date]])</f>
        <v>11</v>
      </c>
      <c r="E437" s="9" t="str" cm="1">
        <f t="array" ref="E4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37" s="2" t="s">
        <v>915</v>
      </c>
      <c r="G437" t="s">
        <v>50</v>
      </c>
      <c r="H437" s="2">
        <v>1</v>
      </c>
      <c r="I437" s="2" t="str" cm="1">
        <f t="array" ref="I437">_xlfn.XLOOKUP(F437,Customers!A436:$A$1001,Customers!B436:$B$1001,"Not Found",0)</f>
        <v>Chance Rowthorn</v>
      </c>
      <c r="J437" s="2" t="str" cm="1">
        <f t="array" ref="J437">IF(_xlfn.XLOOKUP(F437,Customers!A436:$A$1001,Customers!C436:$C$1001,"Not Found",0)=0,"",_xlfn.XLOOKUP(F437,Customers!A436:$A$1001,Customers!C436:$C$1001,"Not Found",0))</f>
        <v>crowthornc3@msn.com</v>
      </c>
      <c r="K437" s="2" t="str" cm="1">
        <f t="array" ref="K437">_xlfn.XLOOKUP(F437,Customers!A436:$A$1001,Customers!G436:$G$1001,"Not Found",0)</f>
        <v>United States</v>
      </c>
      <c r="L437" t="str">
        <f>INDEX(Products!$A$1:$G$49,MATCH(Orders!$G437,Products!$A$1:$A$49,0),MATCH(Orders!L$1,Products!$A$1:$G$1,0))</f>
        <v>Exc</v>
      </c>
      <c r="M437" t="str">
        <f>INDEX(Products!$A$1:$G$49,MATCH(Orders!$G437,Products!$A$1:$A$49,0),MATCH(Orders!M$1,Products!$A$1:$G$1,0))</f>
        <v>M</v>
      </c>
      <c r="N437" s="4">
        <f>INDEX(Products!$A$1:$G$49,MATCH(Orders!$G437,Products!$A$1:$A$49,0),MATCH(Orders!N$1,Products!$A$1:$G$1,0))</f>
        <v>0.5</v>
      </c>
      <c r="O437" s="7">
        <f>INDEX(Products!$A$1:$G$49,MATCH(Orders!$G437,Products!$A$1:$A$49,0),MATCH(Orders!O$1,Products!$A$1:$G$1,0))</f>
        <v>8.25</v>
      </c>
      <c r="P437" s="7">
        <f t="shared" si="6"/>
        <v>8.25</v>
      </c>
      <c r="Q437" t="str" cm="1">
        <f t="array" ref="Q437">_xlfn.IFS(L437="Rob","Robusta",L437="Exc", "Excelsa",L437="Ara", "Arabica",L437="Lib", "Liberica")</f>
        <v>Excelsa</v>
      </c>
      <c r="R437" t="str" cm="1">
        <f t="array" ref="R437">_xlfn.IFS(M437="M","Medium",M437="L","Light",M437="D","Dark")</f>
        <v>Medium</v>
      </c>
    </row>
    <row r="438" spans="1:18">
      <c r="A438" s="2" t="s">
        <v>916</v>
      </c>
      <c r="B438" s="3">
        <v>44631</v>
      </c>
      <c r="C438" s="9">
        <f>YEAR(Orders_Table[[#This Row],[Order Date]])</f>
        <v>2022</v>
      </c>
      <c r="D438" s="9">
        <f>MONTH(Orders_Table[[#This Row],[Order Date]])</f>
        <v>3</v>
      </c>
      <c r="E438" s="9" t="str" cm="1">
        <f t="array" ref="E4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438" s="2" t="s">
        <v>917</v>
      </c>
      <c r="G438" t="s">
        <v>66</v>
      </c>
      <c r="H438" s="2">
        <v>2</v>
      </c>
      <c r="I438" s="2" t="str" cm="1">
        <f t="array" ref="I438">_xlfn.XLOOKUP(F438,Customers!A437:$A$1001,Customers!B437:$B$1001,"Not Found",0)</f>
        <v>Orly Ryland</v>
      </c>
      <c r="J438" s="2" t="str" cm="1">
        <f t="array" ref="J438">IF(_xlfn.XLOOKUP(F438,Customers!A437:$A$1001,Customers!C437:$C$1001,"Not Found",0)=0,"",_xlfn.XLOOKUP(F438,Customers!A437:$A$1001,Customers!C437:$C$1001,"Not Found",0))</f>
        <v>orylandc4@deviantart.com</v>
      </c>
      <c r="K438" s="2" t="str" cm="1">
        <f t="array" ref="K438">_xlfn.XLOOKUP(F438,Customers!A437:$A$1001,Customers!G437:$G$1001,"Not Found",0)</f>
        <v>United States</v>
      </c>
      <c r="L438" t="str">
        <f>INDEX(Products!$A$1:$G$49,MATCH(Orders!$G438,Products!$A$1:$A$49,0),MATCH(Orders!L$1,Products!$A$1:$G$1,0))</f>
        <v>Lib</v>
      </c>
      <c r="M438" t="str">
        <f>INDEX(Products!$A$1:$G$49,MATCH(Orders!$G438,Products!$A$1:$A$49,0),MATCH(Orders!M$1,Products!$A$1:$G$1,0))</f>
        <v>L</v>
      </c>
      <c r="N438" s="4">
        <f>INDEX(Products!$A$1:$G$49,MATCH(Orders!$G438,Products!$A$1:$A$49,0),MATCH(Orders!N$1,Products!$A$1:$G$1,0))</f>
        <v>0.2</v>
      </c>
      <c r="O438" s="7">
        <f>INDEX(Products!$A$1:$G$49,MATCH(Orders!$G438,Products!$A$1:$A$49,0),MATCH(Orders!O$1,Products!$A$1:$G$1,0))</f>
        <v>4.7549999999999999</v>
      </c>
      <c r="P438" s="7">
        <f t="shared" si="6"/>
        <v>9.51</v>
      </c>
      <c r="Q438" t="str" cm="1">
        <f t="array" ref="Q438">_xlfn.IFS(L438="Rob","Robusta",L438="Exc", "Excelsa",L438="Ara", "Arabica",L438="Lib", "Liberica")</f>
        <v>Liberica</v>
      </c>
      <c r="R438" t="str" cm="1">
        <f t="array" ref="R438">_xlfn.IFS(M438="M","Medium",M438="L","Light",M438="D","Dark")</f>
        <v>Light</v>
      </c>
    </row>
    <row r="439" spans="1:18">
      <c r="A439" s="2" t="s">
        <v>918</v>
      </c>
      <c r="B439" s="3">
        <v>44213</v>
      </c>
      <c r="C439" s="9">
        <f>YEAR(Orders_Table[[#This Row],[Order Date]])</f>
        <v>2021</v>
      </c>
      <c r="D439" s="9">
        <f>MONTH(Orders_Table[[#This Row],[Order Date]])</f>
        <v>1</v>
      </c>
      <c r="E439" s="9" t="str" cm="1">
        <f t="array" ref="E4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39" s="2" t="s">
        <v>919</v>
      </c>
      <c r="G439" t="s">
        <v>156</v>
      </c>
      <c r="H439" s="2">
        <v>1</v>
      </c>
      <c r="I439" s="2" t="str" cm="1">
        <f t="array" ref="I439">_xlfn.XLOOKUP(F439,Customers!A438:$A$1001,Customers!B438:$B$1001,"Not Found",0)</f>
        <v>Willabella Abramski</v>
      </c>
      <c r="J439" s="2" t="str" cm="1">
        <f t="array" ref="J439">IF(_xlfn.XLOOKUP(F439,Customers!A438:$A$1001,Customers!C438:$C$1001,"Not Found",0)=0,"",_xlfn.XLOOKUP(F439,Customers!A438:$A$1001,Customers!C438:$C$1001,"Not Found",0))</f>
        <v/>
      </c>
      <c r="K439" s="2" t="str" cm="1">
        <f t="array" ref="K439">_xlfn.XLOOKUP(F439,Customers!A438:$A$1001,Customers!G438:$G$1001,"Not Found",0)</f>
        <v>United States</v>
      </c>
      <c r="L439" t="str">
        <f>INDEX(Products!$A$1:$G$49,MATCH(Orders!$G439,Products!$A$1:$A$49,0),MATCH(Orders!L$1,Products!$A$1:$G$1,0))</f>
        <v>Lib</v>
      </c>
      <c r="M439" t="str">
        <f>INDEX(Products!$A$1:$G$49,MATCH(Orders!$G439,Products!$A$1:$A$49,0),MATCH(Orders!M$1,Products!$A$1:$G$1,0))</f>
        <v>D</v>
      </c>
      <c r="N439" s="4">
        <f>INDEX(Products!$A$1:$G$49,MATCH(Orders!$G439,Products!$A$1:$A$49,0),MATCH(Orders!N$1,Products!$A$1:$G$1,0))</f>
        <v>2.5</v>
      </c>
      <c r="O439" s="7">
        <f>INDEX(Products!$A$1:$G$49,MATCH(Orders!$G439,Products!$A$1:$A$49,0),MATCH(Orders!O$1,Products!$A$1:$G$1,0))</f>
        <v>29.784999999999997</v>
      </c>
      <c r="P439" s="7">
        <f t="shared" si="6"/>
        <v>29.784999999999997</v>
      </c>
      <c r="Q439" t="str" cm="1">
        <f t="array" ref="Q439">_xlfn.IFS(L439="Rob","Robusta",L439="Exc", "Excelsa",L439="Ara", "Arabica",L439="Lib", "Liberica")</f>
        <v>Liberica</v>
      </c>
      <c r="R439" t="str" cm="1">
        <f t="array" ref="R439">_xlfn.IFS(M439="M","Medium",M439="L","Light",M439="D","Dark")</f>
        <v>Dark</v>
      </c>
    </row>
    <row r="440" spans="1:18">
      <c r="A440" s="2" t="s">
        <v>920</v>
      </c>
      <c r="B440" s="3">
        <v>43483</v>
      </c>
      <c r="C440" s="9">
        <f>YEAR(Orders_Table[[#This Row],[Order Date]])</f>
        <v>2019</v>
      </c>
      <c r="D440" s="9">
        <f>MONTH(Orders_Table[[#This Row],[Order Date]])</f>
        <v>1</v>
      </c>
      <c r="E440" s="9" t="str" cm="1">
        <f t="array" ref="E4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40" s="2" t="s">
        <v>921</v>
      </c>
      <c r="G440" t="s">
        <v>170</v>
      </c>
      <c r="H440" s="2">
        <v>2</v>
      </c>
      <c r="I440" s="2" t="str" cm="1">
        <f t="array" ref="I440">_xlfn.XLOOKUP(F440,Customers!A439:$A$1001,Customers!B439:$B$1001,"Not Found",0)</f>
        <v>Morgen Seson</v>
      </c>
      <c r="J440" s="2" t="str" cm="1">
        <f t="array" ref="J440">IF(_xlfn.XLOOKUP(F440,Customers!A439:$A$1001,Customers!C439:$C$1001,"Not Found",0)=0,"",_xlfn.XLOOKUP(F440,Customers!A439:$A$1001,Customers!C439:$C$1001,"Not Found",0))</f>
        <v>msesonck@census.gov</v>
      </c>
      <c r="K440" s="2" t="str" cm="1">
        <f t="array" ref="K440">_xlfn.XLOOKUP(F440,Customers!A439:$A$1001,Customers!G439:$G$1001,"Not Found",0)</f>
        <v>United States</v>
      </c>
      <c r="L440" t="str">
        <f>INDEX(Products!$A$1:$G$49,MATCH(Orders!$G440,Products!$A$1:$A$49,0),MATCH(Orders!L$1,Products!$A$1:$G$1,0))</f>
        <v>Lib</v>
      </c>
      <c r="M440" t="str">
        <f>INDEX(Products!$A$1:$G$49,MATCH(Orders!$G440,Products!$A$1:$A$49,0),MATCH(Orders!M$1,Products!$A$1:$G$1,0))</f>
        <v>D</v>
      </c>
      <c r="N440" s="4">
        <f>INDEX(Products!$A$1:$G$49,MATCH(Orders!$G440,Products!$A$1:$A$49,0),MATCH(Orders!N$1,Products!$A$1:$G$1,0))</f>
        <v>0.5</v>
      </c>
      <c r="O440" s="7">
        <f>INDEX(Products!$A$1:$G$49,MATCH(Orders!$G440,Products!$A$1:$A$49,0),MATCH(Orders!O$1,Products!$A$1:$G$1,0))</f>
        <v>7.77</v>
      </c>
      <c r="P440" s="7">
        <f t="shared" si="6"/>
        <v>15.54</v>
      </c>
      <c r="Q440" t="str" cm="1">
        <f t="array" ref="Q440">_xlfn.IFS(L440="Rob","Robusta",L440="Exc", "Excelsa",L440="Ara", "Arabica",L440="Lib", "Liberica")</f>
        <v>Liberica</v>
      </c>
      <c r="R440" t="str" cm="1">
        <f t="array" ref="R440">_xlfn.IFS(M440="M","Medium",M440="L","Light",M440="D","Dark")</f>
        <v>Dark</v>
      </c>
    </row>
    <row r="441" spans="1:18">
      <c r="A441" s="2" t="s">
        <v>922</v>
      </c>
      <c r="B441" s="3">
        <v>43562</v>
      </c>
      <c r="C441" s="9">
        <f>YEAR(Orders_Table[[#This Row],[Order Date]])</f>
        <v>2019</v>
      </c>
      <c r="D441" s="9">
        <f>MONTH(Orders_Table[[#This Row],[Order Date]])</f>
        <v>4</v>
      </c>
      <c r="E441" s="9" t="str" cm="1">
        <f t="array" ref="E4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41" s="2" t="s">
        <v>923</v>
      </c>
      <c r="G441" t="s">
        <v>223</v>
      </c>
      <c r="H441" s="2">
        <v>4</v>
      </c>
      <c r="I441" s="2" t="str" cm="1">
        <f t="array" ref="I441">_xlfn.XLOOKUP(F441,Customers!A440:$A$1001,Customers!B440:$B$1001,"Not Found",0)</f>
        <v>Chickie Ragless</v>
      </c>
      <c r="J441" s="2" t="str" cm="1">
        <f t="array" ref="J441">IF(_xlfn.XLOOKUP(F441,Customers!A440:$A$1001,Customers!C440:$C$1001,"Not Found",0)=0,"",_xlfn.XLOOKUP(F441,Customers!A440:$A$1001,Customers!C440:$C$1001,"Not Found",0))</f>
        <v>craglessc7@webmd.com</v>
      </c>
      <c r="K441" s="2" t="str" cm="1">
        <f t="array" ref="K441">_xlfn.XLOOKUP(F441,Customers!A440:$A$1001,Customers!G440:$G$1001,"Not Found",0)</f>
        <v>Ireland</v>
      </c>
      <c r="L441" t="str">
        <f>INDEX(Products!$A$1:$G$49,MATCH(Orders!$G441,Products!$A$1:$A$49,0),MATCH(Orders!L$1,Products!$A$1:$G$1,0))</f>
        <v>Exc</v>
      </c>
      <c r="M441" t="str">
        <f>INDEX(Products!$A$1:$G$49,MATCH(Orders!$G441,Products!$A$1:$A$49,0),MATCH(Orders!M$1,Products!$A$1:$G$1,0))</f>
        <v>L</v>
      </c>
      <c r="N441" s="4">
        <f>INDEX(Products!$A$1:$G$49,MATCH(Orders!$G441,Products!$A$1:$A$49,0),MATCH(Orders!N$1,Products!$A$1:$G$1,0))</f>
        <v>0.5</v>
      </c>
      <c r="O441" s="7">
        <f>INDEX(Products!$A$1:$G$49,MATCH(Orders!$G441,Products!$A$1:$A$49,0),MATCH(Orders!O$1,Products!$A$1:$G$1,0))</f>
        <v>8.91</v>
      </c>
      <c r="P441" s="7">
        <f t="shared" si="6"/>
        <v>35.64</v>
      </c>
      <c r="Q441" t="str" cm="1">
        <f t="array" ref="Q441">_xlfn.IFS(L441="Rob","Robusta",L441="Exc", "Excelsa",L441="Ara", "Arabica",L441="Lib", "Liberica")</f>
        <v>Excelsa</v>
      </c>
      <c r="R441" t="str" cm="1">
        <f t="array" ref="R441">_xlfn.IFS(M441="M","Medium",M441="L","Light",M441="D","Dark")</f>
        <v>Light</v>
      </c>
    </row>
    <row r="442" spans="1:18">
      <c r="A442" s="2" t="s">
        <v>924</v>
      </c>
      <c r="B442" s="3">
        <v>44230</v>
      </c>
      <c r="C442" s="9">
        <f>YEAR(Orders_Table[[#This Row],[Order Date]])</f>
        <v>2021</v>
      </c>
      <c r="D442" s="9">
        <f>MONTH(Orders_Table[[#This Row],[Order Date]])</f>
        <v>2</v>
      </c>
      <c r="E442" s="9" t="str" cm="1">
        <f t="array" ref="E4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42" s="2" t="s">
        <v>925</v>
      </c>
      <c r="G442" t="s">
        <v>218</v>
      </c>
      <c r="H442" s="2">
        <v>4</v>
      </c>
      <c r="I442" s="2" t="str" cm="1">
        <f t="array" ref="I442">_xlfn.XLOOKUP(F442,Customers!A441:$A$1001,Customers!B441:$B$1001,"Not Found",0)</f>
        <v>Freda Hollows</v>
      </c>
      <c r="J442" s="2" t="str" cm="1">
        <f t="array" ref="J442">IF(_xlfn.XLOOKUP(F442,Customers!A441:$A$1001,Customers!C441:$C$1001,"Not Found",0)=0,"",_xlfn.XLOOKUP(F442,Customers!A441:$A$1001,Customers!C441:$C$1001,"Not Found",0))</f>
        <v>fhollowsc8@blogtalkradio.com</v>
      </c>
      <c r="K442" s="2" t="str" cm="1">
        <f t="array" ref="K442">_xlfn.XLOOKUP(F442,Customers!A441:$A$1001,Customers!G441:$G$1001,"Not Found",0)</f>
        <v>United States</v>
      </c>
      <c r="L442" t="str">
        <f>INDEX(Products!$A$1:$G$49,MATCH(Orders!$G442,Products!$A$1:$A$49,0),MATCH(Orders!L$1,Products!$A$1:$G$1,0))</f>
        <v>Ara</v>
      </c>
      <c r="M442" t="str">
        <f>INDEX(Products!$A$1:$G$49,MATCH(Orders!$G442,Products!$A$1:$A$49,0),MATCH(Orders!M$1,Products!$A$1:$G$1,0))</f>
        <v>M</v>
      </c>
      <c r="N442" s="4">
        <f>INDEX(Products!$A$1:$G$49,MATCH(Orders!$G442,Products!$A$1:$A$49,0),MATCH(Orders!N$1,Products!$A$1:$G$1,0))</f>
        <v>2.5</v>
      </c>
      <c r="O442" s="7">
        <f>INDEX(Products!$A$1:$G$49,MATCH(Orders!$G442,Products!$A$1:$A$49,0),MATCH(Orders!O$1,Products!$A$1:$G$1,0))</f>
        <v>25.874999999999996</v>
      </c>
      <c r="P442" s="7">
        <f t="shared" si="6"/>
        <v>103.49999999999999</v>
      </c>
      <c r="Q442" t="str" cm="1">
        <f t="array" ref="Q442">_xlfn.IFS(L442="Rob","Robusta",L442="Exc", "Excelsa",L442="Ara", "Arabica",L442="Lib", "Liberica")</f>
        <v>Arabica</v>
      </c>
      <c r="R442" t="str" cm="1">
        <f t="array" ref="R442">_xlfn.IFS(M442="M","Medium",M442="L","Light",M442="D","Dark")</f>
        <v>Medium</v>
      </c>
    </row>
    <row r="443" spans="1:18">
      <c r="A443" s="2" t="s">
        <v>926</v>
      </c>
      <c r="B443" s="3">
        <v>43573</v>
      </c>
      <c r="C443" s="9">
        <f>YEAR(Orders_Table[[#This Row],[Order Date]])</f>
        <v>2019</v>
      </c>
      <c r="D443" s="9">
        <f>MONTH(Orders_Table[[#This Row],[Order Date]])</f>
        <v>4</v>
      </c>
      <c r="E443" s="9" t="str" cm="1">
        <f t="array" ref="E4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43" s="2" t="s">
        <v>927</v>
      </c>
      <c r="G443" t="s">
        <v>292</v>
      </c>
      <c r="H443" s="2">
        <v>3</v>
      </c>
      <c r="I443" s="2" t="str" cm="1">
        <f t="array" ref="I443">_xlfn.XLOOKUP(F443,Customers!A442:$A$1001,Customers!B442:$B$1001,"Not Found",0)</f>
        <v>Livy Lathleiff</v>
      </c>
      <c r="J443" s="2" t="str" cm="1">
        <f t="array" ref="J443">IF(_xlfn.XLOOKUP(F443,Customers!A442:$A$1001,Customers!C442:$C$1001,"Not Found",0)=0,"",_xlfn.XLOOKUP(F443,Customers!A442:$A$1001,Customers!C442:$C$1001,"Not Found",0))</f>
        <v>llathleiffc9@nationalgeographic.com</v>
      </c>
      <c r="K443" s="2" t="str" cm="1">
        <f t="array" ref="K443">_xlfn.XLOOKUP(F443,Customers!A442:$A$1001,Customers!G442:$G$1001,"Not Found",0)</f>
        <v>Ireland</v>
      </c>
      <c r="L443" t="str">
        <f>INDEX(Products!$A$1:$G$49,MATCH(Orders!$G443,Products!$A$1:$A$49,0),MATCH(Orders!L$1,Products!$A$1:$G$1,0))</f>
        <v>Exc</v>
      </c>
      <c r="M443" t="str">
        <f>INDEX(Products!$A$1:$G$49,MATCH(Orders!$G443,Products!$A$1:$A$49,0),MATCH(Orders!M$1,Products!$A$1:$G$1,0))</f>
        <v>D</v>
      </c>
      <c r="N443" s="4">
        <f>INDEX(Products!$A$1:$G$49,MATCH(Orders!$G443,Products!$A$1:$A$49,0),MATCH(Orders!N$1,Products!$A$1:$G$1,0))</f>
        <v>1</v>
      </c>
      <c r="O443" s="7">
        <f>INDEX(Products!$A$1:$G$49,MATCH(Orders!$G443,Products!$A$1:$A$49,0),MATCH(Orders!O$1,Products!$A$1:$G$1,0))</f>
        <v>12.15</v>
      </c>
      <c r="P443" s="7">
        <f t="shared" si="6"/>
        <v>36.450000000000003</v>
      </c>
      <c r="Q443" t="str" cm="1">
        <f t="array" ref="Q443">_xlfn.IFS(L443="Rob","Robusta",L443="Exc", "Excelsa",L443="Ara", "Arabica",L443="Lib", "Liberica")</f>
        <v>Excelsa</v>
      </c>
      <c r="R443" t="str" cm="1">
        <f t="array" ref="R443">_xlfn.IFS(M443="M","Medium",M443="L","Light",M443="D","Dark")</f>
        <v>Dark</v>
      </c>
    </row>
    <row r="444" spans="1:18">
      <c r="A444" s="2" t="s">
        <v>928</v>
      </c>
      <c r="B444" s="3">
        <v>44384</v>
      </c>
      <c r="C444" s="9">
        <f>YEAR(Orders_Table[[#This Row],[Order Date]])</f>
        <v>2021</v>
      </c>
      <c r="D444" s="9">
        <f>MONTH(Orders_Table[[#This Row],[Order Date]])</f>
        <v>7</v>
      </c>
      <c r="E444" s="9" t="str" cm="1">
        <f t="array" ref="E4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44" s="2" t="s">
        <v>929</v>
      </c>
      <c r="G444" t="s">
        <v>204</v>
      </c>
      <c r="H444" s="2">
        <v>5</v>
      </c>
      <c r="I444" s="2" t="str" cm="1">
        <f t="array" ref="I444">_xlfn.XLOOKUP(F444,Customers!A443:$A$1001,Customers!B443:$B$1001,"Not Found",0)</f>
        <v>Koralle Heads</v>
      </c>
      <c r="J444" s="2" t="str" cm="1">
        <f t="array" ref="J444">IF(_xlfn.XLOOKUP(F444,Customers!A443:$A$1001,Customers!C443:$C$1001,"Not Found",0)=0,"",_xlfn.XLOOKUP(F444,Customers!A443:$A$1001,Customers!C443:$C$1001,"Not Found",0))</f>
        <v>kheadsca@jalbum.net</v>
      </c>
      <c r="K444" s="2" t="str" cm="1">
        <f t="array" ref="K444">_xlfn.XLOOKUP(F444,Customers!A443:$A$1001,Customers!G443:$G$1001,"Not Found",0)</f>
        <v>United States</v>
      </c>
      <c r="L444" t="str">
        <f>INDEX(Products!$A$1:$G$49,MATCH(Orders!$G444,Products!$A$1:$A$49,0),MATCH(Orders!L$1,Products!$A$1:$G$1,0))</f>
        <v>Rob</v>
      </c>
      <c r="M444" t="str">
        <f>INDEX(Products!$A$1:$G$49,MATCH(Orders!$G444,Products!$A$1:$A$49,0),MATCH(Orders!M$1,Products!$A$1:$G$1,0))</f>
        <v>L</v>
      </c>
      <c r="N444" s="4">
        <f>INDEX(Products!$A$1:$G$49,MATCH(Orders!$G444,Products!$A$1:$A$49,0),MATCH(Orders!N$1,Products!$A$1:$G$1,0))</f>
        <v>0.5</v>
      </c>
      <c r="O444" s="7">
        <f>INDEX(Products!$A$1:$G$49,MATCH(Orders!$G444,Products!$A$1:$A$49,0),MATCH(Orders!O$1,Products!$A$1:$G$1,0))</f>
        <v>7.169999999999999</v>
      </c>
      <c r="P444" s="7">
        <f t="shared" si="6"/>
        <v>35.849999999999994</v>
      </c>
      <c r="Q444" t="str" cm="1">
        <f t="array" ref="Q444">_xlfn.IFS(L444="Rob","Robusta",L444="Exc", "Excelsa",L444="Ara", "Arabica",L444="Lib", "Liberica")</f>
        <v>Robusta</v>
      </c>
      <c r="R444" t="str" cm="1">
        <f t="array" ref="R444">_xlfn.IFS(M444="M","Medium",M444="L","Light",M444="D","Dark")</f>
        <v>Light</v>
      </c>
    </row>
    <row r="445" spans="1:18">
      <c r="A445" s="2" t="s">
        <v>930</v>
      </c>
      <c r="B445" s="3">
        <v>44250</v>
      </c>
      <c r="C445" s="9">
        <f>YEAR(Orders_Table[[#This Row],[Order Date]])</f>
        <v>2021</v>
      </c>
      <c r="D445" s="9">
        <f>MONTH(Orders_Table[[#This Row],[Order Date]])</f>
        <v>2</v>
      </c>
      <c r="E445" s="9" t="str" cm="1">
        <f t="array" ref="E4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45" s="2" t="s">
        <v>931</v>
      </c>
      <c r="G445" t="s">
        <v>301</v>
      </c>
      <c r="H445" s="2">
        <v>5</v>
      </c>
      <c r="I445" s="2" t="str" cm="1">
        <f t="array" ref="I445">_xlfn.XLOOKUP(F445,Customers!A444:$A$1001,Customers!B444:$B$1001,"Not Found",0)</f>
        <v>Theo Bowne</v>
      </c>
      <c r="J445" s="2" t="str" cm="1">
        <f t="array" ref="J445">IF(_xlfn.XLOOKUP(F445,Customers!A444:$A$1001,Customers!C444:$C$1001,"Not Found",0)=0,"",_xlfn.XLOOKUP(F445,Customers!A444:$A$1001,Customers!C444:$C$1001,"Not Found",0))</f>
        <v>tbownecb@unicef.org</v>
      </c>
      <c r="K445" s="2" t="str" cm="1">
        <f t="array" ref="K445">_xlfn.XLOOKUP(F445,Customers!A444:$A$1001,Customers!G444:$G$1001,"Not Found",0)</f>
        <v>Ireland</v>
      </c>
      <c r="L445" t="str">
        <f>INDEX(Products!$A$1:$G$49,MATCH(Orders!$G445,Products!$A$1:$A$49,0),MATCH(Orders!L$1,Products!$A$1:$G$1,0))</f>
        <v>Exc</v>
      </c>
      <c r="M445" t="str">
        <f>INDEX(Products!$A$1:$G$49,MATCH(Orders!$G445,Products!$A$1:$A$49,0),MATCH(Orders!M$1,Products!$A$1:$G$1,0))</f>
        <v>L</v>
      </c>
      <c r="N445" s="4">
        <f>INDEX(Products!$A$1:$G$49,MATCH(Orders!$G445,Products!$A$1:$A$49,0),MATCH(Orders!N$1,Products!$A$1:$G$1,0))</f>
        <v>0.2</v>
      </c>
      <c r="O445" s="7">
        <f>INDEX(Products!$A$1:$G$49,MATCH(Orders!$G445,Products!$A$1:$A$49,0),MATCH(Orders!O$1,Products!$A$1:$G$1,0))</f>
        <v>4.4550000000000001</v>
      </c>
      <c r="P445" s="7">
        <f t="shared" si="6"/>
        <v>22.274999999999999</v>
      </c>
      <c r="Q445" t="str" cm="1">
        <f t="array" ref="Q445">_xlfn.IFS(L445="Rob","Robusta",L445="Exc", "Excelsa",L445="Ara", "Arabica",L445="Lib", "Liberica")</f>
        <v>Excelsa</v>
      </c>
      <c r="R445" t="str" cm="1">
        <f t="array" ref="R445">_xlfn.IFS(M445="M","Medium",M445="L","Light",M445="D","Dark")</f>
        <v>Light</v>
      </c>
    </row>
    <row r="446" spans="1:18">
      <c r="A446" s="2" t="s">
        <v>932</v>
      </c>
      <c r="B446" s="3">
        <v>44418</v>
      </c>
      <c r="C446" s="9">
        <f>YEAR(Orders_Table[[#This Row],[Order Date]])</f>
        <v>2021</v>
      </c>
      <c r="D446" s="9">
        <f>MONTH(Orders_Table[[#This Row],[Order Date]])</f>
        <v>8</v>
      </c>
      <c r="E446" s="9" t="str" cm="1">
        <f t="array" ref="E4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46" s="2" t="s">
        <v>933</v>
      </c>
      <c r="G446" t="s">
        <v>111</v>
      </c>
      <c r="H446" s="2">
        <v>6</v>
      </c>
      <c r="I446" s="2" t="str" cm="1">
        <f t="array" ref="I446">_xlfn.XLOOKUP(F446,Customers!A445:$A$1001,Customers!B445:$B$1001,"Not Found",0)</f>
        <v>Rasia Jacquemard</v>
      </c>
      <c r="J446" s="2" t="str" cm="1">
        <f t="array" ref="J446">IF(_xlfn.XLOOKUP(F446,Customers!A445:$A$1001,Customers!C445:$C$1001,"Not Found",0)=0,"",_xlfn.XLOOKUP(F446,Customers!A445:$A$1001,Customers!C445:$C$1001,"Not Found",0))</f>
        <v>rjacquemardcc@acquirethisname.com</v>
      </c>
      <c r="K446" s="2" t="str" cm="1">
        <f t="array" ref="K446">_xlfn.XLOOKUP(F446,Customers!A445:$A$1001,Customers!G445:$G$1001,"Not Found",0)</f>
        <v>Ireland</v>
      </c>
      <c r="L446" t="str">
        <f>INDEX(Products!$A$1:$G$49,MATCH(Orders!$G446,Products!$A$1:$A$49,0),MATCH(Orders!L$1,Products!$A$1:$G$1,0))</f>
        <v>Exc</v>
      </c>
      <c r="M446" t="str">
        <f>INDEX(Products!$A$1:$G$49,MATCH(Orders!$G446,Products!$A$1:$A$49,0),MATCH(Orders!M$1,Products!$A$1:$G$1,0))</f>
        <v>M</v>
      </c>
      <c r="N446" s="4">
        <f>INDEX(Products!$A$1:$G$49,MATCH(Orders!$G446,Products!$A$1:$A$49,0),MATCH(Orders!N$1,Products!$A$1:$G$1,0))</f>
        <v>0.2</v>
      </c>
      <c r="O446" s="7">
        <f>INDEX(Products!$A$1:$G$49,MATCH(Orders!$G446,Products!$A$1:$A$49,0),MATCH(Orders!O$1,Products!$A$1:$G$1,0))</f>
        <v>4.125</v>
      </c>
      <c r="P446" s="7">
        <f t="shared" si="6"/>
        <v>24.75</v>
      </c>
      <c r="Q446" t="str" cm="1">
        <f t="array" ref="Q446">_xlfn.IFS(L446="Rob","Robusta",L446="Exc", "Excelsa",L446="Ara", "Arabica",L446="Lib", "Liberica")</f>
        <v>Excelsa</v>
      </c>
      <c r="R446" t="str" cm="1">
        <f t="array" ref="R446">_xlfn.IFS(M446="M","Medium",M446="L","Light",M446="D","Dark")</f>
        <v>Medium</v>
      </c>
    </row>
    <row r="447" spans="1:18">
      <c r="A447" s="2" t="s">
        <v>934</v>
      </c>
      <c r="B447" s="3">
        <v>43784</v>
      </c>
      <c r="C447" s="9">
        <f>YEAR(Orders_Table[[#This Row],[Order Date]])</f>
        <v>2019</v>
      </c>
      <c r="D447" s="9">
        <f>MONTH(Orders_Table[[#This Row],[Order Date]])</f>
        <v>11</v>
      </c>
      <c r="E447" s="9" t="str" cm="1">
        <f t="array" ref="E4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47" s="2" t="s">
        <v>935</v>
      </c>
      <c r="G447" t="s">
        <v>244</v>
      </c>
      <c r="H447" s="2">
        <v>2</v>
      </c>
      <c r="I447" s="2" t="str" cm="1">
        <f t="array" ref="I447">_xlfn.XLOOKUP(F447,Customers!A446:$A$1001,Customers!B446:$B$1001,"Not Found",0)</f>
        <v>Kizzie Warman</v>
      </c>
      <c r="J447" s="2" t="str" cm="1">
        <f t="array" ref="J447">IF(_xlfn.XLOOKUP(F447,Customers!A446:$A$1001,Customers!C446:$C$1001,"Not Found",0)=0,"",_xlfn.XLOOKUP(F447,Customers!A446:$A$1001,Customers!C446:$C$1001,"Not Found",0))</f>
        <v>kwarmancd@printfriendly.com</v>
      </c>
      <c r="K447" s="2" t="str" cm="1">
        <f t="array" ref="K447">_xlfn.XLOOKUP(F447,Customers!A446:$A$1001,Customers!G446:$G$1001,"Not Found",0)</f>
        <v>Ireland</v>
      </c>
      <c r="L447" t="str">
        <f>INDEX(Products!$A$1:$G$49,MATCH(Orders!$G447,Products!$A$1:$A$49,0),MATCH(Orders!L$1,Products!$A$1:$G$1,0))</f>
        <v>Lib</v>
      </c>
      <c r="M447" t="str">
        <f>INDEX(Products!$A$1:$G$49,MATCH(Orders!$G447,Products!$A$1:$A$49,0),MATCH(Orders!M$1,Products!$A$1:$G$1,0))</f>
        <v>M</v>
      </c>
      <c r="N447" s="4">
        <f>INDEX(Products!$A$1:$G$49,MATCH(Orders!$G447,Products!$A$1:$A$49,0),MATCH(Orders!N$1,Products!$A$1:$G$1,0))</f>
        <v>2.5</v>
      </c>
      <c r="O447" s="7">
        <f>INDEX(Products!$A$1:$G$49,MATCH(Orders!$G447,Products!$A$1:$A$49,0),MATCH(Orders!O$1,Products!$A$1:$G$1,0))</f>
        <v>33.464999999999996</v>
      </c>
      <c r="P447" s="7">
        <f t="shared" si="6"/>
        <v>66.929999999999993</v>
      </c>
      <c r="Q447" t="str" cm="1">
        <f t="array" ref="Q447">_xlfn.IFS(L447="Rob","Robusta",L447="Exc", "Excelsa",L447="Ara", "Arabica",L447="Lib", "Liberica")</f>
        <v>Liberica</v>
      </c>
      <c r="R447" t="str" cm="1">
        <f t="array" ref="R447">_xlfn.IFS(M447="M","Medium",M447="L","Light",M447="D","Dark")</f>
        <v>Medium</v>
      </c>
    </row>
    <row r="448" spans="1:18">
      <c r="A448" s="2" t="s">
        <v>936</v>
      </c>
      <c r="B448" s="3">
        <v>43816</v>
      </c>
      <c r="C448" s="9">
        <f>YEAR(Orders_Table[[#This Row],[Order Date]])</f>
        <v>2019</v>
      </c>
      <c r="D448" s="9">
        <f>MONTH(Orders_Table[[#This Row],[Order Date]])</f>
        <v>12</v>
      </c>
      <c r="E448" s="9" t="str" cm="1">
        <f t="array" ref="E4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48" s="2" t="s">
        <v>937</v>
      </c>
      <c r="G448" t="s">
        <v>125</v>
      </c>
      <c r="H448" s="2">
        <v>1</v>
      </c>
      <c r="I448" s="2" t="str" cm="1">
        <f t="array" ref="I448">_xlfn.XLOOKUP(F448,Customers!A447:$A$1001,Customers!B447:$B$1001,"Not Found",0)</f>
        <v>Wain Cholomin</v>
      </c>
      <c r="J448" s="2" t="str" cm="1">
        <f t="array" ref="J448">IF(_xlfn.XLOOKUP(F448,Customers!A447:$A$1001,Customers!C447:$C$1001,"Not Found",0)=0,"",_xlfn.XLOOKUP(F448,Customers!A447:$A$1001,Customers!C447:$C$1001,"Not Found",0))</f>
        <v>wcholomince@about.com</v>
      </c>
      <c r="K448" s="2" t="str" cm="1">
        <f t="array" ref="K448">_xlfn.XLOOKUP(F448,Customers!A447:$A$1001,Customers!G447:$G$1001,"Not Found",0)</f>
        <v>United Kingdom</v>
      </c>
      <c r="L448" t="str">
        <f>INDEX(Products!$A$1:$G$49,MATCH(Orders!$G448,Products!$A$1:$A$49,0),MATCH(Orders!L$1,Products!$A$1:$G$1,0))</f>
        <v>Lib</v>
      </c>
      <c r="M448" t="str">
        <f>INDEX(Products!$A$1:$G$49,MATCH(Orders!$G448,Products!$A$1:$A$49,0),MATCH(Orders!M$1,Products!$A$1:$G$1,0))</f>
        <v>M</v>
      </c>
      <c r="N448" s="4">
        <f>INDEX(Products!$A$1:$G$49,MATCH(Orders!$G448,Products!$A$1:$A$49,0),MATCH(Orders!N$1,Products!$A$1:$G$1,0))</f>
        <v>0.5</v>
      </c>
      <c r="O448" s="7">
        <f>INDEX(Products!$A$1:$G$49,MATCH(Orders!$G448,Products!$A$1:$A$49,0),MATCH(Orders!O$1,Products!$A$1:$G$1,0))</f>
        <v>8.73</v>
      </c>
      <c r="P448" s="7">
        <f t="shared" si="6"/>
        <v>8.73</v>
      </c>
      <c r="Q448" t="str" cm="1">
        <f t="array" ref="Q448">_xlfn.IFS(L448="Rob","Robusta",L448="Exc", "Excelsa",L448="Ara", "Arabica",L448="Lib", "Liberica")</f>
        <v>Liberica</v>
      </c>
      <c r="R448" t="str" cm="1">
        <f t="array" ref="R448">_xlfn.IFS(M448="M","Medium",M448="L","Light",M448="D","Dark")</f>
        <v>Medium</v>
      </c>
    </row>
    <row r="449" spans="1:18">
      <c r="A449" s="2" t="s">
        <v>938</v>
      </c>
      <c r="B449" s="3">
        <v>43908</v>
      </c>
      <c r="C449" s="9">
        <f>YEAR(Orders_Table[[#This Row],[Order Date]])</f>
        <v>2020</v>
      </c>
      <c r="D449" s="9">
        <f>MONTH(Orders_Table[[#This Row],[Order Date]])</f>
        <v>3</v>
      </c>
      <c r="E449" s="9" t="str" cm="1">
        <f t="array" ref="E4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449" s="2" t="s">
        <v>939</v>
      </c>
      <c r="G449" t="s">
        <v>69</v>
      </c>
      <c r="H449" s="2">
        <v>3</v>
      </c>
      <c r="I449" s="2" t="str" cm="1">
        <f t="array" ref="I449">_xlfn.XLOOKUP(F449,Customers!A448:$A$1001,Customers!B448:$B$1001,"Not Found",0)</f>
        <v>Arleen Braidman</v>
      </c>
      <c r="J449" s="2" t="str" cm="1">
        <f t="array" ref="J449">IF(_xlfn.XLOOKUP(F449,Customers!A448:$A$1001,Customers!C448:$C$1001,"Not Found",0)=0,"",_xlfn.XLOOKUP(F449,Customers!A448:$A$1001,Customers!C448:$C$1001,"Not Found",0))</f>
        <v>abraidmancf@census.gov</v>
      </c>
      <c r="K449" s="2" t="str" cm="1">
        <f t="array" ref="K449">_xlfn.XLOOKUP(F449,Customers!A448:$A$1001,Customers!G448:$G$1001,"Not Found",0)</f>
        <v>United States</v>
      </c>
      <c r="L449" t="str">
        <f>INDEX(Products!$A$1:$G$49,MATCH(Orders!$G449,Products!$A$1:$A$49,0),MATCH(Orders!L$1,Products!$A$1:$G$1,0))</f>
        <v>Rob</v>
      </c>
      <c r="M449" t="str">
        <f>INDEX(Products!$A$1:$G$49,MATCH(Orders!$G449,Products!$A$1:$A$49,0),MATCH(Orders!M$1,Products!$A$1:$G$1,0))</f>
        <v>M</v>
      </c>
      <c r="N449" s="4">
        <f>INDEX(Products!$A$1:$G$49,MATCH(Orders!$G449,Products!$A$1:$A$49,0),MATCH(Orders!N$1,Products!$A$1:$G$1,0))</f>
        <v>0.5</v>
      </c>
      <c r="O449" s="7">
        <f>INDEX(Products!$A$1:$G$49,MATCH(Orders!$G449,Products!$A$1:$A$49,0),MATCH(Orders!O$1,Products!$A$1:$G$1,0))</f>
        <v>5.97</v>
      </c>
      <c r="P449" s="7">
        <f t="shared" si="6"/>
        <v>17.91</v>
      </c>
      <c r="Q449" t="str" cm="1">
        <f t="array" ref="Q449">_xlfn.IFS(L449="Rob","Robusta",L449="Exc", "Excelsa",L449="Ara", "Arabica",L449="Lib", "Liberica")</f>
        <v>Robusta</v>
      </c>
      <c r="R449" t="str" cm="1">
        <f t="array" ref="R449">_xlfn.IFS(M449="M","Medium",M449="L","Light",M449="D","Dark")</f>
        <v>Medium</v>
      </c>
    </row>
    <row r="450" spans="1:18">
      <c r="A450" s="2" t="s">
        <v>940</v>
      </c>
      <c r="B450" s="3">
        <v>44718</v>
      </c>
      <c r="C450" s="9">
        <f>YEAR(Orders_Table[[#This Row],[Order Date]])</f>
        <v>2022</v>
      </c>
      <c r="D450" s="9">
        <f>MONTH(Orders_Table[[#This Row],[Order Date]])</f>
        <v>6</v>
      </c>
      <c r="E450" s="9" t="str" cm="1">
        <f t="array" ref="E4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50" s="2" t="s">
        <v>941</v>
      </c>
      <c r="G450" t="s">
        <v>204</v>
      </c>
      <c r="H450" s="2">
        <v>1</v>
      </c>
      <c r="I450" s="2" t="str" cm="1">
        <f t="array" ref="I450">_xlfn.XLOOKUP(F450,Customers!A449:$A$1001,Customers!B449:$B$1001,"Not Found",0)</f>
        <v>Pru Durban</v>
      </c>
      <c r="J450" s="2" t="str" cm="1">
        <f t="array" ref="J450">IF(_xlfn.XLOOKUP(F450,Customers!A449:$A$1001,Customers!C449:$C$1001,"Not Found",0)=0,"",_xlfn.XLOOKUP(F450,Customers!A449:$A$1001,Customers!C449:$C$1001,"Not Found",0))</f>
        <v>pdurbancg@symantec.com</v>
      </c>
      <c r="K450" s="2" t="str" cm="1">
        <f t="array" ref="K450">_xlfn.XLOOKUP(F450,Customers!A449:$A$1001,Customers!G449:$G$1001,"Not Found",0)</f>
        <v>Ireland</v>
      </c>
      <c r="L450" t="str">
        <f>INDEX(Products!$A$1:$G$49,MATCH(Orders!$G450,Products!$A$1:$A$49,0),MATCH(Orders!L$1,Products!$A$1:$G$1,0))</f>
        <v>Rob</v>
      </c>
      <c r="M450" t="str">
        <f>INDEX(Products!$A$1:$G$49,MATCH(Orders!$G450,Products!$A$1:$A$49,0),MATCH(Orders!M$1,Products!$A$1:$G$1,0))</f>
        <v>L</v>
      </c>
      <c r="N450" s="4">
        <f>INDEX(Products!$A$1:$G$49,MATCH(Orders!$G450,Products!$A$1:$A$49,0),MATCH(Orders!N$1,Products!$A$1:$G$1,0))</f>
        <v>0.5</v>
      </c>
      <c r="O450" s="7">
        <f>INDEX(Products!$A$1:$G$49,MATCH(Orders!$G450,Products!$A$1:$A$49,0),MATCH(Orders!O$1,Products!$A$1:$G$1,0))</f>
        <v>7.169999999999999</v>
      </c>
      <c r="P450" s="7">
        <f t="shared" si="6"/>
        <v>7.169999999999999</v>
      </c>
      <c r="Q450" t="str" cm="1">
        <f t="array" ref="Q450">_xlfn.IFS(L450="Rob","Robusta",L450="Exc", "Excelsa",L450="Ara", "Arabica",L450="Lib", "Liberica")</f>
        <v>Robusta</v>
      </c>
      <c r="R450" t="str" cm="1">
        <f t="array" ref="R450">_xlfn.IFS(M450="M","Medium",M450="L","Light",M450="D","Dark")</f>
        <v>Light</v>
      </c>
    </row>
    <row r="451" spans="1:18">
      <c r="A451" s="2" t="s">
        <v>942</v>
      </c>
      <c r="B451" s="3">
        <v>44336</v>
      </c>
      <c r="C451" s="9">
        <f>YEAR(Orders_Table[[#This Row],[Order Date]])</f>
        <v>2021</v>
      </c>
      <c r="D451" s="9">
        <f>MONTH(Orders_Table[[#This Row],[Order Date]])</f>
        <v>5</v>
      </c>
      <c r="E451" s="9" t="str" cm="1">
        <f t="array" ref="E4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51" s="2" t="s">
        <v>943</v>
      </c>
      <c r="G451" t="s">
        <v>148</v>
      </c>
      <c r="H451" s="2">
        <v>2</v>
      </c>
      <c r="I451" s="2" t="str" cm="1">
        <f t="array" ref="I451">_xlfn.XLOOKUP(F451,Customers!A450:$A$1001,Customers!B450:$B$1001,"Not Found",0)</f>
        <v>Antone Harrold</v>
      </c>
      <c r="J451" s="2" t="str" cm="1">
        <f t="array" ref="J451">IF(_xlfn.XLOOKUP(F451,Customers!A450:$A$1001,Customers!C450:$C$1001,"Not Found",0)=0,"",_xlfn.XLOOKUP(F451,Customers!A450:$A$1001,Customers!C450:$C$1001,"Not Found",0))</f>
        <v>aharroldch@miibeian.gov.cn</v>
      </c>
      <c r="K451" s="2" t="str" cm="1">
        <f t="array" ref="K451">_xlfn.XLOOKUP(F451,Customers!A450:$A$1001,Customers!G450:$G$1001,"Not Found",0)</f>
        <v>United States</v>
      </c>
      <c r="L451" t="str">
        <f>INDEX(Products!$A$1:$G$49,MATCH(Orders!$G451,Products!$A$1:$A$49,0),MATCH(Orders!L$1,Products!$A$1:$G$1,0))</f>
        <v>Rob</v>
      </c>
      <c r="M451" t="str">
        <f>INDEX(Products!$A$1:$G$49,MATCH(Orders!$G451,Products!$A$1:$A$49,0),MATCH(Orders!M$1,Products!$A$1:$G$1,0))</f>
        <v>D</v>
      </c>
      <c r="N451" s="4">
        <f>INDEX(Products!$A$1:$G$49,MATCH(Orders!$G451,Products!$A$1:$A$49,0),MATCH(Orders!N$1,Products!$A$1:$G$1,0))</f>
        <v>0.2</v>
      </c>
      <c r="O451" s="7">
        <f>INDEX(Products!$A$1:$G$49,MATCH(Orders!$G451,Products!$A$1:$A$49,0),MATCH(Orders!O$1,Products!$A$1:$G$1,0))</f>
        <v>2.6849999999999996</v>
      </c>
      <c r="P451" s="7">
        <f t="shared" ref="P451:P514" si="7">O451*H451</f>
        <v>5.3699999999999992</v>
      </c>
      <c r="Q451" t="str" cm="1">
        <f t="array" ref="Q451">_xlfn.IFS(L451="Rob","Robusta",L451="Exc", "Excelsa",L451="Ara", "Arabica",L451="Lib", "Liberica")</f>
        <v>Robusta</v>
      </c>
      <c r="R451" t="str" cm="1">
        <f t="array" ref="R451">_xlfn.IFS(M451="M","Medium",M451="L","Light",M451="D","Dark")</f>
        <v>Dark</v>
      </c>
    </row>
    <row r="452" spans="1:18">
      <c r="A452" s="2" t="s">
        <v>944</v>
      </c>
      <c r="B452" s="3">
        <v>44207</v>
      </c>
      <c r="C452" s="9">
        <f>YEAR(Orders_Table[[#This Row],[Order Date]])</f>
        <v>2021</v>
      </c>
      <c r="D452" s="9">
        <f>MONTH(Orders_Table[[#This Row],[Order Date]])</f>
        <v>1</v>
      </c>
      <c r="E452" s="9" t="str" cm="1">
        <f t="array" ref="E4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52" s="2" t="s">
        <v>945</v>
      </c>
      <c r="G452" t="s">
        <v>66</v>
      </c>
      <c r="H452" s="2">
        <v>5</v>
      </c>
      <c r="I452" s="2" t="str" cm="1">
        <f t="array" ref="I452">_xlfn.XLOOKUP(F452,Customers!A451:$A$1001,Customers!B451:$B$1001,"Not Found",0)</f>
        <v>Sim Pamphilon</v>
      </c>
      <c r="J452" s="2" t="str" cm="1">
        <f t="array" ref="J452">IF(_xlfn.XLOOKUP(F452,Customers!A451:$A$1001,Customers!C451:$C$1001,"Not Found",0)=0,"",_xlfn.XLOOKUP(F452,Customers!A451:$A$1001,Customers!C451:$C$1001,"Not Found",0))</f>
        <v>spamphilonci@mlb.com</v>
      </c>
      <c r="K452" s="2" t="str" cm="1">
        <f t="array" ref="K452">_xlfn.XLOOKUP(F452,Customers!A451:$A$1001,Customers!G451:$G$1001,"Not Found",0)</f>
        <v>Ireland</v>
      </c>
      <c r="L452" t="str">
        <f>INDEX(Products!$A$1:$G$49,MATCH(Orders!$G452,Products!$A$1:$A$49,0),MATCH(Orders!L$1,Products!$A$1:$G$1,0))</f>
        <v>Lib</v>
      </c>
      <c r="M452" t="str">
        <f>INDEX(Products!$A$1:$G$49,MATCH(Orders!$G452,Products!$A$1:$A$49,0),MATCH(Orders!M$1,Products!$A$1:$G$1,0))</f>
        <v>L</v>
      </c>
      <c r="N452" s="4">
        <f>INDEX(Products!$A$1:$G$49,MATCH(Orders!$G452,Products!$A$1:$A$49,0),MATCH(Orders!N$1,Products!$A$1:$G$1,0))</f>
        <v>0.2</v>
      </c>
      <c r="O452" s="7">
        <f>INDEX(Products!$A$1:$G$49,MATCH(Orders!$G452,Products!$A$1:$A$49,0),MATCH(Orders!O$1,Products!$A$1:$G$1,0))</f>
        <v>4.7549999999999999</v>
      </c>
      <c r="P452" s="7">
        <f t="shared" si="7"/>
        <v>23.774999999999999</v>
      </c>
      <c r="Q452" t="str" cm="1">
        <f t="array" ref="Q452">_xlfn.IFS(L452="Rob","Robusta",L452="Exc", "Excelsa",L452="Ara", "Arabica",L452="Lib", "Liberica")</f>
        <v>Liberica</v>
      </c>
      <c r="R452" t="str" cm="1">
        <f t="array" ref="R452">_xlfn.IFS(M452="M","Medium",M452="L","Light",M452="D","Dark")</f>
        <v>Light</v>
      </c>
    </row>
    <row r="453" spans="1:18">
      <c r="A453" s="2" t="s">
        <v>946</v>
      </c>
      <c r="B453" s="3">
        <v>43518</v>
      </c>
      <c r="C453" s="9">
        <f>YEAR(Orders_Table[[#This Row],[Order Date]])</f>
        <v>2019</v>
      </c>
      <c r="D453" s="9">
        <f>MONTH(Orders_Table[[#This Row],[Order Date]])</f>
        <v>2</v>
      </c>
      <c r="E453" s="9" t="str" cm="1">
        <f t="array" ref="E4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53" s="2" t="s">
        <v>947</v>
      </c>
      <c r="G453" t="s">
        <v>82</v>
      </c>
      <c r="H453" s="2">
        <v>2</v>
      </c>
      <c r="I453" s="2" t="str" cm="1">
        <f t="array" ref="I453">_xlfn.XLOOKUP(F453,Customers!A452:$A$1001,Customers!B452:$B$1001,"Not Found",0)</f>
        <v>Mohandis Spurden</v>
      </c>
      <c r="J453" s="2" t="str" cm="1">
        <f t="array" ref="J453">IF(_xlfn.XLOOKUP(F453,Customers!A452:$A$1001,Customers!C452:$C$1001,"Not Found",0)=0,"",_xlfn.XLOOKUP(F453,Customers!A452:$A$1001,Customers!C452:$C$1001,"Not Found",0))</f>
        <v>mspurdencj@exblog.jp</v>
      </c>
      <c r="K453" s="2" t="str" cm="1">
        <f t="array" ref="K453">_xlfn.XLOOKUP(F453,Customers!A452:$A$1001,Customers!G452:$G$1001,"Not Found",0)</f>
        <v>United States</v>
      </c>
      <c r="L453" t="str">
        <f>INDEX(Products!$A$1:$G$49,MATCH(Orders!$G453,Products!$A$1:$A$49,0),MATCH(Orders!L$1,Products!$A$1:$G$1,0))</f>
        <v>Rob</v>
      </c>
      <c r="M453" t="str">
        <f>INDEX(Products!$A$1:$G$49,MATCH(Orders!$G453,Products!$A$1:$A$49,0),MATCH(Orders!M$1,Products!$A$1:$G$1,0))</f>
        <v>D</v>
      </c>
      <c r="N453" s="4">
        <f>INDEX(Products!$A$1:$G$49,MATCH(Orders!$G453,Products!$A$1:$A$49,0),MATCH(Orders!N$1,Products!$A$1:$G$1,0))</f>
        <v>2.5</v>
      </c>
      <c r="O453" s="7">
        <f>INDEX(Products!$A$1:$G$49,MATCH(Orders!$G453,Products!$A$1:$A$49,0),MATCH(Orders!O$1,Products!$A$1:$G$1,0))</f>
        <v>20.584999999999997</v>
      </c>
      <c r="P453" s="7">
        <f t="shared" si="7"/>
        <v>41.169999999999995</v>
      </c>
      <c r="Q453" t="str" cm="1">
        <f t="array" ref="Q453">_xlfn.IFS(L453="Rob","Robusta",L453="Exc", "Excelsa",L453="Ara", "Arabica",L453="Lib", "Liberica")</f>
        <v>Robusta</v>
      </c>
      <c r="R453" t="str" cm="1">
        <f t="array" ref="R453">_xlfn.IFS(M453="M","Medium",M453="L","Light",M453="D","Dark")</f>
        <v>Dark</v>
      </c>
    </row>
    <row r="454" spans="1:18">
      <c r="A454" s="2" t="s">
        <v>948</v>
      </c>
      <c r="B454" s="3">
        <v>44524</v>
      </c>
      <c r="C454" s="9">
        <f>YEAR(Orders_Table[[#This Row],[Order Date]])</f>
        <v>2021</v>
      </c>
      <c r="D454" s="9">
        <f>MONTH(Orders_Table[[#This Row],[Order Date]])</f>
        <v>11</v>
      </c>
      <c r="E454" s="9" t="str" cm="1">
        <f t="array" ref="E4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54" s="2" t="s">
        <v>921</v>
      </c>
      <c r="G454" t="s">
        <v>162</v>
      </c>
      <c r="H454" s="2">
        <v>3</v>
      </c>
      <c r="I454" s="2" t="str" cm="1">
        <f t="array" ref="I454">_xlfn.XLOOKUP(F454,Customers!A453:$A$1001,Customers!B453:$B$1001,"Not Found",0)</f>
        <v>Morgen Seson</v>
      </c>
      <c r="J454" s="2" t="str" cm="1">
        <f t="array" ref="J454">IF(_xlfn.XLOOKUP(F454,Customers!A453:$A$1001,Customers!C453:$C$1001,"Not Found",0)=0,"",_xlfn.XLOOKUP(F454,Customers!A453:$A$1001,Customers!C453:$C$1001,"Not Found",0))</f>
        <v>msesonck@census.gov</v>
      </c>
      <c r="K454" s="2" t="str" cm="1">
        <f t="array" ref="K454">_xlfn.XLOOKUP(F454,Customers!A453:$A$1001,Customers!G453:$G$1001,"Not Found",0)</f>
        <v>United States</v>
      </c>
      <c r="L454" t="str">
        <f>INDEX(Products!$A$1:$G$49,MATCH(Orders!$G454,Products!$A$1:$A$49,0),MATCH(Orders!L$1,Products!$A$1:$G$1,0))</f>
        <v>Ara</v>
      </c>
      <c r="M454" t="str">
        <f>INDEX(Products!$A$1:$G$49,MATCH(Orders!$G454,Products!$A$1:$A$49,0),MATCH(Orders!M$1,Products!$A$1:$G$1,0))</f>
        <v>L</v>
      </c>
      <c r="N454" s="4">
        <f>INDEX(Products!$A$1:$G$49,MATCH(Orders!$G454,Products!$A$1:$A$49,0),MATCH(Orders!N$1,Products!$A$1:$G$1,0))</f>
        <v>0.2</v>
      </c>
      <c r="O454" s="7">
        <f>INDEX(Products!$A$1:$G$49,MATCH(Orders!$G454,Products!$A$1:$A$49,0),MATCH(Orders!O$1,Products!$A$1:$G$1,0))</f>
        <v>3.8849999999999998</v>
      </c>
      <c r="P454" s="7">
        <f t="shared" si="7"/>
        <v>11.654999999999999</v>
      </c>
      <c r="Q454" t="str" cm="1">
        <f t="array" ref="Q454">_xlfn.IFS(L454="Rob","Robusta",L454="Exc", "Excelsa",L454="Ara", "Arabica",L454="Lib", "Liberica")</f>
        <v>Arabica</v>
      </c>
      <c r="R454" t="str" cm="1">
        <f t="array" ref="R454">_xlfn.IFS(M454="M","Medium",M454="L","Light",M454="D","Dark")</f>
        <v>Light</v>
      </c>
    </row>
    <row r="455" spans="1:18">
      <c r="A455" s="2" t="s">
        <v>949</v>
      </c>
      <c r="B455" s="3">
        <v>44579</v>
      </c>
      <c r="C455" s="9">
        <f>YEAR(Orders_Table[[#This Row],[Order Date]])</f>
        <v>2022</v>
      </c>
      <c r="D455" s="9">
        <f>MONTH(Orders_Table[[#This Row],[Order Date]])</f>
        <v>1</v>
      </c>
      <c r="E455" s="9" t="str" cm="1">
        <f t="array" ref="E4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55" s="2" t="s">
        <v>950</v>
      </c>
      <c r="G455" t="s">
        <v>130</v>
      </c>
      <c r="H455" s="2">
        <v>4</v>
      </c>
      <c r="I455" s="2" t="str" cm="1">
        <f t="array" ref="I455">_xlfn.XLOOKUP(F455,Customers!A454:$A$1001,Customers!B454:$B$1001,"Not Found",0)</f>
        <v>Nalani Pirrone</v>
      </c>
      <c r="J455" s="2" t="str" cm="1">
        <f t="array" ref="J455">IF(_xlfn.XLOOKUP(F455,Customers!A454:$A$1001,Customers!C454:$C$1001,"Not Found",0)=0,"",_xlfn.XLOOKUP(F455,Customers!A454:$A$1001,Customers!C454:$C$1001,"Not Found",0))</f>
        <v>npirronecl@weibo.com</v>
      </c>
      <c r="K455" s="2" t="str" cm="1">
        <f t="array" ref="K455">_xlfn.XLOOKUP(F455,Customers!A454:$A$1001,Customers!G454:$G$1001,"Not Found",0)</f>
        <v>United States</v>
      </c>
      <c r="L455" t="str">
        <f>INDEX(Products!$A$1:$G$49,MATCH(Orders!$G455,Products!$A$1:$A$49,0),MATCH(Orders!L$1,Products!$A$1:$G$1,0))</f>
        <v>Lib</v>
      </c>
      <c r="M455" t="str">
        <f>INDEX(Products!$A$1:$G$49,MATCH(Orders!$G455,Products!$A$1:$A$49,0),MATCH(Orders!M$1,Products!$A$1:$G$1,0))</f>
        <v>L</v>
      </c>
      <c r="N455" s="4">
        <f>INDEX(Products!$A$1:$G$49,MATCH(Orders!$G455,Products!$A$1:$A$49,0),MATCH(Orders!N$1,Products!$A$1:$G$1,0))</f>
        <v>0.5</v>
      </c>
      <c r="O455" s="7">
        <f>INDEX(Products!$A$1:$G$49,MATCH(Orders!$G455,Products!$A$1:$A$49,0),MATCH(Orders!O$1,Products!$A$1:$G$1,0))</f>
        <v>9.51</v>
      </c>
      <c r="P455" s="7">
        <f t="shared" si="7"/>
        <v>38.04</v>
      </c>
      <c r="Q455" t="str" cm="1">
        <f t="array" ref="Q455">_xlfn.IFS(L455="Rob","Robusta",L455="Exc", "Excelsa",L455="Ara", "Arabica",L455="Lib", "Liberica")</f>
        <v>Liberica</v>
      </c>
      <c r="R455" t="str" cm="1">
        <f t="array" ref="R455">_xlfn.IFS(M455="M","Medium",M455="L","Light",M455="D","Dark")</f>
        <v>Light</v>
      </c>
    </row>
    <row r="456" spans="1:18">
      <c r="A456" s="2" t="s">
        <v>951</v>
      </c>
      <c r="B456" s="3">
        <v>44421</v>
      </c>
      <c r="C456" s="9">
        <f>YEAR(Orders_Table[[#This Row],[Order Date]])</f>
        <v>2021</v>
      </c>
      <c r="D456" s="9">
        <f>MONTH(Orders_Table[[#This Row],[Order Date]])</f>
        <v>8</v>
      </c>
      <c r="E456" s="9" t="str" cm="1">
        <f t="array" ref="E4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56" s="2" t="s">
        <v>952</v>
      </c>
      <c r="G456" t="s">
        <v>82</v>
      </c>
      <c r="H456" s="2">
        <v>4</v>
      </c>
      <c r="I456" s="2" t="str" cm="1">
        <f t="array" ref="I456">_xlfn.XLOOKUP(F456,Customers!A455:$A$1001,Customers!B455:$B$1001,"Not Found",0)</f>
        <v>Reube Cawley</v>
      </c>
      <c r="J456" s="2" t="str" cm="1">
        <f t="array" ref="J456">IF(_xlfn.XLOOKUP(F456,Customers!A455:$A$1001,Customers!C455:$C$1001,"Not Found",0)=0,"",_xlfn.XLOOKUP(F456,Customers!A455:$A$1001,Customers!C455:$C$1001,"Not Found",0))</f>
        <v>rcawleycm@yellowbook.com</v>
      </c>
      <c r="K456" s="2" t="str" cm="1">
        <f t="array" ref="K456">_xlfn.XLOOKUP(F456,Customers!A455:$A$1001,Customers!G455:$G$1001,"Not Found",0)</f>
        <v>Ireland</v>
      </c>
      <c r="L456" t="str">
        <f>INDEX(Products!$A$1:$G$49,MATCH(Orders!$G456,Products!$A$1:$A$49,0),MATCH(Orders!L$1,Products!$A$1:$G$1,0))</f>
        <v>Rob</v>
      </c>
      <c r="M456" t="str">
        <f>INDEX(Products!$A$1:$G$49,MATCH(Orders!$G456,Products!$A$1:$A$49,0),MATCH(Orders!M$1,Products!$A$1:$G$1,0))</f>
        <v>D</v>
      </c>
      <c r="N456" s="4">
        <f>INDEX(Products!$A$1:$G$49,MATCH(Orders!$G456,Products!$A$1:$A$49,0),MATCH(Orders!N$1,Products!$A$1:$G$1,0))</f>
        <v>2.5</v>
      </c>
      <c r="O456" s="7">
        <f>INDEX(Products!$A$1:$G$49,MATCH(Orders!$G456,Products!$A$1:$A$49,0),MATCH(Orders!O$1,Products!$A$1:$G$1,0))</f>
        <v>20.584999999999997</v>
      </c>
      <c r="P456" s="7">
        <f t="shared" si="7"/>
        <v>82.339999999999989</v>
      </c>
      <c r="Q456" t="str" cm="1">
        <f t="array" ref="Q456">_xlfn.IFS(L456="Rob","Robusta",L456="Exc", "Excelsa",L456="Ara", "Arabica",L456="Lib", "Liberica")</f>
        <v>Robusta</v>
      </c>
      <c r="R456" t="str" cm="1">
        <f t="array" ref="R456">_xlfn.IFS(M456="M","Medium",M456="L","Light",M456="D","Dark")</f>
        <v>Dark</v>
      </c>
    </row>
    <row r="457" spans="1:18">
      <c r="A457" s="2" t="s">
        <v>953</v>
      </c>
      <c r="B457" s="3">
        <v>43841</v>
      </c>
      <c r="C457" s="9">
        <f>YEAR(Orders_Table[[#This Row],[Order Date]])</f>
        <v>2020</v>
      </c>
      <c r="D457" s="9">
        <f>MONTH(Orders_Table[[#This Row],[Order Date]])</f>
        <v>1</v>
      </c>
      <c r="E457" s="9" t="str" cm="1">
        <f t="array" ref="E4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57" s="2" t="s">
        <v>954</v>
      </c>
      <c r="G457" t="s">
        <v>66</v>
      </c>
      <c r="H457" s="2">
        <v>2</v>
      </c>
      <c r="I457" s="2" t="str" cm="1">
        <f t="array" ref="I457">_xlfn.XLOOKUP(F457,Customers!A456:$A$1001,Customers!B456:$B$1001,"Not Found",0)</f>
        <v>Stan Barribal</v>
      </c>
      <c r="J457" s="2" t="str" cm="1">
        <f t="array" ref="J457">IF(_xlfn.XLOOKUP(F457,Customers!A456:$A$1001,Customers!C456:$C$1001,"Not Found",0)=0,"",_xlfn.XLOOKUP(F457,Customers!A456:$A$1001,Customers!C456:$C$1001,"Not Found",0))</f>
        <v>sbarribalcn@microsoft.com</v>
      </c>
      <c r="K457" s="2" t="str" cm="1">
        <f t="array" ref="K457">_xlfn.XLOOKUP(F457,Customers!A456:$A$1001,Customers!G456:$G$1001,"Not Found",0)</f>
        <v>Ireland</v>
      </c>
      <c r="L457" t="str">
        <f>INDEX(Products!$A$1:$G$49,MATCH(Orders!$G457,Products!$A$1:$A$49,0),MATCH(Orders!L$1,Products!$A$1:$G$1,0))</f>
        <v>Lib</v>
      </c>
      <c r="M457" t="str">
        <f>INDEX(Products!$A$1:$G$49,MATCH(Orders!$G457,Products!$A$1:$A$49,0),MATCH(Orders!M$1,Products!$A$1:$G$1,0))</f>
        <v>L</v>
      </c>
      <c r="N457" s="4">
        <f>INDEX(Products!$A$1:$G$49,MATCH(Orders!$G457,Products!$A$1:$A$49,0),MATCH(Orders!N$1,Products!$A$1:$G$1,0))</f>
        <v>0.2</v>
      </c>
      <c r="O457" s="7">
        <f>INDEX(Products!$A$1:$G$49,MATCH(Orders!$G457,Products!$A$1:$A$49,0),MATCH(Orders!O$1,Products!$A$1:$G$1,0))</f>
        <v>4.7549999999999999</v>
      </c>
      <c r="P457" s="7">
        <f t="shared" si="7"/>
        <v>9.51</v>
      </c>
      <c r="Q457" t="str" cm="1">
        <f t="array" ref="Q457">_xlfn.IFS(L457="Rob","Robusta",L457="Exc", "Excelsa",L457="Ara", "Arabica",L457="Lib", "Liberica")</f>
        <v>Liberica</v>
      </c>
      <c r="R457" t="str" cm="1">
        <f t="array" ref="R457">_xlfn.IFS(M457="M","Medium",M457="L","Light",M457="D","Dark")</f>
        <v>Light</v>
      </c>
    </row>
    <row r="458" spans="1:18">
      <c r="A458" s="2" t="s">
        <v>955</v>
      </c>
      <c r="B458" s="3">
        <v>44017</v>
      </c>
      <c r="C458" s="9">
        <f>YEAR(Orders_Table[[#This Row],[Order Date]])</f>
        <v>2020</v>
      </c>
      <c r="D458" s="9">
        <f>MONTH(Orders_Table[[#This Row],[Order Date]])</f>
        <v>7</v>
      </c>
      <c r="E458" s="9" t="str" cm="1">
        <f t="array" ref="E4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58" s="2" t="s">
        <v>956</v>
      </c>
      <c r="G458" t="s">
        <v>82</v>
      </c>
      <c r="H458" s="2">
        <v>2</v>
      </c>
      <c r="I458" s="2" t="str" cm="1">
        <f t="array" ref="I458">_xlfn.XLOOKUP(F458,Customers!A457:$A$1001,Customers!B457:$B$1001,"Not Found",0)</f>
        <v>Agnes Adamides</v>
      </c>
      <c r="J458" s="2" t="str" cm="1">
        <f t="array" ref="J458">IF(_xlfn.XLOOKUP(F458,Customers!A457:$A$1001,Customers!C457:$C$1001,"Not Found",0)=0,"",_xlfn.XLOOKUP(F458,Customers!A457:$A$1001,Customers!C457:$C$1001,"Not Found",0))</f>
        <v>aadamidesco@bizjournals.com</v>
      </c>
      <c r="K458" s="2" t="str" cm="1">
        <f t="array" ref="K458">_xlfn.XLOOKUP(F458,Customers!A457:$A$1001,Customers!G457:$G$1001,"Not Found",0)</f>
        <v>United Kingdom</v>
      </c>
      <c r="L458" t="str">
        <f>INDEX(Products!$A$1:$G$49,MATCH(Orders!$G458,Products!$A$1:$A$49,0),MATCH(Orders!L$1,Products!$A$1:$G$1,0))</f>
        <v>Rob</v>
      </c>
      <c r="M458" t="str">
        <f>INDEX(Products!$A$1:$G$49,MATCH(Orders!$G458,Products!$A$1:$A$49,0),MATCH(Orders!M$1,Products!$A$1:$G$1,0))</f>
        <v>D</v>
      </c>
      <c r="N458" s="4">
        <f>INDEX(Products!$A$1:$G$49,MATCH(Orders!$G458,Products!$A$1:$A$49,0),MATCH(Orders!N$1,Products!$A$1:$G$1,0))</f>
        <v>2.5</v>
      </c>
      <c r="O458" s="7">
        <f>INDEX(Products!$A$1:$G$49,MATCH(Orders!$G458,Products!$A$1:$A$49,0),MATCH(Orders!O$1,Products!$A$1:$G$1,0))</f>
        <v>20.584999999999997</v>
      </c>
      <c r="P458" s="7">
        <f t="shared" si="7"/>
        <v>41.169999999999995</v>
      </c>
      <c r="Q458" t="str" cm="1">
        <f t="array" ref="Q458">_xlfn.IFS(L458="Rob","Robusta",L458="Exc", "Excelsa",L458="Ara", "Arabica",L458="Lib", "Liberica")</f>
        <v>Robusta</v>
      </c>
      <c r="R458" t="str" cm="1">
        <f t="array" ref="R458">_xlfn.IFS(M458="M","Medium",M458="L","Light",M458="D","Dark")</f>
        <v>Dark</v>
      </c>
    </row>
    <row r="459" spans="1:18">
      <c r="A459" s="2" t="s">
        <v>957</v>
      </c>
      <c r="B459" s="3">
        <v>43671</v>
      </c>
      <c r="C459" s="9">
        <f>YEAR(Orders_Table[[#This Row],[Order Date]])</f>
        <v>2019</v>
      </c>
      <c r="D459" s="9">
        <f>MONTH(Orders_Table[[#This Row],[Order Date]])</f>
        <v>7</v>
      </c>
      <c r="E459" s="9" t="str" cm="1">
        <f t="array" ref="E4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59" s="2" t="s">
        <v>958</v>
      </c>
      <c r="G459" t="s">
        <v>130</v>
      </c>
      <c r="H459" s="2">
        <v>5</v>
      </c>
      <c r="I459" s="2" t="str" cm="1">
        <f t="array" ref="I459">_xlfn.XLOOKUP(F459,Customers!A458:$A$1001,Customers!B458:$B$1001,"Not Found",0)</f>
        <v>Carmelita Thowes</v>
      </c>
      <c r="J459" s="2" t="str" cm="1">
        <f t="array" ref="J459">IF(_xlfn.XLOOKUP(F459,Customers!A458:$A$1001,Customers!C458:$C$1001,"Not Found",0)=0,"",_xlfn.XLOOKUP(F459,Customers!A458:$A$1001,Customers!C458:$C$1001,"Not Found",0))</f>
        <v>cthowescp@craigslist.org</v>
      </c>
      <c r="K459" s="2" t="str" cm="1">
        <f t="array" ref="K459">_xlfn.XLOOKUP(F459,Customers!A458:$A$1001,Customers!G458:$G$1001,"Not Found",0)</f>
        <v>United States</v>
      </c>
      <c r="L459" t="str">
        <f>INDEX(Products!$A$1:$G$49,MATCH(Orders!$G459,Products!$A$1:$A$49,0),MATCH(Orders!L$1,Products!$A$1:$G$1,0))</f>
        <v>Lib</v>
      </c>
      <c r="M459" t="str">
        <f>INDEX(Products!$A$1:$G$49,MATCH(Orders!$G459,Products!$A$1:$A$49,0),MATCH(Orders!M$1,Products!$A$1:$G$1,0))</f>
        <v>L</v>
      </c>
      <c r="N459" s="4">
        <f>INDEX(Products!$A$1:$G$49,MATCH(Orders!$G459,Products!$A$1:$A$49,0),MATCH(Orders!N$1,Products!$A$1:$G$1,0))</f>
        <v>0.5</v>
      </c>
      <c r="O459" s="7">
        <f>INDEX(Products!$A$1:$G$49,MATCH(Orders!$G459,Products!$A$1:$A$49,0),MATCH(Orders!O$1,Products!$A$1:$G$1,0))</f>
        <v>9.51</v>
      </c>
      <c r="P459" s="7">
        <f t="shared" si="7"/>
        <v>47.55</v>
      </c>
      <c r="Q459" t="str" cm="1">
        <f t="array" ref="Q459">_xlfn.IFS(L459="Rob","Robusta",L459="Exc", "Excelsa",L459="Ara", "Arabica",L459="Lib", "Liberica")</f>
        <v>Liberica</v>
      </c>
      <c r="R459" t="str" cm="1">
        <f t="array" ref="R459">_xlfn.IFS(M459="M","Medium",M459="L","Light",M459="D","Dark")</f>
        <v>Light</v>
      </c>
    </row>
    <row r="460" spans="1:18">
      <c r="A460" s="2" t="s">
        <v>959</v>
      </c>
      <c r="B460" s="3">
        <v>44707</v>
      </c>
      <c r="C460" s="9">
        <f>YEAR(Orders_Table[[#This Row],[Order Date]])</f>
        <v>2022</v>
      </c>
      <c r="D460" s="9">
        <f>MONTH(Orders_Table[[#This Row],[Order Date]])</f>
        <v>5</v>
      </c>
      <c r="E460" s="9" t="str" cm="1">
        <f t="array" ref="E4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60" s="2" t="s">
        <v>960</v>
      </c>
      <c r="G460" t="s">
        <v>108</v>
      </c>
      <c r="H460" s="2">
        <v>4</v>
      </c>
      <c r="I460" s="2" t="str" cm="1">
        <f t="array" ref="I460">_xlfn.XLOOKUP(F460,Customers!A459:$A$1001,Customers!B459:$B$1001,"Not Found",0)</f>
        <v>Rodolfo Willoway</v>
      </c>
      <c r="J460" s="2" t="str" cm="1">
        <f t="array" ref="J460">IF(_xlfn.XLOOKUP(F460,Customers!A459:$A$1001,Customers!C459:$C$1001,"Not Found",0)=0,"",_xlfn.XLOOKUP(F460,Customers!A459:$A$1001,Customers!C459:$C$1001,"Not Found",0))</f>
        <v>rwillowaycq@admin.ch</v>
      </c>
      <c r="K460" s="2" t="str" cm="1">
        <f t="array" ref="K460">_xlfn.XLOOKUP(F460,Customers!A459:$A$1001,Customers!G459:$G$1001,"Not Found",0)</f>
        <v>United States</v>
      </c>
      <c r="L460" t="str">
        <f>INDEX(Products!$A$1:$G$49,MATCH(Orders!$G460,Products!$A$1:$A$49,0),MATCH(Orders!L$1,Products!$A$1:$G$1,0))</f>
        <v>Ara</v>
      </c>
      <c r="M460" t="str">
        <f>INDEX(Products!$A$1:$G$49,MATCH(Orders!$G460,Products!$A$1:$A$49,0),MATCH(Orders!M$1,Products!$A$1:$G$1,0))</f>
        <v>M</v>
      </c>
      <c r="N460" s="4">
        <f>INDEX(Products!$A$1:$G$49,MATCH(Orders!$G460,Products!$A$1:$A$49,0),MATCH(Orders!N$1,Products!$A$1:$G$1,0))</f>
        <v>1</v>
      </c>
      <c r="O460" s="7">
        <f>INDEX(Products!$A$1:$G$49,MATCH(Orders!$G460,Products!$A$1:$A$49,0),MATCH(Orders!O$1,Products!$A$1:$G$1,0))</f>
        <v>11.25</v>
      </c>
      <c r="P460" s="7">
        <f t="shared" si="7"/>
        <v>45</v>
      </c>
      <c r="Q460" t="str" cm="1">
        <f t="array" ref="Q460">_xlfn.IFS(L460="Rob","Robusta",L460="Exc", "Excelsa",L460="Ara", "Arabica",L460="Lib", "Liberica")</f>
        <v>Arabica</v>
      </c>
      <c r="R460" t="str" cm="1">
        <f t="array" ref="R460">_xlfn.IFS(M460="M","Medium",M460="L","Light",M460="D","Dark")</f>
        <v>Medium</v>
      </c>
    </row>
    <row r="461" spans="1:18">
      <c r="A461" s="2" t="s">
        <v>961</v>
      </c>
      <c r="B461" s="3">
        <v>43840</v>
      </c>
      <c r="C461" s="9">
        <f>YEAR(Orders_Table[[#This Row],[Order Date]])</f>
        <v>2020</v>
      </c>
      <c r="D461" s="9">
        <f>MONTH(Orders_Table[[#This Row],[Order Date]])</f>
        <v>1</v>
      </c>
      <c r="E461" s="9" t="str" cm="1">
        <f t="array" ref="E4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461" s="2" t="s">
        <v>962</v>
      </c>
      <c r="G461" t="s">
        <v>66</v>
      </c>
      <c r="H461" s="2">
        <v>5</v>
      </c>
      <c r="I461" s="2" t="str" cm="1">
        <f t="array" ref="I461">_xlfn.XLOOKUP(F461,Customers!A460:$A$1001,Customers!B460:$B$1001,"Not Found",0)</f>
        <v>Alvis Elwin</v>
      </c>
      <c r="J461" s="2" t="str" cm="1">
        <f t="array" ref="J461">IF(_xlfn.XLOOKUP(F461,Customers!A460:$A$1001,Customers!C460:$C$1001,"Not Found",0)=0,"",_xlfn.XLOOKUP(F461,Customers!A460:$A$1001,Customers!C460:$C$1001,"Not Found",0))</f>
        <v>aelwincr@privacy.gov.au</v>
      </c>
      <c r="K461" s="2" t="str" cm="1">
        <f t="array" ref="K461">_xlfn.XLOOKUP(F461,Customers!A460:$A$1001,Customers!G460:$G$1001,"Not Found",0)</f>
        <v>United States</v>
      </c>
      <c r="L461" t="str">
        <f>INDEX(Products!$A$1:$G$49,MATCH(Orders!$G461,Products!$A$1:$A$49,0),MATCH(Orders!L$1,Products!$A$1:$G$1,0))</f>
        <v>Lib</v>
      </c>
      <c r="M461" t="str">
        <f>INDEX(Products!$A$1:$G$49,MATCH(Orders!$G461,Products!$A$1:$A$49,0),MATCH(Orders!M$1,Products!$A$1:$G$1,0))</f>
        <v>L</v>
      </c>
      <c r="N461" s="4">
        <f>INDEX(Products!$A$1:$G$49,MATCH(Orders!$G461,Products!$A$1:$A$49,0),MATCH(Orders!N$1,Products!$A$1:$G$1,0))</f>
        <v>0.2</v>
      </c>
      <c r="O461" s="7">
        <f>INDEX(Products!$A$1:$G$49,MATCH(Orders!$G461,Products!$A$1:$A$49,0),MATCH(Orders!O$1,Products!$A$1:$G$1,0))</f>
        <v>4.7549999999999999</v>
      </c>
      <c r="P461" s="7">
        <f t="shared" si="7"/>
        <v>23.774999999999999</v>
      </c>
      <c r="Q461" t="str" cm="1">
        <f t="array" ref="Q461">_xlfn.IFS(L461="Rob","Robusta",L461="Exc", "Excelsa",L461="Ara", "Arabica",L461="Lib", "Liberica")</f>
        <v>Liberica</v>
      </c>
      <c r="R461" t="str" cm="1">
        <f t="array" ref="R461">_xlfn.IFS(M461="M","Medium",M461="L","Light",M461="D","Dark")</f>
        <v>Light</v>
      </c>
    </row>
    <row r="462" spans="1:18">
      <c r="A462" s="2" t="s">
        <v>963</v>
      </c>
      <c r="B462" s="3">
        <v>43602</v>
      </c>
      <c r="C462" s="9">
        <f>YEAR(Orders_Table[[#This Row],[Order Date]])</f>
        <v>2019</v>
      </c>
      <c r="D462" s="9">
        <f>MONTH(Orders_Table[[#This Row],[Order Date]])</f>
        <v>5</v>
      </c>
      <c r="E462" s="9" t="str" cm="1">
        <f t="array" ref="E4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62" s="2" t="s">
        <v>964</v>
      </c>
      <c r="G462" t="s">
        <v>193</v>
      </c>
      <c r="H462" s="2">
        <v>3</v>
      </c>
      <c r="I462" s="2" t="str" cm="1">
        <f t="array" ref="I462">_xlfn.XLOOKUP(F462,Customers!A461:$A$1001,Customers!B461:$B$1001,"Not Found",0)</f>
        <v>Araldo Bilbrook</v>
      </c>
      <c r="J462" s="2" t="str" cm="1">
        <f t="array" ref="J462">IF(_xlfn.XLOOKUP(F462,Customers!A461:$A$1001,Customers!C461:$C$1001,"Not Found",0)=0,"",_xlfn.XLOOKUP(F462,Customers!A461:$A$1001,Customers!C461:$C$1001,"Not Found",0))</f>
        <v>abilbrookcs@booking.com</v>
      </c>
      <c r="K462" s="2" t="str" cm="1">
        <f t="array" ref="K462">_xlfn.XLOOKUP(F462,Customers!A461:$A$1001,Customers!G461:$G$1001,"Not Found",0)</f>
        <v>Ireland</v>
      </c>
      <c r="L462" t="str">
        <f>INDEX(Products!$A$1:$G$49,MATCH(Orders!$G462,Products!$A$1:$A$49,0),MATCH(Orders!L$1,Products!$A$1:$G$1,0))</f>
        <v>Rob</v>
      </c>
      <c r="M462" t="str">
        <f>INDEX(Products!$A$1:$G$49,MATCH(Orders!$G462,Products!$A$1:$A$49,0),MATCH(Orders!M$1,Products!$A$1:$G$1,0))</f>
        <v>D</v>
      </c>
      <c r="N462" s="4">
        <f>INDEX(Products!$A$1:$G$49,MATCH(Orders!$G462,Products!$A$1:$A$49,0),MATCH(Orders!N$1,Products!$A$1:$G$1,0))</f>
        <v>0.5</v>
      </c>
      <c r="O462" s="7">
        <f>INDEX(Products!$A$1:$G$49,MATCH(Orders!$G462,Products!$A$1:$A$49,0),MATCH(Orders!O$1,Products!$A$1:$G$1,0))</f>
        <v>5.3699999999999992</v>
      </c>
      <c r="P462" s="7">
        <f t="shared" si="7"/>
        <v>16.11</v>
      </c>
      <c r="Q462" t="str" cm="1">
        <f t="array" ref="Q462">_xlfn.IFS(L462="Rob","Robusta",L462="Exc", "Excelsa",L462="Ara", "Arabica",L462="Lib", "Liberica")</f>
        <v>Robusta</v>
      </c>
      <c r="R462" t="str" cm="1">
        <f t="array" ref="R462">_xlfn.IFS(M462="M","Medium",M462="L","Light",M462="D","Dark")</f>
        <v>Dark</v>
      </c>
    </row>
    <row r="463" spans="1:18">
      <c r="A463" s="2" t="s">
        <v>965</v>
      </c>
      <c r="B463" s="3">
        <v>44036</v>
      </c>
      <c r="C463" s="9">
        <f>YEAR(Orders_Table[[#This Row],[Order Date]])</f>
        <v>2020</v>
      </c>
      <c r="D463" s="9">
        <f>MONTH(Orders_Table[[#This Row],[Order Date]])</f>
        <v>7</v>
      </c>
      <c r="E463" s="9" t="str" cm="1">
        <f t="array" ref="E4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63" s="2" t="s">
        <v>966</v>
      </c>
      <c r="G463" t="s">
        <v>148</v>
      </c>
      <c r="H463" s="2">
        <v>4</v>
      </c>
      <c r="I463" s="2" t="str" cm="1">
        <f t="array" ref="I463">_xlfn.XLOOKUP(F463,Customers!A462:$A$1001,Customers!B462:$B$1001,"Not Found",0)</f>
        <v>Ransell McKall</v>
      </c>
      <c r="J463" s="2" t="str" cm="1">
        <f t="array" ref="J463">IF(_xlfn.XLOOKUP(F463,Customers!A462:$A$1001,Customers!C462:$C$1001,"Not Found",0)=0,"",_xlfn.XLOOKUP(F463,Customers!A462:$A$1001,Customers!C462:$C$1001,"Not Found",0))</f>
        <v>rmckallct@sakura.ne.jp</v>
      </c>
      <c r="K463" s="2" t="str" cm="1">
        <f t="array" ref="K463">_xlfn.XLOOKUP(F463,Customers!A462:$A$1001,Customers!G462:$G$1001,"Not Found",0)</f>
        <v>United Kingdom</v>
      </c>
      <c r="L463" t="str">
        <f>INDEX(Products!$A$1:$G$49,MATCH(Orders!$G463,Products!$A$1:$A$49,0),MATCH(Orders!L$1,Products!$A$1:$G$1,0))</f>
        <v>Rob</v>
      </c>
      <c r="M463" t="str">
        <f>INDEX(Products!$A$1:$G$49,MATCH(Orders!$G463,Products!$A$1:$A$49,0),MATCH(Orders!M$1,Products!$A$1:$G$1,0))</f>
        <v>D</v>
      </c>
      <c r="N463" s="4">
        <f>INDEX(Products!$A$1:$G$49,MATCH(Orders!$G463,Products!$A$1:$A$49,0),MATCH(Orders!N$1,Products!$A$1:$G$1,0))</f>
        <v>0.2</v>
      </c>
      <c r="O463" s="7">
        <f>INDEX(Products!$A$1:$G$49,MATCH(Orders!$G463,Products!$A$1:$A$49,0),MATCH(Orders!O$1,Products!$A$1:$G$1,0))</f>
        <v>2.6849999999999996</v>
      </c>
      <c r="P463" s="7">
        <f t="shared" si="7"/>
        <v>10.739999999999998</v>
      </c>
      <c r="Q463" t="str" cm="1">
        <f t="array" ref="Q463">_xlfn.IFS(L463="Rob","Robusta",L463="Exc", "Excelsa",L463="Ara", "Arabica",L463="Lib", "Liberica")</f>
        <v>Robusta</v>
      </c>
      <c r="R463" t="str" cm="1">
        <f t="array" ref="R463">_xlfn.IFS(M463="M","Medium",M463="L","Light",M463="D","Dark")</f>
        <v>Dark</v>
      </c>
    </row>
    <row r="464" spans="1:18">
      <c r="A464" s="2" t="s">
        <v>967</v>
      </c>
      <c r="B464" s="3">
        <v>44124</v>
      </c>
      <c r="C464" s="9">
        <f>YEAR(Orders_Table[[#This Row],[Order Date]])</f>
        <v>2020</v>
      </c>
      <c r="D464" s="9">
        <f>MONTH(Orders_Table[[#This Row],[Order Date]])</f>
        <v>10</v>
      </c>
      <c r="E464" s="9" t="str" cm="1">
        <f t="array" ref="E4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64" s="2" t="s">
        <v>968</v>
      </c>
      <c r="G464" t="s">
        <v>74</v>
      </c>
      <c r="H464" s="2">
        <v>5</v>
      </c>
      <c r="I464" s="2" t="str" cm="1">
        <f t="array" ref="I464">_xlfn.XLOOKUP(F464,Customers!A463:$A$1001,Customers!B463:$B$1001,"Not Found",0)</f>
        <v>Borg Daile</v>
      </c>
      <c r="J464" s="2" t="str" cm="1">
        <f t="array" ref="J464">IF(_xlfn.XLOOKUP(F464,Customers!A463:$A$1001,Customers!C463:$C$1001,"Not Found",0)=0,"",_xlfn.XLOOKUP(F464,Customers!A463:$A$1001,Customers!C463:$C$1001,"Not Found",0))</f>
        <v>bdailecu@vistaprint.com</v>
      </c>
      <c r="K464" s="2" t="str" cm="1">
        <f t="array" ref="K464">_xlfn.XLOOKUP(F464,Customers!A463:$A$1001,Customers!G463:$G$1001,"Not Found",0)</f>
        <v>United States</v>
      </c>
      <c r="L464" t="str">
        <f>INDEX(Products!$A$1:$G$49,MATCH(Orders!$G464,Products!$A$1:$A$49,0),MATCH(Orders!L$1,Products!$A$1:$G$1,0))</f>
        <v>Ara</v>
      </c>
      <c r="M464" t="str">
        <f>INDEX(Products!$A$1:$G$49,MATCH(Orders!$G464,Products!$A$1:$A$49,0),MATCH(Orders!M$1,Products!$A$1:$G$1,0))</f>
        <v>D</v>
      </c>
      <c r="N464" s="4">
        <f>INDEX(Products!$A$1:$G$49,MATCH(Orders!$G464,Products!$A$1:$A$49,0),MATCH(Orders!N$1,Products!$A$1:$G$1,0))</f>
        <v>1</v>
      </c>
      <c r="O464" s="7">
        <f>INDEX(Products!$A$1:$G$49,MATCH(Orders!$G464,Products!$A$1:$A$49,0),MATCH(Orders!O$1,Products!$A$1:$G$1,0))</f>
        <v>9.9499999999999993</v>
      </c>
      <c r="P464" s="7">
        <f t="shared" si="7"/>
        <v>49.75</v>
      </c>
      <c r="Q464" t="str" cm="1">
        <f t="array" ref="Q464">_xlfn.IFS(L464="Rob","Robusta",L464="Exc", "Excelsa",L464="Ara", "Arabica",L464="Lib", "Liberica")</f>
        <v>Arabica</v>
      </c>
      <c r="R464" t="str" cm="1">
        <f t="array" ref="R464">_xlfn.IFS(M464="M","Medium",M464="L","Light",M464="D","Dark")</f>
        <v>Dark</v>
      </c>
    </row>
    <row r="465" spans="1:18">
      <c r="A465" s="2" t="s">
        <v>969</v>
      </c>
      <c r="B465" s="3">
        <v>43730</v>
      </c>
      <c r="C465" s="9">
        <f>YEAR(Orders_Table[[#This Row],[Order Date]])</f>
        <v>2019</v>
      </c>
      <c r="D465" s="9">
        <f>MONTH(Orders_Table[[#This Row],[Order Date]])</f>
        <v>9</v>
      </c>
      <c r="E465" s="9" t="str" cm="1">
        <f t="array" ref="E4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65" s="2" t="s">
        <v>970</v>
      </c>
      <c r="G465" t="s">
        <v>56</v>
      </c>
      <c r="H465" s="2">
        <v>2</v>
      </c>
      <c r="I465" s="2" t="str" cm="1">
        <f t="array" ref="I465">_xlfn.XLOOKUP(F465,Customers!A464:$A$1001,Customers!B464:$B$1001,"Not Found",0)</f>
        <v>Adolphe Treherne</v>
      </c>
      <c r="J465" s="2" t="str" cm="1">
        <f t="array" ref="J465">IF(_xlfn.XLOOKUP(F465,Customers!A464:$A$1001,Customers!C464:$C$1001,"Not Found",0)=0,"",_xlfn.XLOOKUP(F465,Customers!A464:$A$1001,Customers!C464:$C$1001,"Not Found",0))</f>
        <v>atrehernecv@state.tx.us</v>
      </c>
      <c r="K465" s="2" t="str" cm="1">
        <f t="array" ref="K465">_xlfn.XLOOKUP(F465,Customers!A464:$A$1001,Customers!G464:$G$1001,"Not Found",0)</f>
        <v>Ireland</v>
      </c>
      <c r="L465" t="str">
        <f>INDEX(Products!$A$1:$G$49,MATCH(Orders!$G465,Products!$A$1:$A$49,0),MATCH(Orders!L$1,Products!$A$1:$G$1,0))</f>
        <v>Exc</v>
      </c>
      <c r="M465" t="str">
        <f>INDEX(Products!$A$1:$G$49,MATCH(Orders!$G465,Products!$A$1:$A$49,0),MATCH(Orders!M$1,Products!$A$1:$G$1,0))</f>
        <v>M</v>
      </c>
      <c r="N465" s="4">
        <f>INDEX(Products!$A$1:$G$49,MATCH(Orders!$G465,Products!$A$1:$A$49,0),MATCH(Orders!N$1,Products!$A$1:$G$1,0))</f>
        <v>1</v>
      </c>
      <c r="O465" s="7">
        <f>INDEX(Products!$A$1:$G$49,MATCH(Orders!$G465,Products!$A$1:$A$49,0),MATCH(Orders!O$1,Products!$A$1:$G$1,0))</f>
        <v>13.75</v>
      </c>
      <c r="P465" s="7">
        <f t="shared" si="7"/>
        <v>27.5</v>
      </c>
      <c r="Q465" t="str" cm="1">
        <f t="array" ref="Q465">_xlfn.IFS(L465="Rob","Robusta",L465="Exc", "Excelsa",L465="Ara", "Arabica",L465="Lib", "Liberica")</f>
        <v>Excelsa</v>
      </c>
      <c r="R465" t="str" cm="1">
        <f t="array" ref="R465">_xlfn.IFS(M465="M","Medium",M465="L","Light",M465="D","Dark")</f>
        <v>Medium</v>
      </c>
    </row>
    <row r="466" spans="1:18">
      <c r="A466" s="2" t="s">
        <v>971</v>
      </c>
      <c r="B466" s="3">
        <v>43989</v>
      </c>
      <c r="C466" s="9">
        <f>YEAR(Orders_Table[[#This Row],[Order Date]])</f>
        <v>2020</v>
      </c>
      <c r="D466" s="9">
        <f>MONTH(Orders_Table[[#This Row],[Order Date]])</f>
        <v>6</v>
      </c>
      <c r="E466" s="9" t="str" cm="1">
        <f t="array" ref="E4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66" s="2" t="s">
        <v>972</v>
      </c>
      <c r="G466" t="s">
        <v>156</v>
      </c>
      <c r="H466" s="2">
        <v>4</v>
      </c>
      <c r="I466" s="2" t="str" cm="1">
        <f t="array" ref="I466">_xlfn.XLOOKUP(F466,Customers!A465:$A$1001,Customers!B465:$B$1001,"Not Found",0)</f>
        <v>Annetta Brentnall</v>
      </c>
      <c r="J466" s="2" t="str" cm="1">
        <f t="array" ref="J466">IF(_xlfn.XLOOKUP(F466,Customers!A465:$A$1001,Customers!C465:$C$1001,"Not Found",0)=0,"",_xlfn.XLOOKUP(F466,Customers!A465:$A$1001,Customers!C465:$C$1001,"Not Found",0))</f>
        <v>abrentnallcw@biglobe.ne.jp</v>
      </c>
      <c r="K466" s="2" t="str" cm="1">
        <f t="array" ref="K466">_xlfn.XLOOKUP(F466,Customers!A465:$A$1001,Customers!G465:$G$1001,"Not Found",0)</f>
        <v>United Kingdom</v>
      </c>
      <c r="L466" t="str">
        <f>INDEX(Products!$A$1:$G$49,MATCH(Orders!$G466,Products!$A$1:$A$49,0),MATCH(Orders!L$1,Products!$A$1:$G$1,0))</f>
        <v>Lib</v>
      </c>
      <c r="M466" t="str">
        <f>INDEX(Products!$A$1:$G$49,MATCH(Orders!$G466,Products!$A$1:$A$49,0),MATCH(Orders!M$1,Products!$A$1:$G$1,0))</f>
        <v>D</v>
      </c>
      <c r="N466" s="4">
        <f>INDEX(Products!$A$1:$G$49,MATCH(Orders!$G466,Products!$A$1:$A$49,0),MATCH(Orders!N$1,Products!$A$1:$G$1,0))</f>
        <v>2.5</v>
      </c>
      <c r="O466" s="7">
        <f>INDEX(Products!$A$1:$G$49,MATCH(Orders!$G466,Products!$A$1:$A$49,0),MATCH(Orders!O$1,Products!$A$1:$G$1,0))</f>
        <v>29.784999999999997</v>
      </c>
      <c r="P466" s="7">
        <f t="shared" si="7"/>
        <v>119.13999999999999</v>
      </c>
      <c r="Q466" t="str" cm="1">
        <f t="array" ref="Q466">_xlfn.IFS(L466="Rob","Robusta",L466="Exc", "Excelsa",L466="Ara", "Arabica",L466="Lib", "Liberica")</f>
        <v>Liberica</v>
      </c>
      <c r="R466" t="str" cm="1">
        <f t="array" ref="R466">_xlfn.IFS(M466="M","Medium",M466="L","Light",M466="D","Dark")</f>
        <v>Dark</v>
      </c>
    </row>
    <row r="467" spans="1:18">
      <c r="A467" s="2" t="s">
        <v>973</v>
      </c>
      <c r="B467" s="3">
        <v>43814</v>
      </c>
      <c r="C467" s="9">
        <f>YEAR(Orders_Table[[#This Row],[Order Date]])</f>
        <v>2019</v>
      </c>
      <c r="D467" s="9">
        <f>MONTH(Orders_Table[[#This Row],[Order Date]])</f>
        <v>12</v>
      </c>
      <c r="E467" s="9" t="str" cm="1">
        <f t="array" ref="E4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67" s="2" t="s">
        <v>974</v>
      </c>
      <c r="G467" t="s">
        <v>82</v>
      </c>
      <c r="H467" s="2">
        <v>1</v>
      </c>
      <c r="I467" s="2" t="str" cm="1">
        <f t="array" ref="I467">_xlfn.XLOOKUP(F467,Customers!A466:$A$1001,Customers!B466:$B$1001,"Not Found",0)</f>
        <v>Dick Drinkall</v>
      </c>
      <c r="J467" s="2" t="str" cm="1">
        <f t="array" ref="J467">IF(_xlfn.XLOOKUP(F467,Customers!A466:$A$1001,Customers!C466:$C$1001,"Not Found",0)=0,"",_xlfn.XLOOKUP(F467,Customers!A466:$A$1001,Customers!C466:$C$1001,"Not Found",0))</f>
        <v>ddrinkallcx@psu.edu</v>
      </c>
      <c r="K467" s="2" t="str" cm="1">
        <f t="array" ref="K467">_xlfn.XLOOKUP(F467,Customers!A466:$A$1001,Customers!G466:$G$1001,"Not Found",0)</f>
        <v>United States</v>
      </c>
      <c r="L467" t="str">
        <f>INDEX(Products!$A$1:$G$49,MATCH(Orders!$G467,Products!$A$1:$A$49,0),MATCH(Orders!L$1,Products!$A$1:$G$1,0))</f>
        <v>Rob</v>
      </c>
      <c r="M467" t="str">
        <f>INDEX(Products!$A$1:$G$49,MATCH(Orders!$G467,Products!$A$1:$A$49,0),MATCH(Orders!M$1,Products!$A$1:$G$1,0))</f>
        <v>D</v>
      </c>
      <c r="N467" s="4">
        <f>INDEX(Products!$A$1:$G$49,MATCH(Orders!$G467,Products!$A$1:$A$49,0),MATCH(Orders!N$1,Products!$A$1:$G$1,0))</f>
        <v>2.5</v>
      </c>
      <c r="O467" s="7">
        <f>INDEX(Products!$A$1:$G$49,MATCH(Orders!$G467,Products!$A$1:$A$49,0),MATCH(Orders!O$1,Products!$A$1:$G$1,0))</f>
        <v>20.584999999999997</v>
      </c>
      <c r="P467" s="7">
        <f t="shared" si="7"/>
        <v>20.584999999999997</v>
      </c>
      <c r="Q467" t="str" cm="1">
        <f t="array" ref="Q467">_xlfn.IFS(L467="Rob","Robusta",L467="Exc", "Excelsa",L467="Ara", "Arabica",L467="Lib", "Liberica")</f>
        <v>Robusta</v>
      </c>
      <c r="R467" t="str" cm="1">
        <f t="array" ref="R467">_xlfn.IFS(M467="M","Medium",M467="L","Light",M467="D","Dark")</f>
        <v>Dark</v>
      </c>
    </row>
    <row r="468" spans="1:18">
      <c r="A468" s="2" t="s">
        <v>975</v>
      </c>
      <c r="B468" s="3">
        <v>44171</v>
      </c>
      <c r="C468" s="9">
        <f>YEAR(Orders_Table[[#This Row],[Order Date]])</f>
        <v>2020</v>
      </c>
      <c r="D468" s="9">
        <f>MONTH(Orders_Table[[#This Row],[Order Date]])</f>
        <v>12</v>
      </c>
      <c r="E468" s="9" t="str" cm="1">
        <f t="array" ref="E4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68" s="2" t="s">
        <v>976</v>
      </c>
      <c r="G468" t="s">
        <v>101</v>
      </c>
      <c r="H468" s="2">
        <v>3</v>
      </c>
      <c r="I468" s="2" t="str" cm="1">
        <f t="array" ref="I468">_xlfn.XLOOKUP(F468,Customers!A467:$A$1001,Customers!B467:$B$1001,"Not Found",0)</f>
        <v>Dagny Kornel</v>
      </c>
      <c r="J468" s="2" t="str" cm="1">
        <f t="array" ref="J468">IF(_xlfn.XLOOKUP(F468,Customers!A467:$A$1001,Customers!C467:$C$1001,"Not Found",0)=0,"",_xlfn.XLOOKUP(F468,Customers!A467:$A$1001,Customers!C467:$C$1001,"Not Found",0))</f>
        <v>dkornelcy@cyberchimps.com</v>
      </c>
      <c r="K468" s="2" t="str" cm="1">
        <f t="array" ref="K468">_xlfn.XLOOKUP(F468,Customers!A467:$A$1001,Customers!G467:$G$1001,"Not Found",0)</f>
        <v>United States</v>
      </c>
      <c r="L468" t="str">
        <f>INDEX(Products!$A$1:$G$49,MATCH(Orders!$G468,Products!$A$1:$A$49,0),MATCH(Orders!L$1,Products!$A$1:$G$1,0))</f>
        <v>Ara</v>
      </c>
      <c r="M468" t="str">
        <f>INDEX(Products!$A$1:$G$49,MATCH(Orders!$G468,Products!$A$1:$A$49,0),MATCH(Orders!M$1,Products!$A$1:$G$1,0))</f>
        <v>D</v>
      </c>
      <c r="N468" s="4">
        <f>INDEX(Products!$A$1:$G$49,MATCH(Orders!$G468,Products!$A$1:$A$49,0),MATCH(Orders!N$1,Products!$A$1:$G$1,0))</f>
        <v>0.2</v>
      </c>
      <c r="O468" s="7">
        <f>INDEX(Products!$A$1:$G$49,MATCH(Orders!$G468,Products!$A$1:$A$49,0),MATCH(Orders!O$1,Products!$A$1:$G$1,0))</f>
        <v>2.9849999999999999</v>
      </c>
      <c r="P468" s="7">
        <f t="shared" si="7"/>
        <v>8.9550000000000001</v>
      </c>
      <c r="Q468" t="str" cm="1">
        <f t="array" ref="Q468">_xlfn.IFS(L468="Rob","Robusta",L468="Exc", "Excelsa",L468="Ara", "Arabica",L468="Lib", "Liberica")</f>
        <v>Arabica</v>
      </c>
      <c r="R468" t="str" cm="1">
        <f t="array" ref="R468">_xlfn.IFS(M468="M","Medium",M468="L","Light",M468="D","Dark")</f>
        <v>Dark</v>
      </c>
    </row>
    <row r="469" spans="1:18">
      <c r="A469" s="2" t="s">
        <v>977</v>
      </c>
      <c r="B469" s="3">
        <v>44536</v>
      </c>
      <c r="C469" s="9">
        <f>YEAR(Orders_Table[[#This Row],[Order Date]])</f>
        <v>2021</v>
      </c>
      <c r="D469" s="9">
        <f>MONTH(Orders_Table[[#This Row],[Order Date]])</f>
        <v>12</v>
      </c>
      <c r="E469" s="9" t="str" cm="1">
        <f t="array" ref="E4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469" s="2" t="s">
        <v>978</v>
      </c>
      <c r="G469" t="s">
        <v>119</v>
      </c>
      <c r="H469" s="2">
        <v>1</v>
      </c>
      <c r="I469" s="2" t="str" cm="1">
        <f t="array" ref="I469">_xlfn.XLOOKUP(F469,Customers!A468:$A$1001,Customers!B468:$B$1001,"Not Found",0)</f>
        <v>Rhona Lequeux</v>
      </c>
      <c r="J469" s="2" t="str" cm="1">
        <f t="array" ref="J469">IF(_xlfn.XLOOKUP(F469,Customers!A468:$A$1001,Customers!C468:$C$1001,"Not Found",0)=0,"",_xlfn.XLOOKUP(F469,Customers!A468:$A$1001,Customers!C468:$C$1001,"Not Found",0))</f>
        <v>rlequeuxcz@newyorker.com</v>
      </c>
      <c r="K469" s="2" t="str" cm="1">
        <f t="array" ref="K469">_xlfn.XLOOKUP(F469,Customers!A468:$A$1001,Customers!G468:$G$1001,"Not Found",0)</f>
        <v>United States</v>
      </c>
      <c r="L469" t="str">
        <f>INDEX(Products!$A$1:$G$49,MATCH(Orders!$G469,Products!$A$1:$A$49,0),MATCH(Orders!L$1,Products!$A$1:$G$1,0))</f>
        <v>Ara</v>
      </c>
      <c r="M469" t="str">
        <f>INDEX(Products!$A$1:$G$49,MATCH(Orders!$G469,Products!$A$1:$A$49,0),MATCH(Orders!M$1,Products!$A$1:$G$1,0))</f>
        <v>D</v>
      </c>
      <c r="N469" s="4">
        <f>INDEX(Products!$A$1:$G$49,MATCH(Orders!$G469,Products!$A$1:$A$49,0),MATCH(Orders!N$1,Products!$A$1:$G$1,0))</f>
        <v>0.5</v>
      </c>
      <c r="O469" s="7">
        <f>INDEX(Products!$A$1:$G$49,MATCH(Orders!$G469,Products!$A$1:$A$49,0),MATCH(Orders!O$1,Products!$A$1:$G$1,0))</f>
        <v>5.97</v>
      </c>
      <c r="P469" s="7">
        <f t="shared" si="7"/>
        <v>5.97</v>
      </c>
      <c r="Q469" t="str" cm="1">
        <f t="array" ref="Q469">_xlfn.IFS(L469="Rob","Robusta",L469="Exc", "Excelsa",L469="Ara", "Arabica",L469="Lib", "Liberica")</f>
        <v>Arabica</v>
      </c>
      <c r="R469" t="str" cm="1">
        <f t="array" ref="R469">_xlfn.IFS(M469="M","Medium",M469="L","Light",M469="D","Dark")</f>
        <v>Dark</v>
      </c>
    </row>
    <row r="470" spans="1:18">
      <c r="A470" s="2" t="s">
        <v>979</v>
      </c>
      <c r="B470" s="3">
        <v>44023</v>
      </c>
      <c r="C470" s="9">
        <f>YEAR(Orders_Table[[#This Row],[Order Date]])</f>
        <v>2020</v>
      </c>
      <c r="D470" s="9">
        <f>MONTH(Orders_Table[[#This Row],[Order Date]])</f>
        <v>7</v>
      </c>
      <c r="E470" s="9" t="str" cm="1">
        <f t="array" ref="E4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70" s="2" t="s">
        <v>980</v>
      </c>
      <c r="G470" t="s">
        <v>56</v>
      </c>
      <c r="H470" s="2">
        <v>3</v>
      </c>
      <c r="I470" s="2" t="str" cm="1">
        <f t="array" ref="I470">_xlfn.XLOOKUP(F470,Customers!A469:$A$1001,Customers!B469:$B$1001,"Not Found",0)</f>
        <v>Julius Mccaull</v>
      </c>
      <c r="J470" s="2" t="str" cm="1">
        <f t="array" ref="J470">IF(_xlfn.XLOOKUP(F470,Customers!A469:$A$1001,Customers!C469:$C$1001,"Not Found",0)=0,"",_xlfn.XLOOKUP(F470,Customers!A469:$A$1001,Customers!C469:$C$1001,"Not Found",0))</f>
        <v>jmccaulld0@parallels.com</v>
      </c>
      <c r="K470" s="2" t="str" cm="1">
        <f t="array" ref="K470">_xlfn.XLOOKUP(F470,Customers!A469:$A$1001,Customers!G469:$G$1001,"Not Found",0)</f>
        <v>United States</v>
      </c>
      <c r="L470" t="str">
        <f>INDEX(Products!$A$1:$G$49,MATCH(Orders!$G470,Products!$A$1:$A$49,0),MATCH(Orders!L$1,Products!$A$1:$G$1,0))</f>
        <v>Exc</v>
      </c>
      <c r="M470" t="str">
        <f>INDEX(Products!$A$1:$G$49,MATCH(Orders!$G470,Products!$A$1:$A$49,0),MATCH(Orders!M$1,Products!$A$1:$G$1,0))</f>
        <v>M</v>
      </c>
      <c r="N470" s="4">
        <f>INDEX(Products!$A$1:$G$49,MATCH(Orders!$G470,Products!$A$1:$A$49,0),MATCH(Orders!N$1,Products!$A$1:$G$1,0))</f>
        <v>1</v>
      </c>
      <c r="O470" s="7">
        <f>INDEX(Products!$A$1:$G$49,MATCH(Orders!$G470,Products!$A$1:$A$49,0),MATCH(Orders!O$1,Products!$A$1:$G$1,0))</f>
        <v>13.75</v>
      </c>
      <c r="P470" s="7">
        <f t="shared" si="7"/>
        <v>41.25</v>
      </c>
      <c r="Q470" t="str" cm="1">
        <f t="array" ref="Q470">_xlfn.IFS(L470="Rob","Robusta",L470="Exc", "Excelsa",L470="Ara", "Arabica",L470="Lib", "Liberica")</f>
        <v>Excelsa</v>
      </c>
      <c r="R470" t="str" cm="1">
        <f t="array" ref="R470">_xlfn.IFS(M470="M","Medium",M470="L","Light",M470="D","Dark")</f>
        <v>Medium</v>
      </c>
    </row>
    <row r="471" spans="1:18">
      <c r="A471" s="2" t="s">
        <v>981</v>
      </c>
      <c r="B471" s="3">
        <v>44375</v>
      </c>
      <c r="C471" s="9">
        <f>YEAR(Orders_Table[[#This Row],[Order Date]])</f>
        <v>2021</v>
      </c>
      <c r="D471" s="9">
        <f>MONTH(Orders_Table[[#This Row],[Order Date]])</f>
        <v>6</v>
      </c>
      <c r="E471" s="9" t="str" cm="1">
        <f t="array" ref="E4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71" s="2" t="s">
        <v>982</v>
      </c>
      <c r="G471" t="s">
        <v>301</v>
      </c>
      <c r="H471" s="2">
        <v>5</v>
      </c>
      <c r="I471" s="2" t="str" cm="1">
        <f t="array" ref="I471">_xlfn.XLOOKUP(F471,Customers!A470:$A$1001,Customers!B470:$B$1001,"Not Found",0)</f>
        <v>Ailey Brash</v>
      </c>
      <c r="J471" s="2" t="str" cm="1">
        <f t="array" ref="J471">IF(_xlfn.XLOOKUP(F471,Customers!A470:$A$1001,Customers!C470:$C$1001,"Not Found",0)=0,"",_xlfn.XLOOKUP(F471,Customers!A470:$A$1001,Customers!C470:$C$1001,"Not Found",0))</f>
        <v>abrashda@plala.or.jp</v>
      </c>
      <c r="K471" s="2" t="str" cm="1">
        <f t="array" ref="K471">_xlfn.XLOOKUP(F471,Customers!A470:$A$1001,Customers!G470:$G$1001,"Not Found",0)</f>
        <v>United States</v>
      </c>
      <c r="L471" t="str">
        <f>INDEX(Products!$A$1:$G$49,MATCH(Orders!$G471,Products!$A$1:$A$49,0),MATCH(Orders!L$1,Products!$A$1:$G$1,0))</f>
        <v>Exc</v>
      </c>
      <c r="M471" t="str">
        <f>INDEX(Products!$A$1:$G$49,MATCH(Orders!$G471,Products!$A$1:$A$49,0),MATCH(Orders!M$1,Products!$A$1:$G$1,0))</f>
        <v>L</v>
      </c>
      <c r="N471" s="4">
        <f>INDEX(Products!$A$1:$G$49,MATCH(Orders!$G471,Products!$A$1:$A$49,0),MATCH(Orders!N$1,Products!$A$1:$G$1,0))</f>
        <v>0.2</v>
      </c>
      <c r="O471" s="7">
        <f>INDEX(Products!$A$1:$G$49,MATCH(Orders!$G471,Products!$A$1:$A$49,0),MATCH(Orders!O$1,Products!$A$1:$G$1,0))</f>
        <v>4.4550000000000001</v>
      </c>
      <c r="P471" s="7">
        <f t="shared" si="7"/>
        <v>22.274999999999999</v>
      </c>
      <c r="Q471" t="str" cm="1">
        <f t="array" ref="Q471">_xlfn.IFS(L471="Rob","Robusta",L471="Exc", "Excelsa",L471="Ara", "Arabica",L471="Lib", "Liberica")</f>
        <v>Excelsa</v>
      </c>
      <c r="R471" t="str" cm="1">
        <f t="array" ref="R471">_xlfn.IFS(M471="M","Medium",M471="L","Light",M471="D","Dark")</f>
        <v>Light</v>
      </c>
    </row>
    <row r="472" spans="1:18">
      <c r="A472" s="2" t="s">
        <v>983</v>
      </c>
      <c r="B472" s="3">
        <v>44656</v>
      </c>
      <c r="C472" s="9">
        <f>YEAR(Orders_Table[[#This Row],[Order Date]])</f>
        <v>2022</v>
      </c>
      <c r="D472" s="9">
        <f>MONTH(Orders_Table[[#This Row],[Order Date]])</f>
        <v>4</v>
      </c>
      <c r="E472" s="9" t="str" cm="1">
        <f t="array" ref="E4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472" s="2" t="s">
        <v>984</v>
      </c>
      <c r="G472" t="s">
        <v>114</v>
      </c>
      <c r="H472" s="2">
        <v>1</v>
      </c>
      <c r="I472" s="2" t="str" cm="1">
        <f t="array" ref="I472">_xlfn.XLOOKUP(F472,Customers!A471:$A$1001,Customers!B471:$B$1001,"Not Found",0)</f>
        <v>Alberto Hutchinson</v>
      </c>
      <c r="J472" s="2" t="str" cm="1">
        <f t="array" ref="J472">IF(_xlfn.XLOOKUP(F472,Customers!A471:$A$1001,Customers!C471:$C$1001,"Not Found",0)=0,"",_xlfn.XLOOKUP(F472,Customers!A471:$A$1001,Customers!C471:$C$1001,"Not Found",0))</f>
        <v>ahutchinsond2@imgur.com</v>
      </c>
      <c r="K472" s="2" t="str" cm="1">
        <f t="array" ref="K472">_xlfn.XLOOKUP(F472,Customers!A471:$A$1001,Customers!G471:$G$1001,"Not Found",0)</f>
        <v>United States</v>
      </c>
      <c r="L472" t="str">
        <f>INDEX(Products!$A$1:$G$49,MATCH(Orders!$G472,Products!$A$1:$A$49,0),MATCH(Orders!L$1,Products!$A$1:$G$1,0))</f>
        <v>Ara</v>
      </c>
      <c r="M472" t="str">
        <f>INDEX(Products!$A$1:$G$49,MATCH(Orders!$G472,Products!$A$1:$A$49,0),MATCH(Orders!M$1,Products!$A$1:$G$1,0))</f>
        <v>M</v>
      </c>
      <c r="N472" s="4">
        <f>INDEX(Products!$A$1:$G$49,MATCH(Orders!$G472,Products!$A$1:$A$49,0),MATCH(Orders!N$1,Products!$A$1:$G$1,0))</f>
        <v>0.5</v>
      </c>
      <c r="O472" s="7">
        <f>INDEX(Products!$A$1:$G$49,MATCH(Orders!$G472,Products!$A$1:$A$49,0),MATCH(Orders!O$1,Products!$A$1:$G$1,0))</f>
        <v>6.75</v>
      </c>
      <c r="P472" s="7">
        <f t="shared" si="7"/>
        <v>6.75</v>
      </c>
      <c r="Q472" t="str" cm="1">
        <f t="array" ref="Q472">_xlfn.IFS(L472="Rob","Robusta",L472="Exc", "Excelsa",L472="Ara", "Arabica",L472="Lib", "Liberica")</f>
        <v>Arabica</v>
      </c>
      <c r="R472" t="str" cm="1">
        <f t="array" ref="R472">_xlfn.IFS(M472="M","Medium",M472="L","Light",M472="D","Dark")</f>
        <v>Medium</v>
      </c>
    </row>
    <row r="473" spans="1:18">
      <c r="A473" s="2" t="s">
        <v>985</v>
      </c>
      <c r="B473" s="3">
        <v>44644</v>
      </c>
      <c r="C473" s="9">
        <f>YEAR(Orders_Table[[#This Row],[Order Date]])</f>
        <v>2022</v>
      </c>
      <c r="D473" s="9">
        <f>MONTH(Orders_Table[[#This Row],[Order Date]])</f>
        <v>3</v>
      </c>
      <c r="E473" s="9" t="str" cm="1">
        <f t="array" ref="E4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473" s="2" t="s">
        <v>986</v>
      </c>
      <c r="G473" t="s">
        <v>244</v>
      </c>
      <c r="H473" s="2">
        <v>4</v>
      </c>
      <c r="I473" s="2" t="str" cm="1">
        <f t="array" ref="I473">_xlfn.XLOOKUP(F473,Customers!A472:$A$1001,Customers!B472:$B$1001,"Not Found",0)</f>
        <v>Lamond Gheeraert</v>
      </c>
      <c r="J473" s="2" t="str" cm="1">
        <f t="array" ref="J473">IF(_xlfn.XLOOKUP(F473,Customers!A472:$A$1001,Customers!C472:$C$1001,"Not Found",0)=0,"",_xlfn.XLOOKUP(F473,Customers!A472:$A$1001,Customers!C472:$C$1001,"Not Found",0))</f>
        <v/>
      </c>
      <c r="K473" s="2" t="str" cm="1">
        <f t="array" ref="K473">_xlfn.XLOOKUP(F473,Customers!A472:$A$1001,Customers!G472:$G$1001,"Not Found",0)</f>
        <v>United States</v>
      </c>
      <c r="L473" t="str">
        <f>INDEX(Products!$A$1:$G$49,MATCH(Orders!$G473,Products!$A$1:$A$49,0),MATCH(Orders!L$1,Products!$A$1:$G$1,0))</f>
        <v>Lib</v>
      </c>
      <c r="M473" t="str">
        <f>INDEX(Products!$A$1:$G$49,MATCH(Orders!$G473,Products!$A$1:$A$49,0),MATCH(Orders!M$1,Products!$A$1:$G$1,0))</f>
        <v>M</v>
      </c>
      <c r="N473" s="4">
        <f>INDEX(Products!$A$1:$G$49,MATCH(Orders!$G473,Products!$A$1:$A$49,0),MATCH(Orders!N$1,Products!$A$1:$G$1,0))</f>
        <v>2.5</v>
      </c>
      <c r="O473" s="7">
        <f>INDEX(Products!$A$1:$G$49,MATCH(Orders!$G473,Products!$A$1:$A$49,0),MATCH(Orders!O$1,Products!$A$1:$G$1,0))</f>
        <v>33.464999999999996</v>
      </c>
      <c r="P473" s="7">
        <f t="shared" si="7"/>
        <v>133.85999999999999</v>
      </c>
      <c r="Q473" t="str" cm="1">
        <f t="array" ref="Q473">_xlfn.IFS(L473="Rob","Robusta",L473="Exc", "Excelsa",L473="Ara", "Arabica",L473="Lib", "Liberica")</f>
        <v>Liberica</v>
      </c>
      <c r="R473" t="str" cm="1">
        <f t="array" ref="R473">_xlfn.IFS(M473="M","Medium",M473="L","Light",M473="D","Dark")</f>
        <v>Medium</v>
      </c>
    </row>
    <row r="474" spans="1:18">
      <c r="A474" s="2" t="s">
        <v>987</v>
      </c>
      <c r="B474" s="3">
        <v>43869</v>
      </c>
      <c r="C474" s="9">
        <f>YEAR(Orders_Table[[#This Row],[Order Date]])</f>
        <v>2020</v>
      </c>
      <c r="D474" s="9">
        <f>MONTH(Orders_Table[[#This Row],[Order Date]])</f>
        <v>2</v>
      </c>
      <c r="E474" s="9" t="str" cm="1">
        <f t="array" ref="E4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74" s="2" t="s">
        <v>988</v>
      </c>
      <c r="G474" t="s">
        <v>101</v>
      </c>
      <c r="H474" s="2">
        <v>2</v>
      </c>
      <c r="I474" s="2" t="str" cm="1">
        <f t="array" ref="I474">_xlfn.XLOOKUP(F474,Customers!A473:$A$1001,Customers!B473:$B$1001,"Not Found",0)</f>
        <v>Roxine Drivers</v>
      </c>
      <c r="J474" s="2" t="str" cm="1">
        <f t="array" ref="J474">IF(_xlfn.XLOOKUP(F474,Customers!A473:$A$1001,Customers!C473:$C$1001,"Not Found",0)=0,"",_xlfn.XLOOKUP(F474,Customers!A473:$A$1001,Customers!C473:$C$1001,"Not Found",0))</f>
        <v>rdriversd4@hexun.com</v>
      </c>
      <c r="K474" s="2" t="str" cm="1">
        <f t="array" ref="K474">_xlfn.XLOOKUP(F474,Customers!A473:$A$1001,Customers!G473:$G$1001,"Not Found",0)</f>
        <v>United States</v>
      </c>
      <c r="L474" t="str">
        <f>INDEX(Products!$A$1:$G$49,MATCH(Orders!$G474,Products!$A$1:$A$49,0),MATCH(Orders!L$1,Products!$A$1:$G$1,0))</f>
        <v>Ara</v>
      </c>
      <c r="M474" t="str">
        <f>INDEX(Products!$A$1:$G$49,MATCH(Orders!$G474,Products!$A$1:$A$49,0),MATCH(Orders!M$1,Products!$A$1:$G$1,0))</f>
        <v>D</v>
      </c>
      <c r="N474" s="4">
        <f>INDEX(Products!$A$1:$G$49,MATCH(Orders!$G474,Products!$A$1:$A$49,0),MATCH(Orders!N$1,Products!$A$1:$G$1,0))</f>
        <v>0.2</v>
      </c>
      <c r="O474" s="7">
        <f>INDEX(Products!$A$1:$G$49,MATCH(Orders!$G474,Products!$A$1:$A$49,0),MATCH(Orders!O$1,Products!$A$1:$G$1,0))</f>
        <v>2.9849999999999999</v>
      </c>
      <c r="P474" s="7">
        <f t="shared" si="7"/>
        <v>5.97</v>
      </c>
      <c r="Q474" t="str" cm="1">
        <f t="array" ref="Q474">_xlfn.IFS(L474="Rob","Robusta",L474="Exc", "Excelsa",L474="Ara", "Arabica",L474="Lib", "Liberica")</f>
        <v>Arabica</v>
      </c>
      <c r="R474" t="str" cm="1">
        <f t="array" ref="R474">_xlfn.IFS(M474="M","Medium",M474="L","Light",M474="D","Dark")</f>
        <v>Dark</v>
      </c>
    </row>
    <row r="475" spans="1:18">
      <c r="A475" s="2" t="s">
        <v>989</v>
      </c>
      <c r="B475" s="3">
        <v>44603</v>
      </c>
      <c r="C475" s="9">
        <f>YEAR(Orders_Table[[#This Row],[Order Date]])</f>
        <v>2022</v>
      </c>
      <c r="D475" s="9">
        <f>MONTH(Orders_Table[[#This Row],[Order Date]])</f>
        <v>2</v>
      </c>
      <c r="E475" s="9" t="str" cm="1">
        <f t="array" ref="E4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75" s="2" t="s">
        <v>990</v>
      </c>
      <c r="G475" t="s">
        <v>53</v>
      </c>
      <c r="H475" s="2">
        <v>2</v>
      </c>
      <c r="I475" s="2" t="str" cm="1">
        <f t="array" ref="I475">_xlfn.XLOOKUP(F475,Customers!A474:$A$1001,Customers!B474:$B$1001,"Not Found",0)</f>
        <v>Heloise Zeal</v>
      </c>
      <c r="J475" s="2" t="str" cm="1">
        <f t="array" ref="J475">IF(_xlfn.XLOOKUP(F475,Customers!A474:$A$1001,Customers!C474:$C$1001,"Not Found",0)=0,"",_xlfn.XLOOKUP(F475,Customers!A474:$A$1001,Customers!C474:$C$1001,"Not Found",0))</f>
        <v>hzeald5@google.de</v>
      </c>
      <c r="K475" s="2" t="str" cm="1">
        <f t="array" ref="K475">_xlfn.XLOOKUP(F475,Customers!A474:$A$1001,Customers!G474:$G$1001,"Not Found",0)</f>
        <v>United States</v>
      </c>
      <c r="L475" t="str">
        <f>INDEX(Products!$A$1:$G$49,MATCH(Orders!$G475,Products!$A$1:$A$49,0),MATCH(Orders!L$1,Products!$A$1:$G$1,0))</f>
        <v>Ara</v>
      </c>
      <c r="M475" t="str">
        <f>INDEX(Products!$A$1:$G$49,MATCH(Orders!$G475,Products!$A$1:$A$49,0),MATCH(Orders!M$1,Products!$A$1:$G$1,0))</f>
        <v>L</v>
      </c>
      <c r="N475" s="4">
        <f>INDEX(Products!$A$1:$G$49,MATCH(Orders!$G475,Products!$A$1:$A$49,0),MATCH(Orders!N$1,Products!$A$1:$G$1,0))</f>
        <v>1</v>
      </c>
      <c r="O475" s="7">
        <f>INDEX(Products!$A$1:$G$49,MATCH(Orders!$G475,Products!$A$1:$A$49,0),MATCH(Orders!O$1,Products!$A$1:$G$1,0))</f>
        <v>12.95</v>
      </c>
      <c r="P475" s="7">
        <f t="shared" si="7"/>
        <v>25.9</v>
      </c>
      <c r="Q475" t="str" cm="1">
        <f t="array" ref="Q475">_xlfn.IFS(L475="Rob","Robusta",L475="Exc", "Excelsa",L475="Ara", "Arabica",L475="Lib", "Liberica")</f>
        <v>Arabica</v>
      </c>
      <c r="R475" t="str" cm="1">
        <f t="array" ref="R475">_xlfn.IFS(M475="M","Medium",M475="L","Light",M475="D","Dark")</f>
        <v>Light</v>
      </c>
    </row>
    <row r="476" spans="1:18">
      <c r="A476" s="2" t="s">
        <v>991</v>
      </c>
      <c r="B476" s="3">
        <v>44014</v>
      </c>
      <c r="C476" s="9">
        <f>YEAR(Orders_Table[[#This Row],[Order Date]])</f>
        <v>2020</v>
      </c>
      <c r="D476" s="9">
        <f>MONTH(Orders_Table[[#This Row],[Order Date]])</f>
        <v>7</v>
      </c>
      <c r="E476" s="9" t="str" cm="1">
        <f t="array" ref="E4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76" s="2" t="s">
        <v>992</v>
      </c>
      <c r="G476" t="s">
        <v>159</v>
      </c>
      <c r="H476" s="2">
        <v>1</v>
      </c>
      <c r="I476" s="2" t="str" cm="1">
        <f t="array" ref="I476">_xlfn.XLOOKUP(F476,Customers!A475:$A$1001,Customers!B475:$B$1001,"Not Found",0)</f>
        <v>Granger Smallcombe</v>
      </c>
      <c r="J476" s="2" t="str" cm="1">
        <f t="array" ref="J476">IF(_xlfn.XLOOKUP(F476,Customers!A475:$A$1001,Customers!C475:$C$1001,"Not Found",0)=0,"",_xlfn.XLOOKUP(F476,Customers!A475:$A$1001,Customers!C475:$C$1001,"Not Found",0))</f>
        <v>gsmallcombed6@ucla.edu</v>
      </c>
      <c r="K476" s="2" t="str" cm="1">
        <f t="array" ref="K476">_xlfn.XLOOKUP(F476,Customers!A475:$A$1001,Customers!G475:$G$1001,"Not Found",0)</f>
        <v>Ireland</v>
      </c>
      <c r="L476" t="str">
        <f>INDEX(Products!$A$1:$G$49,MATCH(Orders!$G476,Products!$A$1:$A$49,0),MATCH(Orders!L$1,Products!$A$1:$G$1,0))</f>
        <v>Exc</v>
      </c>
      <c r="M476" t="str">
        <f>INDEX(Products!$A$1:$G$49,MATCH(Orders!$G476,Products!$A$1:$A$49,0),MATCH(Orders!M$1,Products!$A$1:$G$1,0))</f>
        <v>M</v>
      </c>
      <c r="N476" s="4">
        <f>INDEX(Products!$A$1:$G$49,MATCH(Orders!$G476,Products!$A$1:$A$49,0),MATCH(Orders!N$1,Products!$A$1:$G$1,0))</f>
        <v>2.5</v>
      </c>
      <c r="O476" s="7">
        <f>INDEX(Products!$A$1:$G$49,MATCH(Orders!$G476,Products!$A$1:$A$49,0),MATCH(Orders!O$1,Products!$A$1:$G$1,0))</f>
        <v>31.624999999999996</v>
      </c>
      <c r="P476" s="7">
        <f t="shared" si="7"/>
        <v>31.624999999999996</v>
      </c>
      <c r="Q476" t="str" cm="1">
        <f t="array" ref="Q476">_xlfn.IFS(L476="Rob","Robusta",L476="Exc", "Excelsa",L476="Ara", "Arabica",L476="Lib", "Liberica")</f>
        <v>Excelsa</v>
      </c>
      <c r="R476" t="str" cm="1">
        <f t="array" ref="R476">_xlfn.IFS(M476="M","Medium",M476="L","Light",M476="D","Dark")</f>
        <v>Medium</v>
      </c>
    </row>
    <row r="477" spans="1:18">
      <c r="A477" s="2" t="s">
        <v>993</v>
      </c>
      <c r="B477" s="3">
        <v>44767</v>
      </c>
      <c r="C477" s="9">
        <f>YEAR(Orders_Table[[#This Row],[Order Date]])</f>
        <v>2022</v>
      </c>
      <c r="D477" s="9">
        <f>MONTH(Orders_Table[[#This Row],[Order Date]])</f>
        <v>7</v>
      </c>
      <c r="E477" s="9" t="str" cm="1">
        <f t="array" ref="E4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77" s="2" t="s">
        <v>994</v>
      </c>
      <c r="G477" t="s">
        <v>124</v>
      </c>
      <c r="H477" s="2">
        <v>2</v>
      </c>
      <c r="I477" s="2" t="str" cm="1">
        <f t="array" ref="I477">_xlfn.XLOOKUP(F477,Customers!A476:$A$1001,Customers!B476:$B$1001,"Not Found",0)</f>
        <v>Daryn Dibley</v>
      </c>
      <c r="J477" s="2" t="str" cm="1">
        <f t="array" ref="J477">IF(_xlfn.XLOOKUP(F477,Customers!A476:$A$1001,Customers!C476:$C$1001,"Not Found",0)=0,"",_xlfn.XLOOKUP(F477,Customers!A476:$A$1001,Customers!C476:$C$1001,"Not Found",0))</f>
        <v>ddibleyd7@feedburner.com</v>
      </c>
      <c r="K477" s="2" t="str" cm="1">
        <f t="array" ref="K477">_xlfn.XLOOKUP(F477,Customers!A476:$A$1001,Customers!G476:$G$1001,"Not Found",0)</f>
        <v>United States</v>
      </c>
      <c r="L477" t="str">
        <f>INDEX(Products!$A$1:$G$49,MATCH(Orders!$G477,Products!$A$1:$A$49,0),MATCH(Orders!L$1,Products!$A$1:$G$1,0))</f>
        <v>Lib</v>
      </c>
      <c r="M477" t="str">
        <f>INDEX(Products!$A$1:$G$49,MATCH(Orders!$G477,Products!$A$1:$A$49,0),MATCH(Orders!M$1,Products!$A$1:$G$1,0))</f>
        <v>M</v>
      </c>
      <c r="N477" s="4">
        <f>INDEX(Products!$A$1:$G$49,MATCH(Orders!$G477,Products!$A$1:$A$49,0),MATCH(Orders!N$1,Products!$A$1:$G$1,0))</f>
        <v>0.2</v>
      </c>
      <c r="O477" s="7">
        <f>INDEX(Products!$A$1:$G$49,MATCH(Orders!$G477,Products!$A$1:$A$49,0),MATCH(Orders!O$1,Products!$A$1:$G$1,0))</f>
        <v>4.3650000000000002</v>
      </c>
      <c r="P477" s="7">
        <f t="shared" si="7"/>
        <v>8.73</v>
      </c>
      <c r="Q477" t="str" cm="1">
        <f t="array" ref="Q477">_xlfn.IFS(L477="Rob","Robusta",L477="Exc", "Excelsa",L477="Ara", "Arabica",L477="Lib", "Liberica")</f>
        <v>Liberica</v>
      </c>
      <c r="R477" t="str" cm="1">
        <f t="array" ref="R477">_xlfn.IFS(M477="M","Medium",M477="L","Light",M477="D","Dark")</f>
        <v>Medium</v>
      </c>
    </row>
    <row r="478" spans="1:18">
      <c r="A478" s="2" t="s">
        <v>995</v>
      </c>
      <c r="B478" s="3">
        <v>44274</v>
      </c>
      <c r="C478" s="9">
        <f>YEAR(Orders_Table[[#This Row],[Order Date]])</f>
        <v>2021</v>
      </c>
      <c r="D478" s="9">
        <f>MONTH(Orders_Table[[#This Row],[Order Date]])</f>
        <v>3</v>
      </c>
      <c r="E478" s="9" t="str" cm="1">
        <f t="array" ref="E4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478" s="2" t="s">
        <v>996</v>
      </c>
      <c r="G478" t="s">
        <v>301</v>
      </c>
      <c r="H478" s="2">
        <v>6</v>
      </c>
      <c r="I478" s="2" t="str" cm="1">
        <f t="array" ref="I478">_xlfn.XLOOKUP(F478,Customers!A477:$A$1001,Customers!B477:$B$1001,"Not Found",0)</f>
        <v>Gardy Dimitriou</v>
      </c>
      <c r="J478" s="2" t="str" cm="1">
        <f t="array" ref="J478">IF(_xlfn.XLOOKUP(F478,Customers!A477:$A$1001,Customers!C477:$C$1001,"Not Found",0)=0,"",_xlfn.XLOOKUP(F478,Customers!A477:$A$1001,Customers!C477:$C$1001,"Not Found",0))</f>
        <v>gdimitrioud8@chronoengine.com</v>
      </c>
      <c r="K478" s="2" t="str" cm="1">
        <f t="array" ref="K478">_xlfn.XLOOKUP(F478,Customers!A477:$A$1001,Customers!G477:$G$1001,"Not Found",0)</f>
        <v>United States</v>
      </c>
      <c r="L478" t="str">
        <f>INDEX(Products!$A$1:$G$49,MATCH(Orders!$G478,Products!$A$1:$A$49,0),MATCH(Orders!L$1,Products!$A$1:$G$1,0))</f>
        <v>Exc</v>
      </c>
      <c r="M478" t="str">
        <f>INDEX(Products!$A$1:$G$49,MATCH(Orders!$G478,Products!$A$1:$A$49,0),MATCH(Orders!M$1,Products!$A$1:$G$1,0))</f>
        <v>L</v>
      </c>
      <c r="N478" s="4">
        <f>INDEX(Products!$A$1:$G$49,MATCH(Orders!$G478,Products!$A$1:$A$49,0),MATCH(Orders!N$1,Products!$A$1:$G$1,0))</f>
        <v>0.2</v>
      </c>
      <c r="O478" s="7">
        <f>INDEX(Products!$A$1:$G$49,MATCH(Orders!$G478,Products!$A$1:$A$49,0),MATCH(Orders!O$1,Products!$A$1:$G$1,0))</f>
        <v>4.4550000000000001</v>
      </c>
      <c r="P478" s="7">
        <f t="shared" si="7"/>
        <v>26.73</v>
      </c>
      <c r="Q478" t="str" cm="1">
        <f t="array" ref="Q478">_xlfn.IFS(L478="Rob","Robusta",L478="Exc", "Excelsa",L478="Ara", "Arabica",L478="Lib", "Liberica")</f>
        <v>Excelsa</v>
      </c>
      <c r="R478" t="str" cm="1">
        <f t="array" ref="R478">_xlfn.IFS(M478="M","Medium",M478="L","Light",M478="D","Dark")</f>
        <v>Light</v>
      </c>
    </row>
    <row r="479" spans="1:18">
      <c r="A479" s="2" t="s">
        <v>997</v>
      </c>
      <c r="B479" s="3">
        <v>43962</v>
      </c>
      <c r="C479" s="9">
        <f>YEAR(Orders_Table[[#This Row],[Order Date]])</f>
        <v>2020</v>
      </c>
      <c r="D479" s="9">
        <f>MONTH(Orders_Table[[#This Row],[Order Date]])</f>
        <v>5</v>
      </c>
      <c r="E479" s="9" t="str" cm="1">
        <f t="array" ref="E4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79" s="2" t="s">
        <v>998</v>
      </c>
      <c r="G479" t="s">
        <v>124</v>
      </c>
      <c r="H479" s="2">
        <v>6</v>
      </c>
      <c r="I479" s="2" t="str" cm="1">
        <f t="array" ref="I479">_xlfn.XLOOKUP(F479,Customers!A478:$A$1001,Customers!B478:$B$1001,"Not Found",0)</f>
        <v>Fanny Flanagan</v>
      </c>
      <c r="J479" s="2" t="str" cm="1">
        <f t="array" ref="J479">IF(_xlfn.XLOOKUP(F479,Customers!A478:$A$1001,Customers!C478:$C$1001,"Not Found",0)=0,"",_xlfn.XLOOKUP(F479,Customers!A478:$A$1001,Customers!C478:$C$1001,"Not Found",0))</f>
        <v>fflanagand9@woothemes.com</v>
      </c>
      <c r="K479" s="2" t="str" cm="1">
        <f t="array" ref="K479">_xlfn.XLOOKUP(F479,Customers!A478:$A$1001,Customers!G478:$G$1001,"Not Found",0)</f>
        <v>United States</v>
      </c>
      <c r="L479" t="str">
        <f>INDEX(Products!$A$1:$G$49,MATCH(Orders!$G479,Products!$A$1:$A$49,0),MATCH(Orders!L$1,Products!$A$1:$G$1,0))</f>
        <v>Lib</v>
      </c>
      <c r="M479" t="str">
        <f>INDEX(Products!$A$1:$G$49,MATCH(Orders!$G479,Products!$A$1:$A$49,0),MATCH(Orders!M$1,Products!$A$1:$G$1,0))</f>
        <v>M</v>
      </c>
      <c r="N479" s="4">
        <f>INDEX(Products!$A$1:$G$49,MATCH(Orders!$G479,Products!$A$1:$A$49,0),MATCH(Orders!N$1,Products!$A$1:$G$1,0))</f>
        <v>0.2</v>
      </c>
      <c r="O479" s="7">
        <f>INDEX(Products!$A$1:$G$49,MATCH(Orders!$G479,Products!$A$1:$A$49,0),MATCH(Orders!O$1,Products!$A$1:$G$1,0))</f>
        <v>4.3650000000000002</v>
      </c>
      <c r="P479" s="7">
        <f t="shared" si="7"/>
        <v>26.19</v>
      </c>
      <c r="Q479" t="str" cm="1">
        <f t="array" ref="Q479">_xlfn.IFS(L479="Rob","Robusta",L479="Exc", "Excelsa",L479="Ara", "Arabica",L479="Lib", "Liberica")</f>
        <v>Liberica</v>
      </c>
      <c r="R479" t="str" cm="1">
        <f t="array" ref="R479">_xlfn.IFS(M479="M","Medium",M479="L","Light",M479="D","Dark")</f>
        <v>Medium</v>
      </c>
    </row>
    <row r="480" spans="1:18">
      <c r="A480" s="2" t="s">
        <v>999</v>
      </c>
      <c r="B480" s="3">
        <v>43624</v>
      </c>
      <c r="C480" s="9">
        <f>YEAR(Orders_Table[[#This Row],[Order Date]])</f>
        <v>2019</v>
      </c>
      <c r="D480" s="9">
        <f>MONTH(Orders_Table[[#This Row],[Order Date]])</f>
        <v>6</v>
      </c>
      <c r="E480" s="9" t="str" cm="1">
        <f t="array" ref="E4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80" s="2" t="s">
        <v>982</v>
      </c>
      <c r="G480" t="s">
        <v>226</v>
      </c>
      <c r="H480" s="2">
        <v>6</v>
      </c>
      <c r="I480" s="2" t="str" cm="1">
        <f t="array" ref="I480">_xlfn.XLOOKUP(F480,Customers!A479:$A$1001,Customers!B479:$B$1001,"Not Found",0)</f>
        <v>Ailey Brash</v>
      </c>
      <c r="J480" s="2" t="str" cm="1">
        <f t="array" ref="J480">IF(_xlfn.XLOOKUP(F480,Customers!A479:$A$1001,Customers!C479:$C$1001,"Not Found",0)=0,"",_xlfn.XLOOKUP(F480,Customers!A479:$A$1001,Customers!C479:$C$1001,"Not Found",0))</f>
        <v>abrashda@plala.or.jp</v>
      </c>
      <c r="K480" s="2" t="str" cm="1">
        <f t="array" ref="K480">_xlfn.XLOOKUP(F480,Customers!A479:$A$1001,Customers!G479:$G$1001,"Not Found",0)</f>
        <v>United States</v>
      </c>
      <c r="L480" t="str">
        <f>INDEX(Products!$A$1:$G$49,MATCH(Orders!$G480,Products!$A$1:$A$49,0),MATCH(Orders!L$1,Products!$A$1:$G$1,0))</f>
        <v>Rob</v>
      </c>
      <c r="M480" t="str">
        <f>INDEX(Products!$A$1:$G$49,MATCH(Orders!$G480,Products!$A$1:$A$49,0),MATCH(Orders!M$1,Products!$A$1:$G$1,0))</f>
        <v>D</v>
      </c>
      <c r="N480" s="4">
        <f>INDEX(Products!$A$1:$G$49,MATCH(Orders!$G480,Products!$A$1:$A$49,0),MATCH(Orders!N$1,Products!$A$1:$G$1,0))</f>
        <v>1</v>
      </c>
      <c r="O480" s="7">
        <f>INDEX(Products!$A$1:$G$49,MATCH(Orders!$G480,Products!$A$1:$A$49,0),MATCH(Orders!O$1,Products!$A$1:$G$1,0))</f>
        <v>8.9499999999999993</v>
      </c>
      <c r="P480" s="7">
        <f t="shared" si="7"/>
        <v>53.699999999999996</v>
      </c>
      <c r="Q480" t="str" cm="1">
        <f t="array" ref="Q480">_xlfn.IFS(L480="Rob","Robusta",L480="Exc", "Excelsa",L480="Ara", "Arabica",L480="Lib", "Liberica")</f>
        <v>Robusta</v>
      </c>
      <c r="R480" t="str" cm="1">
        <f t="array" ref="R480">_xlfn.IFS(M480="M","Medium",M480="L","Light",M480="D","Dark")</f>
        <v>Dark</v>
      </c>
    </row>
    <row r="481" spans="1:18">
      <c r="A481" s="2" t="s">
        <v>999</v>
      </c>
      <c r="B481" s="3">
        <v>43624</v>
      </c>
      <c r="C481" s="9">
        <f>YEAR(Orders_Table[[#This Row],[Order Date]])</f>
        <v>2019</v>
      </c>
      <c r="D481" s="9">
        <f>MONTH(Orders_Table[[#This Row],[Order Date]])</f>
        <v>6</v>
      </c>
      <c r="E481" s="9" t="str" cm="1">
        <f t="array" ref="E4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81" s="2" t="s">
        <v>982</v>
      </c>
      <c r="G481" t="s">
        <v>159</v>
      </c>
      <c r="H481" s="2">
        <v>4</v>
      </c>
      <c r="I481" s="2" t="str" cm="1">
        <f t="array" ref="I481">_xlfn.XLOOKUP(F481,Customers!A480:$A$1001,Customers!B480:$B$1001,"Not Found",0)</f>
        <v>Ailey Brash</v>
      </c>
      <c r="J481" s="2" t="str" cm="1">
        <f t="array" ref="J481">IF(_xlfn.XLOOKUP(F481,Customers!A480:$A$1001,Customers!C480:$C$1001,"Not Found",0)=0,"",_xlfn.XLOOKUP(F481,Customers!A480:$A$1001,Customers!C480:$C$1001,"Not Found",0))</f>
        <v>abrashda@plala.or.jp</v>
      </c>
      <c r="K481" s="2" t="str" cm="1">
        <f t="array" ref="K481">_xlfn.XLOOKUP(F481,Customers!A480:$A$1001,Customers!G480:$G$1001,"Not Found",0)</f>
        <v>United States</v>
      </c>
      <c r="L481" t="str">
        <f>INDEX(Products!$A$1:$G$49,MATCH(Orders!$G481,Products!$A$1:$A$49,0),MATCH(Orders!L$1,Products!$A$1:$G$1,0))</f>
        <v>Exc</v>
      </c>
      <c r="M481" t="str">
        <f>INDEX(Products!$A$1:$G$49,MATCH(Orders!$G481,Products!$A$1:$A$49,0),MATCH(Orders!M$1,Products!$A$1:$G$1,0))</f>
        <v>M</v>
      </c>
      <c r="N481" s="4">
        <f>INDEX(Products!$A$1:$G$49,MATCH(Orders!$G481,Products!$A$1:$A$49,0),MATCH(Orders!N$1,Products!$A$1:$G$1,0))</f>
        <v>2.5</v>
      </c>
      <c r="O481" s="7">
        <f>INDEX(Products!$A$1:$G$49,MATCH(Orders!$G481,Products!$A$1:$A$49,0),MATCH(Orders!O$1,Products!$A$1:$G$1,0))</f>
        <v>31.624999999999996</v>
      </c>
      <c r="P481" s="7">
        <f t="shared" si="7"/>
        <v>126.49999999999999</v>
      </c>
      <c r="Q481" t="str" cm="1">
        <f t="array" ref="Q481">_xlfn.IFS(L481="Rob","Robusta",L481="Exc", "Excelsa",L481="Ara", "Arabica",L481="Lib", "Liberica")</f>
        <v>Excelsa</v>
      </c>
      <c r="R481" t="str" cm="1">
        <f t="array" ref="R481">_xlfn.IFS(M481="M","Medium",M481="L","Light",M481="D","Dark")</f>
        <v>Medium</v>
      </c>
    </row>
    <row r="482" spans="1:18">
      <c r="A482" s="2" t="s">
        <v>999</v>
      </c>
      <c r="B482" s="3">
        <v>43624</v>
      </c>
      <c r="C482" s="9">
        <f>YEAR(Orders_Table[[#This Row],[Order Date]])</f>
        <v>2019</v>
      </c>
      <c r="D482" s="9">
        <f>MONTH(Orders_Table[[#This Row],[Order Date]])</f>
        <v>6</v>
      </c>
      <c r="E482" s="9" t="str" cm="1">
        <f t="array" ref="E4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82" s="2" t="s">
        <v>982</v>
      </c>
      <c r="G482" t="s">
        <v>111</v>
      </c>
      <c r="H482" s="2">
        <v>1</v>
      </c>
      <c r="I482" s="2" t="str" cm="1">
        <f t="array" ref="I482">_xlfn.XLOOKUP(F482,Customers!A481:$A$1001,Customers!B481:$B$1001,"Not Found",0)</f>
        <v>Not Found</v>
      </c>
      <c r="J482" s="2" t="str" cm="1">
        <f t="array" ref="J482">IF(_xlfn.XLOOKUP(F482,Customers!A481:$A$1001,Customers!C481:$C$1001,"Not Found",0)=0,"",_xlfn.XLOOKUP(F482,Customers!A481:$A$1001,Customers!C481:$C$1001,"Not Found",0))</f>
        <v>Not Found</v>
      </c>
      <c r="K482" s="2" t="str" cm="1">
        <f t="array" ref="K482">_xlfn.XLOOKUP(F482,Customers!A481:$A$1001,Customers!G481:$G$1001,"Not Found",0)</f>
        <v>Not Found</v>
      </c>
      <c r="L482" t="str">
        <f>INDEX(Products!$A$1:$G$49,MATCH(Orders!$G482,Products!$A$1:$A$49,0),MATCH(Orders!L$1,Products!$A$1:$G$1,0))</f>
        <v>Exc</v>
      </c>
      <c r="M482" t="str">
        <f>INDEX(Products!$A$1:$G$49,MATCH(Orders!$G482,Products!$A$1:$A$49,0),MATCH(Orders!M$1,Products!$A$1:$G$1,0))</f>
        <v>M</v>
      </c>
      <c r="N482" s="4">
        <f>INDEX(Products!$A$1:$G$49,MATCH(Orders!$G482,Products!$A$1:$A$49,0),MATCH(Orders!N$1,Products!$A$1:$G$1,0))</f>
        <v>0.2</v>
      </c>
      <c r="O482" s="7">
        <f>INDEX(Products!$A$1:$G$49,MATCH(Orders!$G482,Products!$A$1:$A$49,0),MATCH(Orders!O$1,Products!$A$1:$G$1,0))</f>
        <v>4.125</v>
      </c>
      <c r="P482" s="7">
        <f t="shared" si="7"/>
        <v>4.125</v>
      </c>
      <c r="Q482" t="str" cm="1">
        <f t="array" ref="Q482">_xlfn.IFS(L482="Rob","Robusta",L482="Exc", "Excelsa",L482="Ara", "Arabica",L482="Lib", "Liberica")</f>
        <v>Excelsa</v>
      </c>
      <c r="R482" t="str" cm="1">
        <f t="array" ref="R482">_xlfn.IFS(M482="M","Medium",M482="L","Light",M482="D","Dark")</f>
        <v>Medium</v>
      </c>
    </row>
    <row r="483" spans="1:18">
      <c r="A483" s="2" t="s">
        <v>1000</v>
      </c>
      <c r="B483" s="3">
        <v>43747</v>
      </c>
      <c r="C483" s="9">
        <f>YEAR(Orders_Table[[#This Row],[Order Date]])</f>
        <v>2019</v>
      </c>
      <c r="D483" s="9">
        <f>MONTH(Orders_Table[[#This Row],[Order Date]])</f>
        <v>10</v>
      </c>
      <c r="E483" s="9" t="str" cm="1">
        <f t="array" ref="E4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83" s="2" t="s">
        <v>1001</v>
      </c>
      <c r="G483" t="s">
        <v>236</v>
      </c>
      <c r="H483" s="2">
        <v>2</v>
      </c>
      <c r="I483" s="2" t="str" cm="1">
        <f t="array" ref="I483">_xlfn.XLOOKUP(F483,Customers!A482:$A$1001,Customers!B482:$B$1001,"Not Found",0)</f>
        <v>Nanny Izhakov</v>
      </c>
      <c r="J483" s="2" t="str" cm="1">
        <f t="array" ref="J483">IF(_xlfn.XLOOKUP(F483,Customers!A482:$A$1001,Customers!C482:$C$1001,"Not Found",0)=0,"",_xlfn.XLOOKUP(F483,Customers!A482:$A$1001,Customers!C482:$C$1001,"Not Found",0))</f>
        <v>nizhakovdd@aol.com</v>
      </c>
      <c r="K483" s="2" t="str" cm="1">
        <f t="array" ref="K483">_xlfn.XLOOKUP(F483,Customers!A482:$A$1001,Customers!G482:$G$1001,"Not Found",0)</f>
        <v>United Kingdom</v>
      </c>
      <c r="L483" t="str">
        <f>INDEX(Products!$A$1:$G$49,MATCH(Orders!$G483,Products!$A$1:$A$49,0),MATCH(Orders!L$1,Products!$A$1:$G$1,0))</f>
        <v>Rob</v>
      </c>
      <c r="M483" t="str">
        <f>INDEX(Products!$A$1:$G$49,MATCH(Orders!$G483,Products!$A$1:$A$49,0),MATCH(Orders!M$1,Products!$A$1:$G$1,0))</f>
        <v>L</v>
      </c>
      <c r="N483" s="4">
        <f>INDEX(Products!$A$1:$G$49,MATCH(Orders!$G483,Products!$A$1:$A$49,0),MATCH(Orders!N$1,Products!$A$1:$G$1,0))</f>
        <v>1</v>
      </c>
      <c r="O483" s="7">
        <f>INDEX(Products!$A$1:$G$49,MATCH(Orders!$G483,Products!$A$1:$A$49,0),MATCH(Orders!O$1,Products!$A$1:$G$1,0))</f>
        <v>11.95</v>
      </c>
      <c r="P483" s="7">
        <f t="shared" si="7"/>
        <v>23.9</v>
      </c>
      <c r="Q483" t="str" cm="1">
        <f t="array" ref="Q483">_xlfn.IFS(L483="Rob","Robusta",L483="Exc", "Excelsa",L483="Ara", "Arabica",L483="Lib", "Liberica")</f>
        <v>Robusta</v>
      </c>
      <c r="R483" t="str" cm="1">
        <f t="array" ref="R483">_xlfn.IFS(M483="M","Medium",M483="L","Light",M483="D","Dark")</f>
        <v>Light</v>
      </c>
    </row>
    <row r="484" spans="1:18">
      <c r="A484" s="2" t="s">
        <v>1002</v>
      </c>
      <c r="B484" s="3">
        <v>44247</v>
      </c>
      <c r="C484" s="9">
        <f>YEAR(Orders_Table[[#This Row],[Order Date]])</f>
        <v>2021</v>
      </c>
      <c r="D484" s="9">
        <f>MONTH(Orders_Table[[#This Row],[Order Date]])</f>
        <v>2</v>
      </c>
      <c r="E484" s="9" t="str" cm="1">
        <f t="array" ref="E4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84" s="2" t="s">
        <v>1003</v>
      </c>
      <c r="G484" t="s">
        <v>577</v>
      </c>
      <c r="H484" s="2">
        <v>5</v>
      </c>
      <c r="I484" s="2" t="str" cm="1">
        <f t="array" ref="I484">_xlfn.XLOOKUP(F484,Customers!A483:$A$1001,Customers!B483:$B$1001,"Not Found",0)</f>
        <v>Stanly Keets</v>
      </c>
      <c r="J484" s="2" t="str" cm="1">
        <f t="array" ref="J484">IF(_xlfn.XLOOKUP(F484,Customers!A483:$A$1001,Customers!C483:$C$1001,"Not Found",0)=0,"",_xlfn.XLOOKUP(F484,Customers!A483:$A$1001,Customers!C483:$C$1001,"Not Found",0))</f>
        <v>skeetsde@answers.com</v>
      </c>
      <c r="K484" s="2" t="str" cm="1">
        <f t="array" ref="K484">_xlfn.XLOOKUP(F484,Customers!A483:$A$1001,Customers!G483:$G$1001,"Not Found",0)</f>
        <v>United States</v>
      </c>
      <c r="L484" t="str">
        <f>INDEX(Products!$A$1:$G$49,MATCH(Orders!$G484,Products!$A$1:$A$49,0),MATCH(Orders!L$1,Products!$A$1:$G$1,0))</f>
        <v>Exc</v>
      </c>
      <c r="M484" t="str">
        <f>INDEX(Products!$A$1:$G$49,MATCH(Orders!$G484,Products!$A$1:$A$49,0),MATCH(Orders!M$1,Products!$A$1:$G$1,0))</f>
        <v>D</v>
      </c>
      <c r="N484" s="4">
        <f>INDEX(Products!$A$1:$G$49,MATCH(Orders!$G484,Products!$A$1:$A$49,0),MATCH(Orders!N$1,Products!$A$1:$G$1,0))</f>
        <v>2.5</v>
      </c>
      <c r="O484" s="7">
        <f>INDEX(Products!$A$1:$G$49,MATCH(Orders!$G484,Products!$A$1:$A$49,0),MATCH(Orders!O$1,Products!$A$1:$G$1,0))</f>
        <v>27.945</v>
      </c>
      <c r="P484" s="7">
        <f t="shared" si="7"/>
        <v>139.72499999999999</v>
      </c>
      <c r="Q484" t="str" cm="1">
        <f t="array" ref="Q484">_xlfn.IFS(L484="Rob","Robusta",L484="Exc", "Excelsa",L484="Ara", "Arabica",L484="Lib", "Liberica")</f>
        <v>Excelsa</v>
      </c>
      <c r="R484" t="str" cm="1">
        <f t="array" ref="R484">_xlfn.IFS(M484="M","Medium",M484="L","Light",M484="D","Dark")</f>
        <v>Dark</v>
      </c>
    </row>
    <row r="485" spans="1:18">
      <c r="A485" s="2" t="s">
        <v>1004</v>
      </c>
      <c r="B485" s="3">
        <v>43790</v>
      </c>
      <c r="C485" s="9">
        <f>YEAR(Orders_Table[[#This Row],[Order Date]])</f>
        <v>2019</v>
      </c>
      <c r="D485" s="9">
        <f>MONTH(Orders_Table[[#This Row],[Order Date]])</f>
        <v>11</v>
      </c>
      <c r="E485" s="9" t="str" cm="1">
        <f t="array" ref="E4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485" s="2" t="s">
        <v>1005</v>
      </c>
      <c r="G485" t="s">
        <v>156</v>
      </c>
      <c r="H485" s="2">
        <v>2</v>
      </c>
      <c r="I485" s="2" t="str" cm="1">
        <f t="array" ref="I485">_xlfn.XLOOKUP(F485,Customers!A484:$A$1001,Customers!B484:$B$1001,"Not Found",0)</f>
        <v>Orion Dyott</v>
      </c>
      <c r="J485" s="2" t="str" cm="1">
        <f t="array" ref="J485">IF(_xlfn.XLOOKUP(F485,Customers!A484:$A$1001,Customers!C484:$C$1001,"Not Found",0)=0,"",_xlfn.XLOOKUP(F485,Customers!A484:$A$1001,Customers!C484:$C$1001,"Not Found",0))</f>
        <v/>
      </c>
      <c r="K485" s="2" t="str" cm="1">
        <f t="array" ref="K485">_xlfn.XLOOKUP(F485,Customers!A484:$A$1001,Customers!G484:$G$1001,"Not Found",0)</f>
        <v>United States</v>
      </c>
      <c r="L485" t="str">
        <f>INDEX(Products!$A$1:$G$49,MATCH(Orders!$G485,Products!$A$1:$A$49,0),MATCH(Orders!L$1,Products!$A$1:$G$1,0))</f>
        <v>Lib</v>
      </c>
      <c r="M485" t="str">
        <f>INDEX(Products!$A$1:$G$49,MATCH(Orders!$G485,Products!$A$1:$A$49,0),MATCH(Orders!M$1,Products!$A$1:$G$1,0))</f>
        <v>D</v>
      </c>
      <c r="N485" s="4">
        <f>INDEX(Products!$A$1:$G$49,MATCH(Orders!$G485,Products!$A$1:$A$49,0),MATCH(Orders!N$1,Products!$A$1:$G$1,0))</f>
        <v>2.5</v>
      </c>
      <c r="O485" s="7">
        <f>INDEX(Products!$A$1:$G$49,MATCH(Orders!$G485,Products!$A$1:$A$49,0),MATCH(Orders!O$1,Products!$A$1:$G$1,0))</f>
        <v>29.784999999999997</v>
      </c>
      <c r="P485" s="7">
        <f t="shared" si="7"/>
        <v>59.569999999999993</v>
      </c>
      <c r="Q485" t="str" cm="1">
        <f t="array" ref="Q485">_xlfn.IFS(L485="Rob","Robusta",L485="Exc", "Excelsa",L485="Ara", "Arabica",L485="Lib", "Liberica")</f>
        <v>Liberica</v>
      </c>
      <c r="R485" t="str" cm="1">
        <f t="array" ref="R485">_xlfn.IFS(M485="M","Medium",M485="L","Light",M485="D","Dark")</f>
        <v>Dark</v>
      </c>
    </row>
    <row r="486" spans="1:18">
      <c r="A486" s="2" t="s">
        <v>1006</v>
      </c>
      <c r="B486" s="3">
        <v>44479</v>
      </c>
      <c r="C486" s="9">
        <f>YEAR(Orders_Table[[#This Row],[Order Date]])</f>
        <v>2021</v>
      </c>
      <c r="D486" s="9">
        <f>MONTH(Orders_Table[[#This Row],[Order Date]])</f>
        <v>10</v>
      </c>
      <c r="E486" s="9" t="str" cm="1">
        <f t="array" ref="E4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86" s="2" t="s">
        <v>1007</v>
      </c>
      <c r="G486" t="s">
        <v>130</v>
      </c>
      <c r="H486" s="2">
        <v>6</v>
      </c>
      <c r="I486" s="2" t="str" cm="1">
        <f t="array" ref="I486">_xlfn.XLOOKUP(F486,Customers!A485:$A$1001,Customers!B485:$B$1001,"Not Found",0)</f>
        <v>Keefer Cake</v>
      </c>
      <c r="J486" s="2" t="str" cm="1">
        <f t="array" ref="J486">IF(_xlfn.XLOOKUP(F486,Customers!A485:$A$1001,Customers!C485:$C$1001,"Not Found",0)=0,"",_xlfn.XLOOKUP(F486,Customers!A485:$A$1001,Customers!C485:$C$1001,"Not Found",0))</f>
        <v>kcakedg@huffingtonpost.com</v>
      </c>
      <c r="K486" s="2" t="str" cm="1">
        <f t="array" ref="K486">_xlfn.XLOOKUP(F486,Customers!A485:$A$1001,Customers!G485:$G$1001,"Not Found",0)</f>
        <v>United States</v>
      </c>
      <c r="L486" t="str">
        <f>INDEX(Products!$A$1:$G$49,MATCH(Orders!$G486,Products!$A$1:$A$49,0),MATCH(Orders!L$1,Products!$A$1:$G$1,0))</f>
        <v>Lib</v>
      </c>
      <c r="M486" t="str">
        <f>INDEX(Products!$A$1:$G$49,MATCH(Orders!$G486,Products!$A$1:$A$49,0),MATCH(Orders!M$1,Products!$A$1:$G$1,0))</f>
        <v>L</v>
      </c>
      <c r="N486" s="4">
        <f>INDEX(Products!$A$1:$G$49,MATCH(Orders!$G486,Products!$A$1:$A$49,0),MATCH(Orders!N$1,Products!$A$1:$G$1,0))</f>
        <v>0.5</v>
      </c>
      <c r="O486" s="7">
        <f>INDEX(Products!$A$1:$G$49,MATCH(Orders!$G486,Products!$A$1:$A$49,0),MATCH(Orders!O$1,Products!$A$1:$G$1,0))</f>
        <v>9.51</v>
      </c>
      <c r="P486" s="7">
        <f t="shared" si="7"/>
        <v>57.06</v>
      </c>
      <c r="Q486" t="str" cm="1">
        <f t="array" ref="Q486">_xlfn.IFS(L486="Rob","Robusta",L486="Exc", "Excelsa",L486="Ara", "Arabica",L486="Lib", "Liberica")</f>
        <v>Liberica</v>
      </c>
      <c r="R486" t="str" cm="1">
        <f t="array" ref="R486">_xlfn.IFS(M486="M","Medium",M486="L","Light",M486="D","Dark")</f>
        <v>Light</v>
      </c>
    </row>
    <row r="487" spans="1:18">
      <c r="A487" s="2" t="s">
        <v>1008</v>
      </c>
      <c r="B487" s="3">
        <v>44413</v>
      </c>
      <c r="C487" s="9">
        <f>YEAR(Orders_Table[[#This Row],[Order Date]])</f>
        <v>2021</v>
      </c>
      <c r="D487" s="9">
        <f>MONTH(Orders_Table[[#This Row],[Order Date]])</f>
        <v>8</v>
      </c>
      <c r="E487" s="9" t="str" cm="1">
        <f t="array" ref="E4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87" s="2" t="s">
        <v>1009</v>
      </c>
      <c r="G487" t="s">
        <v>229</v>
      </c>
      <c r="H487" s="2">
        <v>6</v>
      </c>
      <c r="I487" s="2" t="str" cm="1">
        <f t="array" ref="I487">_xlfn.XLOOKUP(F487,Customers!A486:$A$1001,Customers!B486:$B$1001,"Not Found",0)</f>
        <v>Morna Hansed</v>
      </c>
      <c r="J487" s="2" t="str" cm="1">
        <f t="array" ref="J487">IF(_xlfn.XLOOKUP(F487,Customers!A486:$A$1001,Customers!C486:$C$1001,"Not Found",0)=0,"",_xlfn.XLOOKUP(F487,Customers!A486:$A$1001,Customers!C486:$C$1001,"Not Found",0))</f>
        <v>mhanseddh@instagram.com</v>
      </c>
      <c r="K487" s="2" t="str" cm="1">
        <f t="array" ref="K487">_xlfn.XLOOKUP(F487,Customers!A486:$A$1001,Customers!G486:$G$1001,"Not Found",0)</f>
        <v>Ireland</v>
      </c>
      <c r="L487" t="str">
        <f>INDEX(Products!$A$1:$G$49,MATCH(Orders!$G487,Products!$A$1:$A$49,0),MATCH(Orders!L$1,Products!$A$1:$G$1,0))</f>
        <v>Rob</v>
      </c>
      <c r="M487" t="str">
        <f>INDEX(Products!$A$1:$G$49,MATCH(Orders!$G487,Products!$A$1:$A$49,0),MATCH(Orders!M$1,Products!$A$1:$G$1,0))</f>
        <v>L</v>
      </c>
      <c r="N487" s="4">
        <f>INDEX(Products!$A$1:$G$49,MATCH(Orders!$G487,Products!$A$1:$A$49,0),MATCH(Orders!N$1,Products!$A$1:$G$1,0))</f>
        <v>0.2</v>
      </c>
      <c r="O487" s="7">
        <f>INDEX(Products!$A$1:$G$49,MATCH(Orders!$G487,Products!$A$1:$A$49,0),MATCH(Orders!O$1,Products!$A$1:$G$1,0))</f>
        <v>3.5849999999999995</v>
      </c>
      <c r="P487" s="7">
        <f t="shared" si="7"/>
        <v>21.509999999999998</v>
      </c>
      <c r="Q487" t="str" cm="1">
        <f t="array" ref="Q487">_xlfn.IFS(L487="Rob","Robusta",L487="Exc", "Excelsa",L487="Ara", "Arabica",L487="Lib", "Liberica")</f>
        <v>Robusta</v>
      </c>
      <c r="R487" t="str" cm="1">
        <f t="array" ref="R487">_xlfn.IFS(M487="M","Medium",M487="L","Light",M487="D","Dark")</f>
        <v>Light</v>
      </c>
    </row>
    <row r="488" spans="1:18">
      <c r="A488" s="2" t="s">
        <v>1010</v>
      </c>
      <c r="B488" s="3">
        <v>44043</v>
      </c>
      <c r="C488" s="9">
        <f>YEAR(Orders_Table[[#This Row],[Order Date]])</f>
        <v>2020</v>
      </c>
      <c r="D488" s="9">
        <f>MONTH(Orders_Table[[#This Row],[Order Date]])</f>
        <v>7</v>
      </c>
      <c r="E488" s="9" t="str" cm="1">
        <f t="array" ref="E4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88" s="2" t="s">
        <v>1011</v>
      </c>
      <c r="G488" t="s">
        <v>125</v>
      </c>
      <c r="H488" s="2">
        <v>6</v>
      </c>
      <c r="I488" s="2" t="str" cm="1">
        <f t="array" ref="I488">_xlfn.XLOOKUP(F488,Customers!A487:$A$1001,Customers!B487:$B$1001,"Not Found",0)</f>
        <v>Franny Kienlein</v>
      </c>
      <c r="J488" s="2" t="str" cm="1">
        <f t="array" ref="J488">IF(_xlfn.XLOOKUP(F488,Customers!A487:$A$1001,Customers!C487:$C$1001,"Not Found",0)=0,"",_xlfn.XLOOKUP(F488,Customers!A487:$A$1001,Customers!C487:$C$1001,"Not Found",0))</f>
        <v>fkienleindi@trellian.com</v>
      </c>
      <c r="K488" s="2" t="str" cm="1">
        <f t="array" ref="K488">_xlfn.XLOOKUP(F488,Customers!A487:$A$1001,Customers!G487:$G$1001,"Not Found",0)</f>
        <v>Ireland</v>
      </c>
      <c r="L488" t="str">
        <f>INDEX(Products!$A$1:$G$49,MATCH(Orders!$G488,Products!$A$1:$A$49,0),MATCH(Orders!L$1,Products!$A$1:$G$1,0))</f>
        <v>Lib</v>
      </c>
      <c r="M488" t="str">
        <f>INDEX(Products!$A$1:$G$49,MATCH(Orders!$G488,Products!$A$1:$A$49,0),MATCH(Orders!M$1,Products!$A$1:$G$1,0))</f>
        <v>M</v>
      </c>
      <c r="N488" s="4">
        <f>INDEX(Products!$A$1:$G$49,MATCH(Orders!$G488,Products!$A$1:$A$49,0),MATCH(Orders!N$1,Products!$A$1:$G$1,0))</f>
        <v>0.5</v>
      </c>
      <c r="O488" s="7">
        <f>INDEX(Products!$A$1:$G$49,MATCH(Orders!$G488,Products!$A$1:$A$49,0),MATCH(Orders!O$1,Products!$A$1:$G$1,0))</f>
        <v>8.73</v>
      </c>
      <c r="P488" s="7">
        <f t="shared" si="7"/>
        <v>52.38</v>
      </c>
      <c r="Q488" t="str" cm="1">
        <f t="array" ref="Q488">_xlfn.IFS(L488="Rob","Robusta",L488="Exc", "Excelsa",L488="Ara", "Arabica",L488="Lib", "Liberica")</f>
        <v>Liberica</v>
      </c>
      <c r="R488" t="str" cm="1">
        <f t="array" ref="R488">_xlfn.IFS(M488="M","Medium",M488="L","Light",M488="D","Dark")</f>
        <v>Medium</v>
      </c>
    </row>
    <row r="489" spans="1:18">
      <c r="A489" s="2" t="s">
        <v>1012</v>
      </c>
      <c r="B489" s="3">
        <v>44093</v>
      </c>
      <c r="C489" s="9">
        <f>YEAR(Orders_Table[[#This Row],[Order Date]])</f>
        <v>2020</v>
      </c>
      <c r="D489" s="9">
        <f>MONTH(Orders_Table[[#This Row],[Order Date]])</f>
        <v>9</v>
      </c>
      <c r="E489" s="9" t="str" cm="1">
        <f t="array" ref="E4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89" s="2" t="s">
        <v>1013</v>
      </c>
      <c r="G489" t="s">
        <v>292</v>
      </c>
      <c r="H489" s="2">
        <v>6</v>
      </c>
      <c r="I489" s="2" t="str" cm="1">
        <f t="array" ref="I489">_xlfn.XLOOKUP(F489,Customers!A488:$A$1001,Customers!B488:$B$1001,"Not Found",0)</f>
        <v>Klarika Egglestone</v>
      </c>
      <c r="J489" s="2" t="str" cm="1">
        <f t="array" ref="J489">IF(_xlfn.XLOOKUP(F489,Customers!A488:$A$1001,Customers!C488:$C$1001,"Not Found",0)=0,"",_xlfn.XLOOKUP(F489,Customers!A488:$A$1001,Customers!C488:$C$1001,"Not Found",0))</f>
        <v>kegglestonedj@sphinn.com</v>
      </c>
      <c r="K489" s="2" t="str" cm="1">
        <f t="array" ref="K489">_xlfn.XLOOKUP(F489,Customers!A488:$A$1001,Customers!G488:$G$1001,"Not Found",0)</f>
        <v>Ireland</v>
      </c>
      <c r="L489" t="str">
        <f>INDEX(Products!$A$1:$G$49,MATCH(Orders!$G489,Products!$A$1:$A$49,0),MATCH(Orders!L$1,Products!$A$1:$G$1,0))</f>
        <v>Exc</v>
      </c>
      <c r="M489" t="str">
        <f>INDEX(Products!$A$1:$G$49,MATCH(Orders!$G489,Products!$A$1:$A$49,0),MATCH(Orders!M$1,Products!$A$1:$G$1,0))</f>
        <v>D</v>
      </c>
      <c r="N489" s="4">
        <f>INDEX(Products!$A$1:$G$49,MATCH(Orders!$G489,Products!$A$1:$A$49,0),MATCH(Orders!N$1,Products!$A$1:$G$1,0))</f>
        <v>1</v>
      </c>
      <c r="O489" s="7">
        <f>INDEX(Products!$A$1:$G$49,MATCH(Orders!$G489,Products!$A$1:$A$49,0),MATCH(Orders!O$1,Products!$A$1:$G$1,0))</f>
        <v>12.15</v>
      </c>
      <c r="P489" s="7">
        <f t="shared" si="7"/>
        <v>72.900000000000006</v>
      </c>
      <c r="Q489" t="str" cm="1">
        <f t="array" ref="Q489">_xlfn.IFS(L489="Rob","Robusta",L489="Exc", "Excelsa",L489="Ara", "Arabica",L489="Lib", "Liberica")</f>
        <v>Excelsa</v>
      </c>
      <c r="R489" t="str" cm="1">
        <f t="array" ref="R489">_xlfn.IFS(M489="M","Medium",M489="L","Light",M489="D","Dark")</f>
        <v>Dark</v>
      </c>
    </row>
    <row r="490" spans="1:18">
      <c r="A490" s="2" t="s">
        <v>1014</v>
      </c>
      <c r="B490" s="3">
        <v>43954</v>
      </c>
      <c r="C490" s="9">
        <f>YEAR(Orders_Table[[#This Row],[Order Date]])</f>
        <v>2020</v>
      </c>
      <c r="D490" s="9">
        <f>MONTH(Orders_Table[[#This Row],[Order Date]])</f>
        <v>5</v>
      </c>
      <c r="E490" s="9" t="str" cm="1">
        <f t="array" ref="E4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490" s="2" t="s">
        <v>1015</v>
      </c>
      <c r="G490" t="s">
        <v>209</v>
      </c>
      <c r="H490" s="2">
        <v>5</v>
      </c>
      <c r="I490" s="2" t="str" cm="1">
        <f t="array" ref="I490">_xlfn.XLOOKUP(F490,Customers!A489:$A$1001,Customers!B489:$B$1001,"Not Found",0)</f>
        <v>Becky Semkins</v>
      </c>
      <c r="J490" s="2" t="str" cm="1">
        <f t="array" ref="J490">IF(_xlfn.XLOOKUP(F490,Customers!A489:$A$1001,Customers!C489:$C$1001,"Not Found",0)=0,"",_xlfn.XLOOKUP(F490,Customers!A489:$A$1001,Customers!C489:$C$1001,"Not Found",0))</f>
        <v>bsemkinsdk@unc.edu</v>
      </c>
      <c r="K490" s="2" t="str" cm="1">
        <f t="array" ref="K490">_xlfn.XLOOKUP(F490,Customers!A489:$A$1001,Customers!G489:$G$1001,"Not Found",0)</f>
        <v>Ireland</v>
      </c>
      <c r="L490" t="str">
        <f>INDEX(Products!$A$1:$G$49,MATCH(Orders!$G490,Products!$A$1:$A$49,0),MATCH(Orders!L$1,Products!$A$1:$G$1,0))</f>
        <v>Rob</v>
      </c>
      <c r="M490" t="str">
        <f>INDEX(Products!$A$1:$G$49,MATCH(Orders!$G490,Products!$A$1:$A$49,0),MATCH(Orders!M$1,Products!$A$1:$G$1,0))</f>
        <v>M</v>
      </c>
      <c r="N490" s="4">
        <f>INDEX(Products!$A$1:$G$49,MATCH(Orders!$G490,Products!$A$1:$A$49,0),MATCH(Orders!N$1,Products!$A$1:$G$1,0))</f>
        <v>0.2</v>
      </c>
      <c r="O490" s="7">
        <f>INDEX(Products!$A$1:$G$49,MATCH(Orders!$G490,Products!$A$1:$A$49,0),MATCH(Orders!O$1,Products!$A$1:$G$1,0))</f>
        <v>2.9849999999999999</v>
      </c>
      <c r="P490" s="7">
        <f t="shared" si="7"/>
        <v>14.924999999999999</v>
      </c>
      <c r="Q490" t="str" cm="1">
        <f t="array" ref="Q490">_xlfn.IFS(L490="Rob","Robusta",L490="Exc", "Excelsa",L490="Ara", "Arabica",L490="Lib", "Liberica")</f>
        <v>Robusta</v>
      </c>
      <c r="R490" t="str" cm="1">
        <f t="array" ref="R490">_xlfn.IFS(M490="M","Medium",M490="L","Light",M490="D","Dark")</f>
        <v>Medium</v>
      </c>
    </row>
    <row r="491" spans="1:18">
      <c r="A491" s="2" t="s">
        <v>1016</v>
      </c>
      <c r="B491" s="3">
        <v>43654</v>
      </c>
      <c r="C491" s="9">
        <f>YEAR(Orders_Table[[#This Row],[Order Date]])</f>
        <v>2019</v>
      </c>
      <c r="D491" s="9">
        <f>MONTH(Orders_Table[[#This Row],[Order Date]])</f>
        <v>7</v>
      </c>
      <c r="E491" s="9" t="str" cm="1">
        <f t="array" ref="E4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491" s="2" t="s">
        <v>1017</v>
      </c>
      <c r="G491" t="s">
        <v>179</v>
      </c>
      <c r="H491" s="2">
        <v>6</v>
      </c>
      <c r="I491" s="2" t="str" cm="1">
        <f t="array" ref="I491">_xlfn.XLOOKUP(F491,Customers!A490:$A$1001,Customers!B490:$B$1001,"Not Found",0)</f>
        <v>Sean Lorenzetti</v>
      </c>
      <c r="J491" s="2" t="str" cm="1">
        <f t="array" ref="J491">IF(_xlfn.XLOOKUP(F491,Customers!A490:$A$1001,Customers!C490:$C$1001,"Not Found",0)=0,"",_xlfn.XLOOKUP(F491,Customers!A490:$A$1001,Customers!C490:$C$1001,"Not Found",0))</f>
        <v>slorenzettidl@is.gd</v>
      </c>
      <c r="K491" s="2" t="str" cm="1">
        <f t="array" ref="K491">_xlfn.XLOOKUP(F491,Customers!A490:$A$1001,Customers!G490:$G$1001,"Not Found",0)</f>
        <v>United States</v>
      </c>
      <c r="L491" t="str">
        <f>INDEX(Products!$A$1:$G$49,MATCH(Orders!$G491,Products!$A$1:$A$49,0),MATCH(Orders!L$1,Products!$A$1:$G$1,0))</f>
        <v>Lib</v>
      </c>
      <c r="M491" t="str">
        <f>INDEX(Products!$A$1:$G$49,MATCH(Orders!$G491,Products!$A$1:$A$49,0),MATCH(Orders!M$1,Products!$A$1:$G$1,0))</f>
        <v>L</v>
      </c>
      <c r="N491" s="4">
        <f>INDEX(Products!$A$1:$G$49,MATCH(Orders!$G491,Products!$A$1:$A$49,0),MATCH(Orders!N$1,Products!$A$1:$G$1,0))</f>
        <v>1</v>
      </c>
      <c r="O491" s="7">
        <f>INDEX(Products!$A$1:$G$49,MATCH(Orders!$G491,Products!$A$1:$A$49,0),MATCH(Orders!O$1,Products!$A$1:$G$1,0))</f>
        <v>15.85</v>
      </c>
      <c r="P491" s="7">
        <f t="shared" si="7"/>
        <v>95.1</v>
      </c>
      <c r="Q491" t="str" cm="1">
        <f t="array" ref="Q491">_xlfn.IFS(L491="Rob","Robusta",L491="Exc", "Excelsa",L491="Ara", "Arabica",L491="Lib", "Liberica")</f>
        <v>Liberica</v>
      </c>
      <c r="R491" t="str" cm="1">
        <f t="array" ref="R491">_xlfn.IFS(M491="M","Medium",M491="L","Light",M491="D","Dark")</f>
        <v>Light</v>
      </c>
    </row>
    <row r="492" spans="1:18">
      <c r="A492" s="2" t="s">
        <v>1018</v>
      </c>
      <c r="B492" s="3">
        <v>43764</v>
      </c>
      <c r="C492" s="9">
        <f>YEAR(Orders_Table[[#This Row],[Order Date]])</f>
        <v>2019</v>
      </c>
      <c r="D492" s="9">
        <f>MONTH(Orders_Table[[#This Row],[Order Date]])</f>
        <v>10</v>
      </c>
      <c r="E492" s="9" t="str" cm="1">
        <f t="array" ref="E4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92" s="2" t="s">
        <v>1019</v>
      </c>
      <c r="G492" t="s">
        <v>170</v>
      </c>
      <c r="H492" s="2">
        <v>2</v>
      </c>
      <c r="I492" s="2" t="str" cm="1">
        <f t="array" ref="I492">_xlfn.XLOOKUP(F492,Customers!A491:$A$1001,Customers!B491:$B$1001,"Not Found",0)</f>
        <v>Bob Giannazzi</v>
      </c>
      <c r="J492" s="2" t="str" cm="1">
        <f t="array" ref="J492">IF(_xlfn.XLOOKUP(F492,Customers!A491:$A$1001,Customers!C491:$C$1001,"Not Found",0)=0,"",_xlfn.XLOOKUP(F492,Customers!A491:$A$1001,Customers!C491:$C$1001,"Not Found",0))</f>
        <v>bgiannazzidm@apple.com</v>
      </c>
      <c r="K492" s="2" t="str" cm="1">
        <f t="array" ref="K492">_xlfn.XLOOKUP(F492,Customers!A491:$A$1001,Customers!G491:$G$1001,"Not Found",0)</f>
        <v>United States</v>
      </c>
      <c r="L492" t="str">
        <f>INDEX(Products!$A$1:$G$49,MATCH(Orders!$G492,Products!$A$1:$A$49,0),MATCH(Orders!L$1,Products!$A$1:$G$1,0))</f>
        <v>Lib</v>
      </c>
      <c r="M492" t="str">
        <f>INDEX(Products!$A$1:$G$49,MATCH(Orders!$G492,Products!$A$1:$A$49,0),MATCH(Orders!M$1,Products!$A$1:$G$1,0))</f>
        <v>D</v>
      </c>
      <c r="N492" s="4">
        <f>INDEX(Products!$A$1:$G$49,MATCH(Orders!$G492,Products!$A$1:$A$49,0),MATCH(Orders!N$1,Products!$A$1:$G$1,0))</f>
        <v>0.5</v>
      </c>
      <c r="O492" s="7">
        <f>INDEX(Products!$A$1:$G$49,MATCH(Orders!$G492,Products!$A$1:$A$49,0),MATCH(Orders!O$1,Products!$A$1:$G$1,0))</f>
        <v>7.77</v>
      </c>
      <c r="P492" s="7">
        <f t="shared" si="7"/>
        <v>15.54</v>
      </c>
      <c r="Q492" t="str" cm="1">
        <f t="array" ref="Q492">_xlfn.IFS(L492="Rob","Robusta",L492="Exc", "Excelsa",L492="Ara", "Arabica",L492="Lib", "Liberica")</f>
        <v>Liberica</v>
      </c>
      <c r="R492" t="str" cm="1">
        <f t="array" ref="R492">_xlfn.IFS(M492="M","Medium",M492="L","Light",M492="D","Dark")</f>
        <v>Dark</v>
      </c>
    </row>
    <row r="493" spans="1:18">
      <c r="A493" s="2" t="s">
        <v>1020</v>
      </c>
      <c r="B493" s="3">
        <v>44101</v>
      </c>
      <c r="C493" s="9">
        <f>YEAR(Orders_Table[[#This Row],[Order Date]])</f>
        <v>2020</v>
      </c>
      <c r="D493" s="9">
        <f>MONTH(Orders_Table[[#This Row],[Order Date]])</f>
        <v>9</v>
      </c>
      <c r="E493" s="9" t="str" cm="1">
        <f t="array" ref="E4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93" s="2" t="s">
        <v>1021</v>
      </c>
      <c r="G493" t="s">
        <v>85</v>
      </c>
      <c r="H493" s="2">
        <v>6</v>
      </c>
      <c r="I493" s="2" t="str" cm="1">
        <f t="array" ref="I493">_xlfn.XLOOKUP(F493,Customers!A492:$A$1001,Customers!B492:$B$1001,"Not Found",0)</f>
        <v>Kendra Backshell</v>
      </c>
      <c r="J493" s="2" t="str" cm="1">
        <f t="array" ref="J493">IF(_xlfn.XLOOKUP(F493,Customers!A492:$A$1001,Customers!C492:$C$1001,"Not Found",0)=0,"",_xlfn.XLOOKUP(F493,Customers!A492:$A$1001,Customers!C492:$C$1001,"Not Found",0))</f>
        <v/>
      </c>
      <c r="K493" s="2" t="str" cm="1">
        <f t="array" ref="K493">_xlfn.XLOOKUP(F493,Customers!A492:$A$1001,Customers!G492:$G$1001,"Not Found",0)</f>
        <v>United States</v>
      </c>
      <c r="L493" t="str">
        <f>INDEX(Products!$A$1:$G$49,MATCH(Orders!$G493,Products!$A$1:$A$49,0),MATCH(Orders!L$1,Products!$A$1:$G$1,0))</f>
        <v>Lib</v>
      </c>
      <c r="M493" t="str">
        <f>INDEX(Products!$A$1:$G$49,MATCH(Orders!$G493,Products!$A$1:$A$49,0),MATCH(Orders!M$1,Products!$A$1:$G$1,0))</f>
        <v>D</v>
      </c>
      <c r="N493" s="4">
        <f>INDEX(Products!$A$1:$G$49,MATCH(Orders!$G493,Products!$A$1:$A$49,0),MATCH(Orders!N$1,Products!$A$1:$G$1,0))</f>
        <v>0.2</v>
      </c>
      <c r="O493" s="7">
        <f>INDEX(Products!$A$1:$G$49,MATCH(Orders!$G493,Products!$A$1:$A$49,0),MATCH(Orders!O$1,Products!$A$1:$G$1,0))</f>
        <v>3.8849999999999998</v>
      </c>
      <c r="P493" s="7">
        <f t="shared" si="7"/>
        <v>23.31</v>
      </c>
      <c r="Q493" t="str" cm="1">
        <f t="array" ref="Q493">_xlfn.IFS(L493="Rob","Robusta",L493="Exc", "Excelsa",L493="Ara", "Arabica",L493="Lib", "Liberica")</f>
        <v>Liberica</v>
      </c>
      <c r="R493" t="str" cm="1">
        <f t="array" ref="R493">_xlfn.IFS(M493="M","Medium",M493="L","Light",M493="D","Dark")</f>
        <v>Dark</v>
      </c>
    </row>
    <row r="494" spans="1:18">
      <c r="A494" s="2" t="s">
        <v>1022</v>
      </c>
      <c r="B494" s="3">
        <v>44620</v>
      </c>
      <c r="C494" s="9">
        <f>YEAR(Orders_Table[[#This Row],[Order Date]])</f>
        <v>2022</v>
      </c>
      <c r="D494" s="9">
        <f>MONTH(Orders_Table[[#This Row],[Order Date]])</f>
        <v>2</v>
      </c>
      <c r="E494" s="9" t="str" cm="1">
        <f t="array" ref="E4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494" s="2" t="s">
        <v>1023</v>
      </c>
      <c r="G494" t="s">
        <v>111</v>
      </c>
      <c r="H494" s="2">
        <v>1</v>
      </c>
      <c r="I494" s="2" t="str" cm="1">
        <f t="array" ref="I494">_xlfn.XLOOKUP(F494,Customers!A493:$A$1001,Customers!B493:$B$1001,"Not Found",0)</f>
        <v>Uriah Lethbrig</v>
      </c>
      <c r="J494" s="2" t="str" cm="1">
        <f t="array" ref="J494">IF(_xlfn.XLOOKUP(F494,Customers!A493:$A$1001,Customers!C493:$C$1001,"Not Found",0)=0,"",_xlfn.XLOOKUP(F494,Customers!A493:$A$1001,Customers!C493:$C$1001,"Not Found",0))</f>
        <v>ulethbrigdo@hc360.com</v>
      </c>
      <c r="K494" s="2" t="str" cm="1">
        <f t="array" ref="K494">_xlfn.XLOOKUP(F494,Customers!A493:$A$1001,Customers!G493:$G$1001,"Not Found",0)</f>
        <v>United States</v>
      </c>
      <c r="L494" t="str">
        <f>INDEX(Products!$A$1:$G$49,MATCH(Orders!$G494,Products!$A$1:$A$49,0),MATCH(Orders!L$1,Products!$A$1:$G$1,0))</f>
        <v>Exc</v>
      </c>
      <c r="M494" t="str">
        <f>INDEX(Products!$A$1:$G$49,MATCH(Orders!$G494,Products!$A$1:$A$49,0),MATCH(Orders!M$1,Products!$A$1:$G$1,0))</f>
        <v>M</v>
      </c>
      <c r="N494" s="4">
        <f>INDEX(Products!$A$1:$G$49,MATCH(Orders!$G494,Products!$A$1:$A$49,0),MATCH(Orders!N$1,Products!$A$1:$G$1,0))</f>
        <v>0.2</v>
      </c>
      <c r="O494" s="7">
        <f>INDEX(Products!$A$1:$G$49,MATCH(Orders!$G494,Products!$A$1:$A$49,0),MATCH(Orders!O$1,Products!$A$1:$G$1,0))</f>
        <v>4.125</v>
      </c>
      <c r="P494" s="7">
        <f t="shared" si="7"/>
        <v>4.125</v>
      </c>
      <c r="Q494" t="str" cm="1">
        <f t="array" ref="Q494">_xlfn.IFS(L494="Rob","Robusta",L494="Exc", "Excelsa",L494="Ara", "Arabica",L494="Lib", "Liberica")</f>
        <v>Excelsa</v>
      </c>
      <c r="R494" t="str" cm="1">
        <f t="array" ref="R494">_xlfn.IFS(M494="M","Medium",M494="L","Light",M494="D","Dark")</f>
        <v>Medium</v>
      </c>
    </row>
    <row r="495" spans="1:18">
      <c r="A495" s="2" t="s">
        <v>1024</v>
      </c>
      <c r="B495" s="3">
        <v>44090</v>
      </c>
      <c r="C495" s="9">
        <f>YEAR(Orders_Table[[#This Row],[Order Date]])</f>
        <v>2020</v>
      </c>
      <c r="D495" s="9">
        <f>MONTH(Orders_Table[[#This Row],[Order Date]])</f>
        <v>9</v>
      </c>
      <c r="E495" s="9" t="str" cm="1">
        <f t="array" ref="E4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95" s="2" t="s">
        <v>1025</v>
      </c>
      <c r="G495" t="s">
        <v>69</v>
      </c>
      <c r="H495" s="2">
        <v>6</v>
      </c>
      <c r="I495" s="2" t="str" cm="1">
        <f t="array" ref="I495">_xlfn.XLOOKUP(F495,Customers!A494:$A$1001,Customers!B494:$B$1001,"Not Found",0)</f>
        <v>Sky Farnish</v>
      </c>
      <c r="J495" s="2" t="str" cm="1">
        <f t="array" ref="J495">IF(_xlfn.XLOOKUP(F495,Customers!A494:$A$1001,Customers!C494:$C$1001,"Not Found",0)=0,"",_xlfn.XLOOKUP(F495,Customers!A494:$A$1001,Customers!C494:$C$1001,"Not Found",0))</f>
        <v>sfarnishdp@dmoz.org</v>
      </c>
      <c r="K495" s="2" t="str" cm="1">
        <f t="array" ref="K495">_xlfn.XLOOKUP(F495,Customers!A494:$A$1001,Customers!G494:$G$1001,"Not Found",0)</f>
        <v>United Kingdom</v>
      </c>
      <c r="L495" t="str">
        <f>INDEX(Products!$A$1:$G$49,MATCH(Orders!$G495,Products!$A$1:$A$49,0),MATCH(Orders!L$1,Products!$A$1:$G$1,0))</f>
        <v>Rob</v>
      </c>
      <c r="M495" t="str">
        <f>INDEX(Products!$A$1:$G$49,MATCH(Orders!$G495,Products!$A$1:$A$49,0),MATCH(Orders!M$1,Products!$A$1:$G$1,0))</f>
        <v>M</v>
      </c>
      <c r="N495" s="4">
        <f>INDEX(Products!$A$1:$G$49,MATCH(Orders!$G495,Products!$A$1:$A$49,0),MATCH(Orders!N$1,Products!$A$1:$G$1,0))</f>
        <v>0.5</v>
      </c>
      <c r="O495" s="7">
        <f>INDEX(Products!$A$1:$G$49,MATCH(Orders!$G495,Products!$A$1:$A$49,0),MATCH(Orders!O$1,Products!$A$1:$G$1,0))</f>
        <v>5.97</v>
      </c>
      <c r="P495" s="7">
        <f t="shared" si="7"/>
        <v>35.82</v>
      </c>
      <c r="Q495" t="str" cm="1">
        <f t="array" ref="Q495">_xlfn.IFS(L495="Rob","Robusta",L495="Exc", "Excelsa",L495="Ara", "Arabica",L495="Lib", "Liberica")</f>
        <v>Robusta</v>
      </c>
      <c r="R495" t="str" cm="1">
        <f t="array" ref="R495">_xlfn.IFS(M495="M","Medium",M495="L","Light",M495="D","Dark")</f>
        <v>Medium</v>
      </c>
    </row>
    <row r="496" spans="1:18">
      <c r="A496" s="2" t="s">
        <v>1026</v>
      </c>
      <c r="B496" s="3">
        <v>44132</v>
      </c>
      <c r="C496" s="9">
        <f>YEAR(Orders_Table[[#This Row],[Order Date]])</f>
        <v>2020</v>
      </c>
      <c r="D496" s="9">
        <f>MONTH(Orders_Table[[#This Row],[Order Date]])</f>
        <v>10</v>
      </c>
      <c r="E496" s="9" t="str" cm="1">
        <f t="array" ref="E4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496" s="2" t="s">
        <v>1027</v>
      </c>
      <c r="G496" t="s">
        <v>179</v>
      </c>
      <c r="H496" s="2">
        <v>2</v>
      </c>
      <c r="I496" s="2" t="str" cm="1">
        <f t="array" ref="I496">_xlfn.XLOOKUP(F496,Customers!A495:$A$1001,Customers!B495:$B$1001,"Not Found",0)</f>
        <v>Felicia Jecock</v>
      </c>
      <c r="J496" s="2" t="str" cm="1">
        <f t="array" ref="J496">IF(_xlfn.XLOOKUP(F496,Customers!A495:$A$1001,Customers!C495:$C$1001,"Not Found",0)=0,"",_xlfn.XLOOKUP(F496,Customers!A495:$A$1001,Customers!C495:$C$1001,"Not Found",0))</f>
        <v>fjecockdq@unicef.org</v>
      </c>
      <c r="K496" s="2" t="str" cm="1">
        <f t="array" ref="K496">_xlfn.XLOOKUP(F496,Customers!A495:$A$1001,Customers!G495:$G$1001,"Not Found",0)</f>
        <v>United States</v>
      </c>
      <c r="L496" t="str">
        <f>INDEX(Products!$A$1:$G$49,MATCH(Orders!$G496,Products!$A$1:$A$49,0),MATCH(Orders!L$1,Products!$A$1:$G$1,0))</f>
        <v>Lib</v>
      </c>
      <c r="M496" t="str">
        <f>INDEX(Products!$A$1:$G$49,MATCH(Orders!$G496,Products!$A$1:$A$49,0),MATCH(Orders!M$1,Products!$A$1:$G$1,0))</f>
        <v>L</v>
      </c>
      <c r="N496" s="4">
        <f>INDEX(Products!$A$1:$G$49,MATCH(Orders!$G496,Products!$A$1:$A$49,0),MATCH(Orders!N$1,Products!$A$1:$G$1,0))</f>
        <v>1</v>
      </c>
      <c r="O496" s="7">
        <f>INDEX(Products!$A$1:$G$49,MATCH(Orders!$G496,Products!$A$1:$A$49,0),MATCH(Orders!O$1,Products!$A$1:$G$1,0))</f>
        <v>15.85</v>
      </c>
      <c r="P496" s="7">
        <f t="shared" si="7"/>
        <v>31.7</v>
      </c>
      <c r="Q496" t="str" cm="1">
        <f t="array" ref="Q496">_xlfn.IFS(L496="Rob","Robusta",L496="Exc", "Excelsa",L496="Ara", "Arabica",L496="Lib", "Liberica")</f>
        <v>Liberica</v>
      </c>
      <c r="R496" t="str" cm="1">
        <f t="array" ref="R496">_xlfn.IFS(M496="M","Medium",M496="L","Light",M496="D","Dark")</f>
        <v>Light</v>
      </c>
    </row>
    <row r="497" spans="1:18">
      <c r="A497" s="2" t="s">
        <v>1028</v>
      </c>
      <c r="B497" s="3">
        <v>43710</v>
      </c>
      <c r="C497" s="9">
        <f>YEAR(Orders_Table[[#This Row],[Order Date]])</f>
        <v>2019</v>
      </c>
      <c r="D497" s="9">
        <f>MONTH(Orders_Table[[#This Row],[Order Date]])</f>
        <v>9</v>
      </c>
      <c r="E497" s="9" t="str" cm="1">
        <f t="array" ref="E4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497" s="2" t="s">
        <v>1029</v>
      </c>
      <c r="G497" t="s">
        <v>179</v>
      </c>
      <c r="H497" s="2">
        <v>5</v>
      </c>
      <c r="I497" s="2" t="str" cm="1">
        <f t="array" ref="I497">_xlfn.XLOOKUP(F497,Customers!A496:$A$1001,Customers!B496:$B$1001,"Not Found",0)</f>
        <v>Currey MacAllister</v>
      </c>
      <c r="J497" s="2" t="str" cm="1">
        <f t="array" ref="J497">IF(_xlfn.XLOOKUP(F497,Customers!A496:$A$1001,Customers!C496:$C$1001,"Not Found",0)=0,"",_xlfn.XLOOKUP(F497,Customers!A496:$A$1001,Customers!C496:$C$1001,"Not Found",0))</f>
        <v/>
      </c>
      <c r="K497" s="2" t="str" cm="1">
        <f t="array" ref="K497">_xlfn.XLOOKUP(F497,Customers!A496:$A$1001,Customers!G496:$G$1001,"Not Found",0)</f>
        <v>United States</v>
      </c>
      <c r="L497" t="str">
        <f>INDEX(Products!$A$1:$G$49,MATCH(Orders!$G497,Products!$A$1:$A$49,0),MATCH(Orders!L$1,Products!$A$1:$G$1,0))</f>
        <v>Lib</v>
      </c>
      <c r="M497" t="str">
        <f>INDEX(Products!$A$1:$G$49,MATCH(Orders!$G497,Products!$A$1:$A$49,0),MATCH(Orders!M$1,Products!$A$1:$G$1,0))</f>
        <v>L</v>
      </c>
      <c r="N497" s="4">
        <f>INDEX(Products!$A$1:$G$49,MATCH(Orders!$G497,Products!$A$1:$A$49,0),MATCH(Orders!N$1,Products!$A$1:$G$1,0))</f>
        <v>1</v>
      </c>
      <c r="O497" s="7">
        <f>INDEX(Products!$A$1:$G$49,MATCH(Orders!$G497,Products!$A$1:$A$49,0),MATCH(Orders!O$1,Products!$A$1:$G$1,0))</f>
        <v>15.85</v>
      </c>
      <c r="P497" s="7">
        <f t="shared" si="7"/>
        <v>79.25</v>
      </c>
      <c r="Q497" t="str" cm="1">
        <f t="array" ref="Q497">_xlfn.IFS(L497="Rob","Robusta",L497="Exc", "Excelsa",L497="Ara", "Arabica",L497="Lib", "Liberica")</f>
        <v>Liberica</v>
      </c>
      <c r="R497" t="str" cm="1">
        <f t="array" ref="R497">_xlfn.IFS(M497="M","Medium",M497="L","Light",M497="D","Dark")</f>
        <v>Light</v>
      </c>
    </row>
    <row r="498" spans="1:18">
      <c r="A498" s="2" t="s">
        <v>1030</v>
      </c>
      <c r="B498" s="3">
        <v>44438</v>
      </c>
      <c r="C498" s="9">
        <f>YEAR(Orders_Table[[#This Row],[Order Date]])</f>
        <v>2021</v>
      </c>
      <c r="D498" s="9">
        <f>MONTH(Orders_Table[[#This Row],[Order Date]])</f>
        <v>8</v>
      </c>
      <c r="E498" s="9" t="str" cm="1">
        <f t="array" ref="E4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498" s="2" t="s">
        <v>1031</v>
      </c>
      <c r="G498" t="s">
        <v>98</v>
      </c>
      <c r="H498" s="2">
        <v>3</v>
      </c>
      <c r="I498" s="2" t="str" cm="1">
        <f t="array" ref="I498">_xlfn.XLOOKUP(F498,Customers!A497:$A$1001,Customers!B497:$B$1001,"Not Found",0)</f>
        <v>Hamlen Pallister</v>
      </c>
      <c r="J498" s="2" t="str" cm="1">
        <f t="array" ref="J498">IF(_xlfn.XLOOKUP(F498,Customers!A497:$A$1001,Customers!C497:$C$1001,"Not Found",0)=0,"",_xlfn.XLOOKUP(F498,Customers!A497:$A$1001,Customers!C497:$C$1001,"Not Found",0))</f>
        <v>hpallisterds@ning.com</v>
      </c>
      <c r="K498" s="2" t="str" cm="1">
        <f t="array" ref="K498">_xlfn.XLOOKUP(F498,Customers!A497:$A$1001,Customers!G497:$G$1001,"Not Found",0)</f>
        <v>United States</v>
      </c>
      <c r="L498" t="str">
        <f>INDEX(Products!$A$1:$G$49,MATCH(Orders!$G498,Products!$A$1:$A$49,0),MATCH(Orders!L$1,Products!$A$1:$G$1,0))</f>
        <v>Exc</v>
      </c>
      <c r="M498" t="str">
        <f>INDEX(Products!$A$1:$G$49,MATCH(Orders!$G498,Products!$A$1:$A$49,0),MATCH(Orders!M$1,Products!$A$1:$G$1,0))</f>
        <v>D</v>
      </c>
      <c r="N498" s="4">
        <f>INDEX(Products!$A$1:$G$49,MATCH(Orders!$G498,Products!$A$1:$A$49,0),MATCH(Orders!N$1,Products!$A$1:$G$1,0))</f>
        <v>0.2</v>
      </c>
      <c r="O498" s="7">
        <f>INDEX(Products!$A$1:$G$49,MATCH(Orders!$G498,Products!$A$1:$A$49,0),MATCH(Orders!O$1,Products!$A$1:$G$1,0))</f>
        <v>3.645</v>
      </c>
      <c r="P498" s="7">
        <f t="shared" si="7"/>
        <v>10.935</v>
      </c>
      <c r="Q498" t="str" cm="1">
        <f t="array" ref="Q498">_xlfn.IFS(L498="Rob","Robusta",L498="Exc", "Excelsa",L498="Ara", "Arabica",L498="Lib", "Liberica")</f>
        <v>Excelsa</v>
      </c>
      <c r="R498" t="str" cm="1">
        <f t="array" ref="R498">_xlfn.IFS(M498="M","Medium",M498="L","Light",M498="D","Dark")</f>
        <v>Dark</v>
      </c>
    </row>
    <row r="499" spans="1:18">
      <c r="A499" s="2" t="s">
        <v>1032</v>
      </c>
      <c r="B499" s="3">
        <v>44351</v>
      </c>
      <c r="C499" s="9">
        <f>YEAR(Orders_Table[[#This Row],[Order Date]])</f>
        <v>2021</v>
      </c>
      <c r="D499" s="9">
        <f>MONTH(Orders_Table[[#This Row],[Order Date]])</f>
        <v>6</v>
      </c>
      <c r="E499" s="9" t="str" cm="1">
        <f t="array" ref="E4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499" s="2" t="s">
        <v>1033</v>
      </c>
      <c r="G499" t="s">
        <v>74</v>
      </c>
      <c r="H499" s="2">
        <v>4</v>
      </c>
      <c r="I499" s="2" t="str" cm="1">
        <f t="array" ref="I499">_xlfn.XLOOKUP(F499,Customers!A498:$A$1001,Customers!B498:$B$1001,"Not Found",0)</f>
        <v>Chantal Mersh</v>
      </c>
      <c r="J499" s="2" t="str" cm="1">
        <f t="array" ref="J499">IF(_xlfn.XLOOKUP(F499,Customers!A498:$A$1001,Customers!C498:$C$1001,"Not Found",0)=0,"",_xlfn.XLOOKUP(F499,Customers!A498:$A$1001,Customers!C498:$C$1001,"Not Found",0))</f>
        <v>cmershdt@drupal.org</v>
      </c>
      <c r="K499" s="2" t="str" cm="1">
        <f t="array" ref="K499">_xlfn.XLOOKUP(F499,Customers!A498:$A$1001,Customers!G498:$G$1001,"Not Found",0)</f>
        <v>Ireland</v>
      </c>
      <c r="L499" t="str">
        <f>INDEX(Products!$A$1:$G$49,MATCH(Orders!$G499,Products!$A$1:$A$49,0),MATCH(Orders!L$1,Products!$A$1:$G$1,0))</f>
        <v>Ara</v>
      </c>
      <c r="M499" t="str">
        <f>INDEX(Products!$A$1:$G$49,MATCH(Orders!$G499,Products!$A$1:$A$49,0),MATCH(Orders!M$1,Products!$A$1:$G$1,0))</f>
        <v>D</v>
      </c>
      <c r="N499" s="4">
        <f>INDEX(Products!$A$1:$G$49,MATCH(Orders!$G499,Products!$A$1:$A$49,0),MATCH(Orders!N$1,Products!$A$1:$G$1,0))</f>
        <v>1</v>
      </c>
      <c r="O499" s="7">
        <f>INDEX(Products!$A$1:$G$49,MATCH(Orders!$G499,Products!$A$1:$A$49,0),MATCH(Orders!O$1,Products!$A$1:$G$1,0))</f>
        <v>9.9499999999999993</v>
      </c>
      <c r="P499" s="7">
        <f t="shared" si="7"/>
        <v>39.799999999999997</v>
      </c>
      <c r="Q499" t="str" cm="1">
        <f t="array" ref="Q499">_xlfn.IFS(L499="Rob","Robusta",L499="Exc", "Excelsa",L499="Ara", "Arabica",L499="Lib", "Liberica")</f>
        <v>Arabica</v>
      </c>
      <c r="R499" t="str" cm="1">
        <f t="array" ref="R499">_xlfn.IFS(M499="M","Medium",M499="L","Light",M499="D","Dark")</f>
        <v>Dark</v>
      </c>
    </row>
    <row r="500" spans="1:18">
      <c r="A500" s="2" t="s">
        <v>1034</v>
      </c>
      <c r="B500" s="3">
        <v>44159</v>
      </c>
      <c r="C500" s="9">
        <f>YEAR(Orders_Table[[#This Row],[Order Date]])</f>
        <v>2020</v>
      </c>
      <c r="D500" s="9">
        <f>MONTH(Orders_Table[[#This Row],[Order Date]])</f>
        <v>11</v>
      </c>
      <c r="E500" s="9" t="str" cm="1">
        <f t="array" ref="E5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00" s="2" t="s">
        <v>1035</v>
      </c>
      <c r="G500" t="s">
        <v>49</v>
      </c>
      <c r="H500" s="2">
        <v>5</v>
      </c>
      <c r="I500" s="2" t="str" cm="1">
        <f t="array" ref="I500">_xlfn.XLOOKUP(F500,Customers!A499:$A$1001,Customers!B499:$B$1001,"Not Found",0)</f>
        <v>Marja Urion</v>
      </c>
      <c r="J500" s="2" t="str" cm="1">
        <f t="array" ref="J500">IF(_xlfn.XLOOKUP(F500,Customers!A499:$A$1001,Customers!C499:$C$1001,"Not Found",0)=0,"",_xlfn.XLOOKUP(F500,Customers!A499:$A$1001,Customers!C499:$C$1001,"Not Found",0))</f>
        <v>murione5@alexa.com</v>
      </c>
      <c r="K500" s="2" t="str" cm="1">
        <f t="array" ref="K500">_xlfn.XLOOKUP(F500,Customers!A499:$A$1001,Customers!G499:$G$1001,"Not Found",0)</f>
        <v>Ireland</v>
      </c>
      <c r="L500" t="str">
        <f>INDEX(Products!$A$1:$G$49,MATCH(Orders!$G500,Products!$A$1:$A$49,0),MATCH(Orders!L$1,Products!$A$1:$G$1,0))</f>
        <v>Rob</v>
      </c>
      <c r="M500" t="str">
        <f>INDEX(Products!$A$1:$G$49,MATCH(Orders!$G500,Products!$A$1:$A$49,0),MATCH(Orders!M$1,Products!$A$1:$G$1,0))</f>
        <v>M</v>
      </c>
      <c r="N500" s="4">
        <f>INDEX(Products!$A$1:$G$49,MATCH(Orders!$G500,Products!$A$1:$A$49,0),MATCH(Orders!N$1,Products!$A$1:$G$1,0))</f>
        <v>1</v>
      </c>
      <c r="O500" s="7">
        <f>INDEX(Products!$A$1:$G$49,MATCH(Orders!$G500,Products!$A$1:$A$49,0),MATCH(Orders!O$1,Products!$A$1:$G$1,0))</f>
        <v>9.9499999999999993</v>
      </c>
      <c r="P500" s="7">
        <f t="shared" si="7"/>
        <v>49.75</v>
      </c>
      <c r="Q500" t="str" cm="1">
        <f t="array" ref="Q500">_xlfn.IFS(L500="Rob","Robusta",L500="Exc", "Excelsa",L500="Ara", "Arabica",L500="Lib", "Liberica")</f>
        <v>Robusta</v>
      </c>
      <c r="R500" t="str" cm="1">
        <f t="array" ref="R500">_xlfn.IFS(M500="M","Medium",M500="L","Light",M500="D","Dark")</f>
        <v>Medium</v>
      </c>
    </row>
    <row r="501" spans="1:18">
      <c r="A501" s="2" t="s">
        <v>1036</v>
      </c>
      <c r="B501" s="3">
        <v>44003</v>
      </c>
      <c r="C501" s="9">
        <f>YEAR(Orders_Table[[#This Row],[Order Date]])</f>
        <v>2020</v>
      </c>
      <c r="D501" s="9">
        <f>MONTH(Orders_Table[[#This Row],[Order Date]])</f>
        <v>6</v>
      </c>
      <c r="E501" s="9" t="str" cm="1">
        <f t="array" ref="E5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01" s="2" t="s">
        <v>1037</v>
      </c>
      <c r="G501" t="s">
        <v>148</v>
      </c>
      <c r="H501" s="2">
        <v>3</v>
      </c>
      <c r="I501" s="2" t="str" cm="1">
        <f t="array" ref="I501">_xlfn.XLOOKUP(F501,Customers!A500:$A$1001,Customers!B500:$B$1001,"Not Found",0)</f>
        <v>Malynda Purbrick</v>
      </c>
      <c r="J501" s="2" t="str" cm="1">
        <f t="array" ref="J501">IF(_xlfn.XLOOKUP(F501,Customers!A500:$A$1001,Customers!C500:$C$1001,"Not Found",0)=0,"",_xlfn.XLOOKUP(F501,Customers!A500:$A$1001,Customers!C500:$C$1001,"Not Found",0))</f>
        <v/>
      </c>
      <c r="K501" s="2" t="str" cm="1">
        <f t="array" ref="K501">_xlfn.XLOOKUP(F501,Customers!A500:$A$1001,Customers!G500:$G$1001,"Not Found",0)</f>
        <v>Ireland</v>
      </c>
      <c r="L501" t="str">
        <f>INDEX(Products!$A$1:$G$49,MATCH(Orders!$G501,Products!$A$1:$A$49,0),MATCH(Orders!L$1,Products!$A$1:$G$1,0))</f>
        <v>Rob</v>
      </c>
      <c r="M501" t="str">
        <f>INDEX(Products!$A$1:$G$49,MATCH(Orders!$G501,Products!$A$1:$A$49,0),MATCH(Orders!M$1,Products!$A$1:$G$1,0))</f>
        <v>D</v>
      </c>
      <c r="N501" s="4">
        <f>INDEX(Products!$A$1:$G$49,MATCH(Orders!$G501,Products!$A$1:$A$49,0),MATCH(Orders!N$1,Products!$A$1:$G$1,0))</f>
        <v>0.2</v>
      </c>
      <c r="O501" s="7">
        <f>INDEX(Products!$A$1:$G$49,MATCH(Orders!$G501,Products!$A$1:$A$49,0),MATCH(Orders!O$1,Products!$A$1:$G$1,0))</f>
        <v>2.6849999999999996</v>
      </c>
      <c r="P501" s="7">
        <f t="shared" si="7"/>
        <v>8.0549999999999997</v>
      </c>
      <c r="Q501" t="str" cm="1">
        <f t="array" ref="Q501">_xlfn.IFS(L501="Rob","Robusta",L501="Exc", "Excelsa",L501="Ara", "Arabica",L501="Lib", "Liberica")</f>
        <v>Robusta</v>
      </c>
      <c r="R501" t="str" cm="1">
        <f t="array" ref="R501">_xlfn.IFS(M501="M","Medium",M501="L","Light",M501="D","Dark")</f>
        <v>Dark</v>
      </c>
    </row>
    <row r="502" spans="1:18">
      <c r="A502" s="2" t="s">
        <v>1038</v>
      </c>
      <c r="B502" s="3">
        <v>44025</v>
      </c>
      <c r="C502" s="9">
        <f>YEAR(Orders_Table[[#This Row],[Order Date]])</f>
        <v>2020</v>
      </c>
      <c r="D502" s="9">
        <f>MONTH(Orders_Table[[#This Row],[Order Date]])</f>
        <v>7</v>
      </c>
      <c r="E502" s="9" t="str" cm="1">
        <f t="array" ref="E5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02" s="2" t="s">
        <v>1039</v>
      </c>
      <c r="G502" t="s">
        <v>236</v>
      </c>
      <c r="H502" s="2">
        <v>4</v>
      </c>
      <c r="I502" s="2" t="str" cm="1">
        <f t="array" ref="I502">_xlfn.XLOOKUP(F502,Customers!A501:$A$1001,Customers!B501:$B$1001,"Not Found",0)</f>
        <v>Alf Housaman</v>
      </c>
      <c r="J502" s="2" t="str" cm="1">
        <f t="array" ref="J502">IF(_xlfn.XLOOKUP(F502,Customers!A501:$A$1001,Customers!C501:$C$1001,"Not Found",0)=0,"",_xlfn.XLOOKUP(F502,Customers!A501:$A$1001,Customers!C501:$C$1001,"Not Found",0))</f>
        <v/>
      </c>
      <c r="K502" s="2" t="str" cm="1">
        <f t="array" ref="K502">_xlfn.XLOOKUP(F502,Customers!A501:$A$1001,Customers!G501:$G$1001,"Not Found",0)</f>
        <v>United States</v>
      </c>
      <c r="L502" t="str">
        <f>INDEX(Products!$A$1:$G$49,MATCH(Orders!$G502,Products!$A$1:$A$49,0),MATCH(Orders!L$1,Products!$A$1:$G$1,0))</f>
        <v>Rob</v>
      </c>
      <c r="M502" t="str">
        <f>INDEX(Products!$A$1:$G$49,MATCH(Orders!$G502,Products!$A$1:$A$49,0),MATCH(Orders!M$1,Products!$A$1:$G$1,0))</f>
        <v>L</v>
      </c>
      <c r="N502" s="4">
        <f>INDEX(Products!$A$1:$G$49,MATCH(Orders!$G502,Products!$A$1:$A$49,0),MATCH(Orders!N$1,Products!$A$1:$G$1,0))</f>
        <v>1</v>
      </c>
      <c r="O502" s="7">
        <f>INDEX(Products!$A$1:$G$49,MATCH(Orders!$G502,Products!$A$1:$A$49,0),MATCH(Orders!O$1,Products!$A$1:$G$1,0))</f>
        <v>11.95</v>
      </c>
      <c r="P502" s="7">
        <f t="shared" si="7"/>
        <v>47.8</v>
      </c>
      <c r="Q502" t="str" cm="1">
        <f t="array" ref="Q502">_xlfn.IFS(L502="Rob","Robusta",L502="Exc", "Excelsa",L502="Ara", "Arabica",L502="Lib", "Liberica")</f>
        <v>Robusta</v>
      </c>
      <c r="R502" t="str" cm="1">
        <f t="array" ref="R502">_xlfn.IFS(M502="M","Medium",M502="L","Light",M502="D","Dark")</f>
        <v>Light</v>
      </c>
    </row>
    <row r="503" spans="1:18">
      <c r="A503" s="2" t="s">
        <v>1040</v>
      </c>
      <c r="B503" s="3">
        <v>43467</v>
      </c>
      <c r="C503" s="9">
        <f>YEAR(Orders_Table[[#This Row],[Order Date]])</f>
        <v>2019</v>
      </c>
      <c r="D503" s="9">
        <f>MONTH(Orders_Table[[#This Row],[Order Date]])</f>
        <v>1</v>
      </c>
      <c r="E503" s="9" t="str" cm="1">
        <f t="array" ref="E5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03" s="2" t="s">
        <v>1041</v>
      </c>
      <c r="G503" t="s">
        <v>209</v>
      </c>
      <c r="H503" s="2">
        <v>4</v>
      </c>
      <c r="I503" s="2" t="str" cm="1">
        <f t="array" ref="I503">_xlfn.XLOOKUP(F503,Customers!A502:$A$1001,Customers!B502:$B$1001,"Not Found",0)</f>
        <v>Gladi Ducker</v>
      </c>
      <c r="J503" s="2" t="str" cm="1">
        <f t="array" ref="J503">IF(_xlfn.XLOOKUP(F503,Customers!A502:$A$1001,Customers!C502:$C$1001,"Not Found",0)=0,"",_xlfn.XLOOKUP(F503,Customers!A502:$A$1001,Customers!C502:$C$1001,"Not Found",0))</f>
        <v>gduckerdx@patch.com</v>
      </c>
      <c r="K503" s="2" t="str" cm="1">
        <f t="array" ref="K503">_xlfn.XLOOKUP(F503,Customers!A502:$A$1001,Customers!G502:$G$1001,"Not Found",0)</f>
        <v>United Kingdom</v>
      </c>
      <c r="L503" t="str">
        <f>INDEX(Products!$A$1:$G$49,MATCH(Orders!$G503,Products!$A$1:$A$49,0),MATCH(Orders!L$1,Products!$A$1:$G$1,0))</f>
        <v>Rob</v>
      </c>
      <c r="M503" t="str">
        <f>INDEX(Products!$A$1:$G$49,MATCH(Orders!$G503,Products!$A$1:$A$49,0),MATCH(Orders!M$1,Products!$A$1:$G$1,0))</f>
        <v>M</v>
      </c>
      <c r="N503" s="4">
        <f>INDEX(Products!$A$1:$G$49,MATCH(Orders!$G503,Products!$A$1:$A$49,0),MATCH(Orders!N$1,Products!$A$1:$G$1,0))</f>
        <v>0.2</v>
      </c>
      <c r="O503" s="7">
        <f>INDEX(Products!$A$1:$G$49,MATCH(Orders!$G503,Products!$A$1:$A$49,0),MATCH(Orders!O$1,Products!$A$1:$G$1,0))</f>
        <v>2.9849999999999999</v>
      </c>
      <c r="P503" s="7">
        <f t="shared" si="7"/>
        <v>11.94</v>
      </c>
      <c r="Q503" t="str" cm="1">
        <f t="array" ref="Q503">_xlfn.IFS(L503="Rob","Robusta",L503="Exc", "Excelsa",L503="Ara", "Arabica",L503="Lib", "Liberica")</f>
        <v>Robusta</v>
      </c>
      <c r="R503" t="str" cm="1">
        <f t="array" ref="R503">_xlfn.IFS(M503="M","Medium",M503="L","Light",M503="D","Dark")</f>
        <v>Medium</v>
      </c>
    </row>
    <row r="504" spans="1:18">
      <c r="A504" s="2" t="s">
        <v>1040</v>
      </c>
      <c r="B504" s="3">
        <v>43467</v>
      </c>
      <c r="C504" s="9">
        <f>YEAR(Orders_Table[[#This Row],[Order Date]])</f>
        <v>2019</v>
      </c>
      <c r="D504" s="9">
        <f>MONTH(Orders_Table[[#This Row],[Order Date]])</f>
        <v>1</v>
      </c>
      <c r="E504" s="9" t="str" cm="1">
        <f t="array" ref="E5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04" s="2" t="s">
        <v>1041</v>
      </c>
      <c r="G504" t="s">
        <v>111</v>
      </c>
      <c r="H504" s="2">
        <v>4</v>
      </c>
      <c r="I504" s="2" t="str" cm="1">
        <f t="array" ref="I504">_xlfn.XLOOKUP(F504,Customers!A503:$A$1001,Customers!B503:$B$1001,"Not Found",0)</f>
        <v>Gladi Ducker</v>
      </c>
      <c r="J504" s="2" t="str" cm="1">
        <f t="array" ref="J504">IF(_xlfn.XLOOKUP(F504,Customers!A503:$A$1001,Customers!C503:$C$1001,"Not Found",0)=0,"",_xlfn.XLOOKUP(F504,Customers!A503:$A$1001,Customers!C503:$C$1001,"Not Found",0))</f>
        <v>gduckerdx@patch.com</v>
      </c>
      <c r="K504" s="2" t="str" cm="1">
        <f t="array" ref="K504">_xlfn.XLOOKUP(F504,Customers!A503:$A$1001,Customers!G503:$G$1001,"Not Found",0)</f>
        <v>United Kingdom</v>
      </c>
      <c r="L504" t="str">
        <f>INDEX(Products!$A$1:$G$49,MATCH(Orders!$G504,Products!$A$1:$A$49,0),MATCH(Orders!L$1,Products!$A$1:$G$1,0))</f>
        <v>Exc</v>
      </c>
      <c r="M504" t="str">
        <f>INDEX(Products!$A$1:$G$49,MATCH(Orders!$G504,Products!$A$1:$A$49,0),MATCH(Orders!M$1,Products!$A$1:$G$1,0))</f>
        <v>M</v>
      </c>
      <c r="N504" s="4">
        <f>INDEX(Products!$A$1:$G$49,MATCH(Orders!$G504,Products!$A$1:$A$49,0),MATCH(Orders!N$1,Products!$A$1:$G$1,0))</f>
        <v>0.2</v>
      </c>
      <c r="O504" s="7">
        <f>INDEX(Products!$A$1:$G$49,MATCH(Orders!$G504,Products!$A$1:$A$49,0),MATCH(Orders!O$1,Products!$A$1:$G$1,0))</f>
        <v>4.125</v>
      </c>
      <c r="P504" s="7">
        <f t="shared" si="7"/>
        <v>16.5</v>
      </c>
      <c r="Q504" t="str" cm="1">
        <f t="array" ref="Q504">_xlfn.IFS(L504="Rob","Robusta",L504="Exc", "Excelsa",L504="Ara", "Arabica",L504="Lib", "Liberica")</f>
        <v>Excelsa</v>
      </c>
      <c r="R504" t="str" cm="1">
        <f t="array" ref="R504">_xlfn.IFS(M504="M","Medium",M504="L","Light",M504="D","Dark")</f>
        <v>Medium</v>
      </c>
    </row>
    <row r="505" spans="1:18">
      <c r="A505" s="2" t="s">
        <v>1040</v>
      </c>
      <c r="B505" s="3">
        <v>43467</v>
      </c>
      <c r="C505" s="9">
        <f>YEAR(Orders_Table[[#This Row],[Order Date]])</f>
        <v>2019</v>
      </c>
      <c r="D505" s="9">
        <f>MONTH(Orders_Table[[#This Row],[Order Date]])</f>
        <v>1</v>
      </c>
      <c r="E505" s="9" t="str" cm="1">
        <f t="array" ref="E5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05" s="2" t="s">
        <v>1041</v>
      </c>
      <c r="G505" t="s">
        <v>60</v>
      </c>
      <c r="H505" s="2">
        <v>4</v>
      </c>
      <c r="I505" s="2" t="str" cm="1">
        <f t="array" ref="I505">_xlfn.XLOOKUP(F505,Customers!A504:$A$1001,Customers!B504:$B$1001,"Not Found",0)</f>
        <v>Not Found</v>
      </c>
      <c r="J505" s="2" t="str" cm="1">
        <f t="array" ref="J505">IF(_xlfn.XLOOKUP(F505,Customers!A504:$A$1001,Customers!C504:$C$1001,"Not Found",0)=0,"",_xlfn.XLOOKUP(F505,Customers!A504:$A$1001,Customers!C504:$C$1001,"Not Found",0))</f>
        <v>Not Found</v>
      </c>
      <c r="K505" s="2" t="str" cm="1">
        <f t="array" ref="K505">_xlfn.XLOOKUP(F505,Customers!A504:$A$1001,Customers!G504:$G$1001,"Not Found",0)</f>
        <v>Not Found</v>
      </c>
      <c r="L505" t="str">
        <f>INDEX(Products!$A$1:$G$49,MATCH(Orders!$G505,Products!$A$1:$A$49,0),MATCH(Orders!L$1,Products!$A$1:$G$1,0))</f>
        <v>Lib</v>
      </c>
      <c r="M505" t="str">
        <f>INDEX(Products!$A$1:$G$49,MATCH(Orders!$G505,Products!$A$1:$A$49,0),MATCH(Orders!M$1,Products!$A$1:$G$1,0))</f>
        <v>D</v>
      </c>
      <c r="N505" s="4">
        <f>INDEX(Products!$A$1:$G$49,MATCH(Orders!$G505,Products!$A$1:$A$49,0),MATCH(Orders!N$1,Products!$A$1:$G$1,0))</f>
        <v>1</v>
      </c>
      <c r="O505" s="7">
        <f>INDEX(Products!$A$1:$G$49,MATCH(Orders!$G505,Products!$A$1:$A$49,0),MATCH(Orders!O$1,Products!$A$1:$G$1,0))</f>
        <v>12.95</v>
      </c>
      <c r="P505" s="7">
        <f t="shared" si="7"/>
        <v>51.8</v>
      </c>
      <c r="Q505" t="str" cm="1">
        <f t="array" ref="Q505">_xlfn.IFS(L505="Rob","Robusta",L505="Exc", "Excelsa",L505="Ara", "Arabica",L505="Lib", "Liberica")</f>
        <v>Liberica</v>
      </c>
      <c r="R505" t="str" cm="1">
        <f t="array" ref="R505">_xlfn.IFS(M505="M","Medium",M505="L","Light",M505="D","Dark")</f>
        <v>Dark</v>
      </c>
    </row>
    <row r="506" spans="1:18">
      <c r="A506" s="2" t="s">
        <v>1040</v>
      </c>
      <c r="B506" s="3">
        <v>43467</v>
      </c>
      <c r="C506" s="9">
        <f>YEAR(Orders_Table[[#This Row],[Order Date]])</f>
        <v>2019</v>
      </c>
      <c r="D506" s="9">
        <f>MONTH(Orders_Table[[#This Row],[Order Date]])</f>
        <v>1</v>
      </c>
      <c r="E506" s="9" t="str" cm="1">
        <f t="array" ref="E5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06" s="2" t="s">
        <v>1041</v>
      </c>
      <c r="G506" t="s">
        <v>66</v>
      </c>
      <c r="H506" s="2">
        <v>3</v>
      </c>
      <c r="I506" s="2" t="str" cm="1">
        <f t="array" ref="I506">_xlfn.XLOOKUP(F506,Customers!A505:$A$1001,Customers!B505:$B$1001,"Not Found",0)</f>
        <v>Not Found</v>
      </c>
      <c r="J506" s="2" t="str" cm="1">
        <f t="array" ref="J506">IF(_xlfn.XLOOKUP(F506,Customers!A505:$A$1001,Customers!C505:$C$1001,"Not Found",0)=0,"",_xlfn.XLOOKUP(F506,Customers!A505:$A$1001,Customers!C505:$C$1001,"Not Found",0))</f>
        <v>Not Found</v>
      </c>
      <c r="K506" s="2" t="str" cm="1">
        <f t="array" ref="K506">_xlfn.XLOOKUP(F506,Customers!A505:$A$1001,Customers!G505:$G$1001,"Not Found",0)</f>
        <v>Not Found</v>
      </c>
      <c r="L506" t="str">
        <f>INDEX(Products!$A$1:$G$49,MATCH(Orders!$G506,Products!$A$1:$A$49,0),MATCH(Orders!L$1,Products!$A$1:$G$1,0))</f>
        <v>Lib</v>
      </c>
      <c r="M506" t="str">
        <f>INDEX(Products!$A$1:$G$49,MATCH(Orders!$G506,Products!$A$1:$A$49,0),MATCH(Orders!M$1,Products!$A$1:$G$1,0))</f>
        <v>L</v>
      </c>
      <c r="N506" s="4">
        <f>INDEX(Products!$A$1:$G$49,MATCH(Orders!$G506,Products!$A$1:$A$49,0),MATCH(Orders!N$1,Products!$A$1:$G$1,0))</f>
        <v>0.2</v>
      </c>
      <c r="O506" s="7">
        <f>INDEX(Products!$A$1:$G$49,MATCH(Orders!$G506,Products!$A$1:$A$49,0),MATCH(Orders!O$1,Products!$A$1:$G$1,0))</f>
        <v>4.7549999999999999</v>
      </c>
      <c r="P506" s="7">
        <f t="shared" si="7"/>
        <v>14.265000000000001</v>
      </c>
      <c r="Q506" t="str" cm="1">
        <f t="array" ref="Q506">_xlfn.IFS(L506="Rob","Robusta",L506="Exc", "Excelsa",L506="Ara", "Arabica",L506="Lib", "Liberica")</f>
        <v>Liberica</v>
      </c>
      <c r="R506" t="str" cm="1">
        <f t="array" ref="R506">_xlfn.IFS(M506="M","Medium",M506="L","Light",M506="D","Dark")</f>
        <v>Light</v>
      </c>
    </row>
    <row r="507" spans="1:18">
      <c r="A507" s="2" t="s">
        <v>1042</v>
      </c>
      <c r="B507" s="3">
        <v>44609</v>
      </c>
      <c r="C507" s="9">
        <f>YEAR(Orders_Table[[#This Row],[Order Date]])</f>
        <v>2022</v>
      </c>
      <c r="D507" s="9">
        <f>MONTH(Orders_Table[[#This Row],[Order Date]])</f>
        <v>2</v>
      </c>
      <c r="E507" s="9" t="str" cm="1">
        <f t="array" ref="E5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07" s="2" t="s">
        <v>1043</v>
      </c>
      <c r="G507" t="s">
        <v>124</v>
      </c>
      <c r="H507" s="2">
        <v>6</v>
      </c>
      <c r="I507" s="2" t="str" cm="1">
        <f t="array" ref="I507">_xlfn.XLOOKUP(F507,Customers!A506:$A$1001,Customers!B506:$B$1001,"Not Found",0)</f>
        <v>Wain Stearley</v>
      </c>
      <c r="J507" s="2" t="str" cm="1">
        <f t="array" ref="J507">IF(_xlfn.XLOOKUP(F507,Customers!A506:$A$1001,Customers!C506:$C$1001,"Not Found",0)=0,"",_xlfn.XLOOKUP(F507,Customers!A506:$A$1001,Customers!C506:$C$1001,"Not Found",0))</f>
        <v>wstearleye1@census.gov</v>
      </c>
      <c r="K507" s="2" t="str" cm="1">
        <f t="array" ref="K507">_xlfn.XLOOKUP(F507,Customers!A506:$A$1001,Customers!G506:$G$1001,"Not Found",0)</f>
        <v>United States</v>
      </c>
      <c r="L507" t="str">
        <f>INDEX(Products!$A$1:$G$49,MATCH(Orders!$G507,Products!$A$1:$A$49,0),MATCH(Orders!L$1,Products!$A$1:$G$1,0))</f>
        <v>Lib</v>
      </c>
      <c r="M507" t="str">
        <f>INDEX(Products!$A$1:$G$49,MATCH(Orders!$G507,Products!$A$1:$A$49,0),MATCH(Orders!M$1,Products!$A$1:$G$1,0))</f>
        <v>M</v>
      </c>
      <c r="N507" s="4">
        <f>INDEX(Products!$A$1:$G$49,MATCH(Orders!$G507,Products!$A$1:$A$49,0),MATCH(Orders!N$1,Products!$A$1:$G$1,0))</f>
        <v>0.2</v>
      </c>
      <c r="O507" s="7">
        <f>INDEX(Products!$A$1:$G$49,MATCH(Orders!$G507,Products!$A$1:$A$49,0),MATCH(Orders!O$1,Products!$A$1:$G$1,0))</f>
        <v>4.3650000000000002</v>
      </c>
      <c r="P507" s="7">
        <f t="shared" si="7"/>
        <v>26.19</v>
      </c>
      <c r="Q507" t="str" cm="1">
        <f t="array" ref="Q507">_xlfn.IFS(L507="Rob","Robusta",L507="Exc", "Excelsa",L507="Ara", "Arabica",L507="Lib", "Liberica")</f>
        <v>Liberica</v>
      </c>
      <c r="R507" t="str" cm="1">
        <f t="array" ref="R507">_xlfn.IFS(M507="M","Medium",M507="L","Light",M507="D","Dark")</f>
        <v>Medium</v>
      </c>
    </row>
    <row r="508" spans="1:18">
      <c r="A508" s="2" t="s">
        <v>1044</v>
      </c>
      <c r="B508" s="3">
        <v>44184</v>
      </c>
      <c r="C508" s="9">
        <f>YEAR(Orders_Table[[#This Row],[Order Date]])</f>
        <v>2020</v>
      </c>
      <c r="D508" s="9">
        <f>MONTH(Orders_Table[[#This Row],[Order Date]])</f>
        <v>12</v>
      </c>
      <c r="E508" s="9" t="str" cm="1">
        <f t="array" ref="E5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08" s="2" t="s">
        <v>1045</v>
      </c>
      <c r="G508" t="s">
        <v>53</v>
      </c>
      <c r="H508" s="2">
        <v>2</v>
      </c>
      <c r="I508" s="2" t="str" cm="1">
        <f t="array" ref="I508">_xlfn.XLOOKUP(F508,Customers!A507:$A$1001,Customers!B507:$B$1001,"Not Found",0)</f>
        <v>Diane-marie Wincer</v>
      </c>
      <c r="J508" s="2" t="str" cm="1">
        <f t="array" ref="J508">IF(_xlfn.XLOOKUP(F508,Customers!A507:$A$1001,Customers!C507:$C$1001,"Not Found",0)=0,"",_xlfn.XLOOKUP(F508,Customers!A507:$A$1001,Customers!C507:$C$1001,"Not Found",0))</f>
        <v>dwincere2@marriott.com</v>
      </c>
      <c r="K508" s="2" t="str" cm="1">
        <f t="array" ref="K508">_xlfn.XLOOKUP(F508,Customers!A507:$A$1001,Customers!G507:$G$1001,"Not Found",0)</f>
        <v>United States</v>
      </c>
      <c r="L508" t="str">
        <f>INDEX(Products!$A$1:$G$49,MATCH(Orders!$G508,Products!$A$1:$A$49,0),MATCH(Orders!L$1,Products!$A$1:$G$1,0))</f>
        <v>Ara</v>
      </c>
      <c r="M508" t="str">
        <f>INDEX(Products!$A$1:$G$49,MATCH(Orders!$G508,Products!$A$1:$A$49,0),MATCH(Orders!M$1,Products!$A$1:$G$1,0))</f>
        <v>L</v>
      </c>
      <c r="N508" s="4">
        <f>INDEX(Products!$A$1:$G$49,MATCH(Orders!$G508,Products!$A$1:$A$49,0),MATCH(Orders!N$1,Products!$A$1:$G$1,0))</f>
        <v>1</v>
      </c>
      <c r="O508" s="7">
        <f>INDEX(Products!$A$1:$G$49,MATCH(Orders!$G508,Products!$A$1:$A$49,0),MATCH(Orders!O$1,Products!$A$1:$G$1,0))</f>
        <v>12.95</v>
      </c>
      <c r="P508" s="7">
        <f t="shared" si="7"/>
        <v>25.9</v>
      </c>
      <c r="Q508" t="str" cm="1">
        <f t="array" ref="Q508">_xlfn.IFS(L508="Rob","Robusta",L508="Exc", "Excelsa",L508="Ara", "Arabica",L508="Lib", "Liberica")</f>
        <v>Arabica</v>
      </c>
      <c r="R508" t="str" cm="1">
        <f t="array" ref="R508">_xlfn.IFS(M508="M","Medium",M508="L","Light",M508="D","Dark")</f>
        <v>Light</v>
      </c>
    </row>
    <row r="509" spans="1:18">
      <c r="A509" s="2" t="s">
        <v>1046</v>
      </c>
      <c r="B509" s="3">
        <v>43516</v>
      </c>
      <c r="C509" s="9">
        <f>YEAR(Orders_Table[[#This Row],[Order Date]])</f>
        <v>2019</v>
      </c>
      <c r="D509" s="9">
        <f>MONTH(Orders_Table[[#This Row],[Order Date]])</f>
        <v>2</v>
      </c>
      <c r="E509" s="9" t="str" cm="1">
        <f t="array" ref="E5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09" s="2" t="s">
        <v>1047</v>
      </c>
      <c r="G509" t="s">
        <v>251</v>
      </c>
      <c r="H509" s="2">
        <v>3</v>
      </c>
      <c r="I509" s="2" t="str" cm="1">
        <f t="array" ref="I509">_xlfn.XLOOKUP(F509,Customers!A508:$A$1001,Customers!B508:$B$1001,"Not Found",0)</f>
        <v>Perry Lyfield</v>
      </c>
      <c r="J509" s="2" t="str" cm="1">
        <f t="array" ref="J509">IF(_xlfn.XLOOKUP(F509,Customers!A508:$A$1001,Customers!C508:$C$1001,"Not Found",0)=0,"",_xlfn.XLOOKUP(F509,Customers!A508:$A$1001,Customers!C508:$C$1001,"Not Found",0))</f>
        <v>plyfielde3@baidu.com</v>
      </c>
      <c r="K509" s="2" t="str" cm="1">
        <f t="array" ref="K509">_xlfn.XLOOKUP(F509,Customers!A508:$A$1001,Customers!G508:$G$1001,"Not Found",0)</f>
        <v>United States</v>
      </c>
      <c r="L509" t="str">
        <f>INDEX(Products!$A$1:$G$49,MATCH(Orders!$G509,Products!$A$1:$A$49,0),MATCH(Orders!L$1,Products!$A$1:$G$1,0))</f>
        <v>Ara</v>
      </c>
      <c r="M509" t="str">
        <f>INDEX(Products!$A$1:$G$49,MATCH(Orders!$G509,Products!$A$1:$A$49,0),MATCH(Orders!M$1,Products!$A$1:$G$1,0))</f>
        <v>L</v>
      </c>
      <c r="N509" s="4">
        <f>INDEX(Products!$A$1:$G$49,MATCH(Orders!$G509,Products!$A$1:$A$49,0),MATCH(Orders!N$1,Products!$A$1:$G$1,0))</f>
        <v>2.5</v>
      </c>
      <c r="O509" s="7">
        <f>INDEX(Products!$A$1:$G$49,MATCH(Orders!$G509,Products!$A$1:$A$49,0),MATCH(Orders!O$1,Products!$A$1:$G$1,0))</f>
        <v>29.784999999999997</v>
      </c>
      <c r="P509" s="7">
        <f t="shared" si="7"/>
        <v>89.35499999999999</v>
      </c>
      <c r="Q509" t="str" cm="1">
        <f t="array" ref="Q509">_xlfn.IFS(L509="Rob","Robusta",L509="Exc", "Excelsa",L509="Ara", "Arabica",L509="Lib", "Liberica")</f>
        <v>Arabica</v>
      </c>
      <c r="R509" t="str" cm="1">
        <f t="array" ref="R509">_xlfn.IFS(M509="M","Medium",M509="L","Light",M509="D","Dark")</f>
        <v>Light</v>
      </c>
    </row>
    <row r="510" spans="1:18">
      <c r="A510" s="2" t="s">
        <v>1048</v>
      </c>
      <c r="B510" s="3">
        <v>44210</v>
      </c>
      <c r="C510" s="9">
        <f>YEAR(Orders_Table[[#This Row],[Order Date]])</f>
        <v>2021</v>
      </c>
      <c r="D510" s="9">
        <f>MONTH(Orders_Table[[#This Row],[Order Date]])</f>
        <v>1</v>
      </c>
      <c r="E510" s="9" t="str" cm="1">
        <f t="array" ref="E5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10" s="2" t="s">
        <v>1049</v>
      </c>
      <c r="G510" t="s">
        <v>170</v>
      </c>
      <c r="H510" s="2">
        <v>6</v>
      </c>
      <c r="I510" s="2" t="str" cm="1">
        <f t="array" ref="I510">_xlfn.XLOOKUP(F510,Customers!A509:$A$1001,Customers!B509:$B$1001,"Not Found",0)</f>
        <v>Heall Perris</v>
      </c>
      <c r="J510" s="2" t="str" cm="1">
        <f t="array" ref="J510">IF(_xlfn.XLOOKUP(F510,Customers!A509:$A$1001,Customers!C509:$C$1001,"Not Found",0)=0,"",_xlfn.XLOOKUP(F510,Customers!A509:$A$1001,Customers!C509:$C$1001,"Not Found",0))</f>
        <v>hperrise4@studiopress.com</v>
      </c>
      <c r="K510" s="2" t="str" cm="1">
        <f t="array" ref="K510">_xlfn.XLOOKUP(F510,Customers!A509:$A$1001,Customers!G509:$G$1001,"Not Found",0)</f>
        <v>Ireland</v>
      </c>
      <c r="L510" t="str">
        <f>INDEX(Products!$A$1:$G$49,MATCH(Orders!$G510,Products!$A$1:$A$49,0),MATCH(Orders!L$1,Products!$A$1:$G$1,0))</f>
        <v>Lib</v>
      </c>
      <c r="M510" t="str">
        <f>INDEX(Products!$A$1:$G$49,MATCH(Orders!$G510,Products!$A$1:$A$49,0),MATCH(Orders!M$1,Products!$A$1:$G$1,0))</f>
        <v>D</v>
      </c>
      <c r="N510" s="4">
        <f>INDEX(Products!$A$1:$G$49,MATCH(Orders!$G510,Products!$A$1:$A$49,0),MATCH(Orders!N$1,Products!$A$1:$G$1,0))</f>
        <v>0.5</v>
      </c>
      <c r="O510" s="7">
        <f>INDEX(Products!$A$1:$G$49,MATCH(Orders!$G510,Products!$A$1:$A$49,0),MATCH(Orders!O$1,Products!$A$1:$G$1,0))</f>
        <v>7.77</v>
      </c>
      <c r="P510" s="7">
        <f t="shared" si="7"/>
        <v>46.62</v>
      </c>
      <c r="Q510" t="str" cm="1">
        <f t="array" ref="Q510">_xlfn.IFS(L510="Rob","Robusta",L510="Exc", "Excelsa",L510="Ara", "Arabica",L510="Lib", "Liberica")</f>
        <v>Liberica</v>
      </c>
      <c r="R510" t="str" cm="1">
        <f t="array" ref="R510">_xlfn.IFS(M510="M","Medium",M510="L","Light",M510="D","Dark")</f>
        <v>Dark</v>
      </c>
    </row>
    <row r="511" spans="1:18">
      <c r="A511" s="2" t="s">
        <v>1050</v>
      </c>
      <c r="B511" s="3">
        <v>43785</v>
      </c>
      <c r="C511" s="9">
        <f>YEAR(Orders_Table[[#This Row],[Order Date]])</f>
        <v>2019</v>
      </c>
      <c r="D511" s="9">
        <f>MONTH(Orders_Table[[#This Row],[Order Date]])</f>
        <v>11</v>
      </c>
      <c r="E511" s="9" t="str" cm="1">
        <f t="array" ref="E5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11" s="2" t="s">
        <v>1035</v>
      </c>
      <c r="G511" t="s">
        <v>74</v>
      </c>
      <c r="H511" s="2">
        <v>3</v>
      </c>
      <c r="I511" s="2" t="str" cm="1">
        <f t="array" ref="I511">_xlfn.XLOOKUP(F511,Customers!A510:$A$1001,Customers!B510:$B$1001,"Not Found",0)</f>
        <v>Marja Urion</v>
      </c>
      <c r="J511" s="2" t="str" cm="1">
        <f t="array" ref="J511">IF(_xlfn.XLOOKUP(F511,Customers!A510:$A$1001,Customers!C510:$C$1001,"Not Found",0)=0,"",_xlfn.XLOOKUP(F511,Customers!A510:$A$1001,Customers!C510:$C$1001,"Not Found",0))</f>
        <v>murione5@alexa.com</v>
      </c>
      <c r="K511" s="2" t="str" cm="1">
        <f t="array" ref="K511">_xlfn.XLOOKUP(F511,Customers!A510:$A$1001,Customers!G510:$G$1001,"Not Found",0)</f>
        <v>Ireland</v>
      </c>
      <c r="L511" t="str">
        <f>INDEX(Products!$A$1:$G$49,MATCH(Orders!$G511,Products!$A$1:$A$49,0),MATCH(Orders!L$1,Products!$A$1:$G$1,0))</f>
        <v>Ara</v>
      </c>
      <c r="M511" t="str">
        <f>INDEX(Products!$A$1:$G$49,MATCH(Orders!$G511,Products!$A$1:$A$49,0),MATCH(Orders!M$1,Products!$A$1:$G$1,0))</f>
        <v>D</v>
      </c>
      <c r="N511" s="4">
        <f>INDEX(Products!$A$1:$G$49,MATCH(Orders!$G511,Products!$A$1:$A$49,0),MATCH(Orders!N$1,Products!$A$1:$G$1,0))</f>
        <v>1</v>
      </c>
      <c r="O511" s="7">
        <f>INDEX(Products!$A$1:$G$49,MATCH(Orders!$G511,Products!$A$1:$A$49,0),MATCH(Orders!O$1,Products!$A$1:$G$1,0))</f>
        <v>9.9499999999999993</v>
      </c>
      <c r="P511" s="7">
        <f t="shared" si="7"/>
        <v>29.849999999999998</v>
      </c>
      <c r="Q511" t="str" cm="1">
        <f t="array" ref="Q511">_xlfn.IFS(L511="Rob","Robusta",L511="Exc", "Excelsa",L511="Ara", "Arabica",L511="Lib", "Liberica")</f>
        <v>Arabica</v>
      </c>
      <c r="R511" t="str" cm="1">
        <f t="array" ref="R511">_xlfn.IFS(M511="M","Medium",M511="L","Light",M511="D","Dark")</f>
        <v>Dark</v>
      </c>
    </row>
    <row r="512" spans="1:18">
      <c r="A512" s="2" t="s">
        <v>1051</v>
      </c>
      <c r="B512" s="3">
        <v>43803</v>
      </c>
      <c r="C512" s="9">
        <f>YEAR(Orders_Table[[#This Row],[Order Date]])</f>
        <v>2019</v>
      </c>
      <c r="D512" s="9">
        <f>MONTH(Orders_Table[[#This Row],[Order Date]])</f>
        <v>12</v>
      </c>
      <c r="E512" s="9" t="str" cm="1">
        <f t="array" ref="E5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12" s="2" t="s">
        <v>1052</v>
      </c>
      <c r="G512" t="s">
        <v>229</v>
      </c>
      <c r="H512" s="2">
        <v>3</v>
      </c>
      <c r="I512" s="2" t="str" cm="1">
        <f t="array" ref="I512">_xlfn.XLOOKUP(F512,Customers!A511:$A$1001,Customers!B511:$B$1001,"Not Found",0)</f>
        <v>Camellia Kid</v>
      </c>
      <c r="J512" s="2" t="str" cm="1">
        <f t="array" ref="J512">IF(_xlfn.XLOOKUP(F512,Customers!A511:$A$1001,Customers!C511:$C$1001,"Not Found",0)=0,"",_xlfn.XLOOKUP(F512,Customers!A511:$A$1001,Customers!C511:$C$1001,"Not Found",0))</f>
        <v>ckide6@narod.ru</v>
      </c>
      <c r="K512" s="2" t="str" cm="1">
        <f t="array" ref="K512">_xlfn.XLOOKUP(F512,Customers!A511:$A$1001,Customers!G511:$G$1001,"Not Found",0)</f>
        <v>Ireland</v>
      </c>
      <c r="L512" t="str">
        <f>INDEX(Products!$A$1:$G$49,MATCH(Orders!$G512,Products!$A$1:$A$49,0),MATCH(Orders!L$1,Products!$A$1:$G$1,0))</f>
        <v>Rob</v>
      </c>
      <c r="M512" t="str">
        <f>INDEX(Products!$A$1:$G$49,MATCH(Orders!$G512,Products!$A$1:$A$49,0),MATCH(Orders!M$1,Products!$A$1:$G$1,0))</f>
        <v>L</v>
      </c>
      <c r="N512" s="4">
        <f>INDEX(Products!$A$1:$G$49,MATCH(Orders!$G512,Products!$A$1:$A$49,0),MATCH(Orders!N$1,Products!$A$1:$G$1,0))</f>
        <v>0.2</v>
      </c>
      <c r="O512" s="7">
        <f>INDEX(Products!$A$1:$G$49,MATCH(Orders!$G512,Products!$A$1:$A$49,0),MATCH(Orders!O$1,Products!$A$1:$G$1,0))</f>
        <v>3.5849999999999995</v>
      </c>
      <c r="P512" s="7">
        <f t="shared" si="7"/>
        <v>10.754999999999999</v>
      </c>
      <c r="Q512" t="str" cm="1">
        <f t="array" ref="Q512">_xlfn.IFS(L512="Rob","Robusta",L512="Exc", "Excelsa",L512="Ara", "Arabica",L512="Lib", "Liberica")</f>
        <v>Robusta</v>
      </c>
      <c r="R512" t="str" cm="1">
        <f t="array" ref="R512">_xlfn.IFS(M512="M","Medium",M512="L","Light",M512="D","Dark")</f>
        <v>Light</v>
      </c>
    </row>
    <row r="513" spans="1:18">
      <c r="A513" s="2" t="s">
        <v>1053</v>
      </c>
      <c r="B513" s="3">
        <v>44043</v>
      </c>
      <c r="C513" s="9">
        <f>YEAR(Orders_Table[[#This Row],[Order Date]])</f>
        <v>2020</v>
      </c>
      <c r="D513" s="9">
        <f>MONTH(Orders_Table[[#This Row],[Order Date]])</f>
        <v>7</v>
      </c>
      <c r="E513" s="9" t="str" cm="1">
        <f t="array" ref="E5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13" s="2" t="s">
        <v>1054</v>
      </c>
      <c r="G513" t="s">
        <v>91</v>
      </c>
      <c r="H513" s="2">
        <v>4</v>
      </c>
      <c r="I513" s="2" t="str" cm="1">
        <f t="array" ref="I513">_xlfn.XLOOKUP(F513,Customers!A512:$A$1001,Customers!B512:$B$1001,"Not Found",0)</f>
        <v>Carolann Beine</v>
      </c>
      <c r="J513" s="2" t="str" cm="1">
        <f t="array" ref="J513">IF(_xlfn.XLOOKUP(F513,Customers!A512:$A$1001,Customers!C512:$C$1001,"Not Found",0)=0,"",_xlfn.XLOOKUP(F513,Customers!A512:$A$1001,Customers!C512:$C$1001,"Not Found",0))</f>
        <v>cbeinee7@xinhuanet.com</v>
      </c>
      <c r="K513" s="2" t="str" cm="1">
        <f t="array" ref="K513">_xlfn.XLOOKUP(F513,Customers!A512:$A$1001,Customers!G512:$G$1001,"Not Found",0)</f>
        <v>United States</v>
      </c>
      <c r="L513" t="str">
        <f>INDEX(Products!$A$1:$G$49,MATCH(Orders!$G513,Products!$A$1:$A$49,0),MATCH(Orders!L$1,Products!$A$1:$G$1,0))</f>
        <v>Ara</v>
      </c>
      <c r="M513" t="str">
        <f>INDEX(Products!$A$1:$G$49,MATCH(Orders!$G513,Products!$A$1:$A$49,0),MATCH(Orders!M$1,Products!$A$1:$G$1,0))</f>
        <v>M</v>
      </c>
      <c r="N513" s="4">
        <f>INDEX(Products!$A$1:$G$49,MATCH(Orders!$G513,Products!$A$1:$A$49,0),MATCH(Orders!N$1,Products!$A$1:$G$1,0))</f>
        <v>0.2</v>
      </c>
      <c r="O513" s="7">
        <f>INDEX(Products!$A$1:$G$49,MATCH(Orders!$G513,Products!$A$1:$A$49,0),MATCH(Orders!O$1,Products!$A$1:$G$1,0))</f>
        <v>3.375</v>
      </c>
      <c r="P513" s="7">
        <f t="shared" si="7"/>
        <v>13.5</v>
      </c>
      <c r="Q513" t="str" cm="1">
        <f t="array" ref="Q513">_xlfn.IFS(L513="Rob","Robusta",L513="Exc", "Excelsa",L513="Ara", "Arabica",L513="Lib", "Liberica")</f>
        <v>Arabica</v>
      </c>
      <c r="R513" t="str" cm="1">
        <f t="array" ref="R513">_xlfn.IFS(M513="M","Medium",M513="L","Light",M513="D","Dark")</f>
        <v>Medium</v>
      </c>
    </row>
    <row r="514" spans="1:18">
      <c r="A514" s="2" t="s">
        <v>1055</v>
      </c>
      <c r="B514" s="3">
        <v>43535</v>
      </c>
      <c r="C514" s="9">
        <f>YEAR(Orders_Table[[#This Row],[Order Date]])</f>
        <v>2019</v>
      </c>
      <c r="D514" s="9">
        <f>MONTH(Orders_Table[[#This Row],[Order Date]])</f>
        <v>3</v>
      </c>
      <c r="E514" s="9" t="str" cm="1">
        <f t="array" ref="E5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14" s="2" t="s">
        <v>1056</v>
      </c>
      <c r="G514" t="s">
        <v>179</v>
      </c>
      <c r="H514" s="2">
        <v>3</v>
      </c>
      <c r="I514" s="2" t="str" cm="1">
        <f t="array" ref="I514">_xlfn.XLOOKUP(F514,Customers!A513:$A$1001,Customers!B513:$B$1001,"Not Found",0)</f>
        <v>Celia Bakeup</v>
      </c>
      <c r="J514" s="2" t="str" cm="1">
        <f t="array" ref="J514">IF(_xlfn.XLOOKUP(F514,Customers!A513:$A$1001,Customers!C513:$C$1001,"Not Found",0)=0,"",_xlfn.XLOOKUP(F514,Customers!A513:$A$1001,Customers!C513:$C$1001,"Not Found",0))</f>
        <v>cbakeupe8@globo.com</v>
      </c>
      <c r="K514" s="2" t="str" cm="1">
        <f t="array" ref="K514">_xlfn.XLOOKUP(F514,Customers!A513:$A$1001,Customers!G513:$G$1001,"Not Found",0)</f>
        <v>United States</v>
      </c>
      <c r="L514" t="str">
        <f>INDEX(Products!$A$1:$G$49,MATCH(Orders!$G514,Products!$A$1:$A$49,0),MATCH(Orders!L$1,Products!$A$1:$G$1,0))</f>
        <v>Lib</v>
      </c>
      <c r="M514" t="str">
        <f>INDEX(Products!$A$1:$G$49,MATCH(Orders!$G514,Products!$A$1:$A$49,0),MATCH(Orders!M$1,Products!$A$1:$G$1,0))</f>
        <v>L</v>
      </c>
      <c r="N514" s="4">
        <f>INDEX(Products!$A$1:$G$49,MATCH(Orders!$G514,Products!$A$1:$A$49,0),MATCH(Orders!N$1,Products!$A$1:$G$1,0))</f>
        <v>1</v>
      </c>
      <c r="O514" s="7">
        <f>INDEX(Products!$A$1:$G$49,MATCH(Orders!$G514,Products!$A$1:$A$49,0),MATCH(Orders!O$1,Products!$A$1:$G$1,0))</f>
        <v>15.85</v>
      </c>
      <c r="P514" s="7">
        <f t="shared" si="7"/>
        <v>47.55</v>
      </c>
      <c r="Q514" t="str" cm="1">
        <f t="array" ref="Q514">_xlfn.IFS(L514="Rob","Robusta",L514="Exc", "Excelsa",L514="Ara", "Arabica",L514="Lib", "Liberica")</f>
        <v>Liberica</v>
      </c>
      <c r="R514" t="str" cm="1">
        <f t="array" ref="R514">_xlfn.IFS(M514="M","Medium",M514="L","Light",M514="D","Dark")</f>
        <v>Light</v>
      </c>
    </row>
    <row r="515" spans="1:18">
      <c r="A515" s="2" t="s">
        <v>1057</v>
      </c>
      <c r="B515" s="3">
        <v>44691</v>
      </c>
      <c r="C515" s="9">
        <f>YEAR(Orders_Table[[#This Row],[Order Date]])</f>
        <v>2022</v>
      </c>
      <c r="D515" s="9">
        <f>MONTH(Orders_Table[[#This Row],[Order Date]])</f>
        <v>5</v>
      </c>
      <c r="E515" s="9" t="str" cm="1">
        <f t="array" ref="E5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15" s="2" t="s">
        <v>1058</v>
      </c>
      <c r="G515" t="s">
        <v>179</v>
      </c>
      <c r="H515" s="2">
        <v>5</v>
      </c>
      <c r="I515" s="2" t="str" cm="1">
        <f t="array" ref="I515">_xlfn.XLOOKUP(F515,Customers!A514:$A$1001,Customers!B514:$B$1001,"Not Found",0)</f>
        <v>Nataniel Helkin</v>
      </c>
      <c r="J515" s="2" t="str" cm="1">
        <f t="array" ref="J515">IF(_xlfn.XLOOKUP(F515,Customers!A514:$A$1001,Customers!C514:$C$1001,"Not Found",0)=0,"",_xlfn.XLOOKUP(F515,Customers!A514:$A$1001,Customers!C514:$C$1001,"Not Found",0))</f>
        <v>nhelkine9@example.com</v>
      </c>
      <c r="K515" s="2" t="str" cm="1">
        <f t="array" ref="K515">_xlfn.XLOOKUP(F515,Customers!A514:$A$1001,Customers!G514:$G$1001,"Not Found",0)</f>
        <v>United States</v>
      </c>
      <c r="L515" t="str">
        <f>INDEX(Products!$A$1:$G$49,MATCH(Orders!$G515,Products!$A$1:$A$49,0),MATCH(Orders!L$1,Products!$A$1:$G$1,0))</f>
        <v>Lib</v>
      </c>
      <c r="M515" t="str">
        <f>INDEX(Products!$A$1:$G$49,MATCH(Orders!$G515,Products!$A$1:$A$49,0),MATCH(Orders!M$1,Products!$A$1:$G$1,0))</f>
        <v>L</v>
      </c>
      <c r="N515" s="4">
        <f>INDEX(Products!$A$1:$G$49,MATCH(Orders!$G515,Products!$A$1:$A$49,0),MATCH(Orders!N$1,Products!$A$1:$G$1,0))</f>
        <v>1</v>
      </c>
      <c r="O515" s="7">
        <f>INDEX(Products!$A$1:$G$49,MATCH(Orders!$G515,Products!$A$1:$A$49,0),MATCH(Orders!O$1,Products!$A$1:$G$1,0))</f>
        <v>15.85</v>
      </c>
      <c r="P515" s="7">
        <f t="shared" ref="P515:P578" si="8">O515*H515</f>
        <v>79.25</v>
      </c>
      <c r="Q515" t="str" cm="1">
        <f t="array" ref="Q515">_xlfn.IFS(L515="Rob","Robusta",L515="Exc", "Excelsa",L515="Ara", "Arabica",L515="Lib", "Liberica")</f>
        <v>Liberica</v>
      </c>
      <c r="R515" t="str" cm="1">
        <f t="array" ref="R515">_xlfn.IFS(M515="M","Medium",M515="L","Light",M515="D","Dark")</f>
        <v>Light</v>
      </c>
    </row>
    <row r="516" spans="1:18">
      <c r="A516" s="2" t="s">
        <v>1059</v>
      </c>
      <c r="B516" s="3">
        <v>44555</v>
      </c>
      <c r="C516" s="9">
        <f>YEAR(Orders_Table[[#This Row],[Order Date]])</f>
        <v>2021</v>
      </c>
      <c r="D516" s="9">
        <f>MONTH(Orders_Table[[#This Row],[Order Date]])</f>
        <v>12</v>
      </c>
      <c r="E516" s="9" t="str" cm="1">
        <f t="array" ref="E5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16" s="2" t="s">
        <v>1060</v>
      </c>
      <c r="G516" t="s">
        <v>124</v>
      </c>
      <c r="H516" s="2">
        <v>6</v>
      </c>
      <c r="I516" s="2" t="str" cm="1">
        <f t="array" ref="I516">_xlfn.XLOOKUP(F516,Customers!A515:$A$1001,Customers!B515:$B$1001,"Not Found",0)</f>
        <v>Pippo Witherington</v>
      </c>
      <c r="J516" s="2" t="str" cm="1">
        <f t="array" ref="J516">IF(_xlfn.XLOOKUP(F516,Customers!A515:$A$1001,Customers!C515:$C$1001,"Not Found",0)=0,"",_xlfn.XLOOKUP(F516,Customers!A515:$A$1001,Customers!C515:$C$1001,"Not Found",0))</f>
        <v>pwitheringtonea@networkadvertising.org</v>
      </c>
      <c r="K516" s="2" t="str" cm="1">
        <f t="array" ref="K516">_xlfn.XLOOKUP(F516,Customers!A515:$A$1001,Customers!G515:$G$1001,"Not Found",0)</f>
        <v>United States</v>
      </c>
      <c r="L516" t="str">
        <f>INDEX(Products!$A$1:$G$49,MATCH(Orders!$G516,Products!$A$1:$A$49,0),MATCH(Orders!L$1,Products!$A$1:$G$1,0))</f>
        <v>Lib</v>
      </c>
      <c r="M516" t="str">
        <f>INDEX(Products!$A$1:$G$49,MATCH(Orders!$G516,Products!$A$1:$A$49,0),MATCH(Orders!M$1,Products!$A$1:$G$1,0))</f>
        <v>M</v>
      </c>
      <c r="N516" s="4">
        <f>INDEX(Products!$A$1:$G$49,MATCH(Orders!$G516,Products!$A$1:$A$49,0),MATCH(Orders!N$1,Products!$A$1:$G$1,0))</f>
        <v>0.2</v>
      </c>
      <c r="O516" s="7">
        <f>INDEX(Products!$A$1:$G$49,MATCH(Orders!$G516,Products!$A$1:$A$49,0),MATCH(Orders!O$1,Products!$A$1:$G$1,0))</f>
        <v>4.3650000000000002</v>
      </c>
      <c r="P516" s="7">
        <f t="shared" si="8"/>
        <v>26.19</v>
      </c>
      <c r="Q516" t="str" cm="1">
        <f t="array" ref="Q516">_xlfn.IFS(L516="Rob","Robusta",L516="Exc", "Excelsa",L516="Ara", "Arabica",L516="Lib", "Liberica")</f>
        <v>Liberica</v>
      </c>
      <c r="R516" t="str" cm="1">
        <f t="array" ref="R516">_xlfn.IFS(M516="M","Medium",M516="L","Light",M516="D","Dark")</f>
        <v>Medium</v>
      </c>
    </row>
    <row r="517" spans="1:18">
      <c r="A517" s="2" t="s">
        <v>1061</v>
      </c>
      <c r="B517" s="3">
        <v>44673</v>
      </c>
      <c r="C517" s="9">
        <f>YEAR(Orders_Table[[#This Row],[Order Date]])</f>
        <v>2022</v>
      </c>
      <c r="D517" s="9">
        <f>MONTH(Orders_Table[[#This Row],[Order Date]])</f>
        <v>4</v>
      </c>
      <c r="E517" s="9" t="str" cm="1">
        <f t="array" ref="E5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17" s="2" t="s">
        <v>1062</v>
      </c>
      <c r="G517" t="s">
        <v>204</v>
      </c>
      <c r="H517" s="2">
        <v>3</v>
      </c>
      <c r="I517" s="2" t="str" cm="1">
        <f t="array" ref="I517">_xlfn.XLOOKUP(F517,Customers!A516:$A$1001,Customers!B516:$B$1001,"Not Found",0)</f>
        <v>Tildie Tilzey</v>
      </c>
      <c r="J517" s="2" t="str" cm="1">
        <f t="array" ref="J517">IF(_xlfn.XLOOKUP(F517,Customers!A516:$A$1001,Customers!C516:$C$1001,"Not Found",0)=0,"",_xlfn.XLOOKUP(F517,Customers!A516:$A$1001,Customers!C516:$C$1001,"Not Found",0))</f>
        <v>ttilzeyeb@hostgator.com</v>
      </c>
      <c r="K517" s="2" t="str" cm="1">
        <f t="array" ref="K517">_xlfn.XLOOKUP(F517,Customers!A516:$A$1001,Customers!G516:$G$1001,"Not Found",0)</f>
        <v>United States</v>
      </c>
      <c r="L517" t="str">
        <f>INDEX(Products!$A$1:$G$49,MATCH(Orders!$G517,Products!$A$1:$A$49,0),MATCH(Orders!L$1,Products!$A$1:$G$1,0))</f>
        <v>Rob</v>
      </c>
      <c r="M517" t="str">
        <f>INDEX(Products!$A$1:$G$49,MATCH(Orders!$G517,Products!$A$1:$A$49,0),MATCH(Orders!M$1,Products!$A$1:$G$1,0))</f>
        <v>L</v>
      </c>
      <c r="N517" s="4">
        <f>INDEX(Products!$A$1:$G$49,MATCH(Orders!$G517,Products!$A$1:$A$49,0),MATCH(Orders!N$1,Products!$A$1:$G$1,0))</f>
        <v>0.5</v>
      </c>
      <c r="O517" s="7">
        <f>INDEX(Products!$A$1:$G$49,MATCH(Orders!$G517,Products!$A$1:$A$49,0),MATCH(Orders!O$1,Products!$A$1:$G$1,0))</f>
        <v>7.169999999999999</v>
      </c>
      <c r="P517" s="7">
        <f t="shared" si="8"/>
        <v>21.509999999999998</v>
      </c>
      <c r="Q517" t="str" cm="1">
        <f t="array" ref="Q517">_xlfn.IFS(L517="Rob","Robusta",L517="Exc", "Excelsa",L517="Ara", "Arabica",L517="Lib", "Liberica")</f>
        <v>Robusta</v>
      </c>
      <c r="R517" t="str" cm="1">
        <f t="array" ref="R517">_xlfn.IFS(M517="M","Medium",M517="L","Light",M517="D","Dark")</f>
        <v>Light</v>
      </c>
    </row>
    <row r="518" spans="1:18">
      <c r="A518" s="2" t="s">
        <v>1063</v>
      </c>
      <c r="B518" s="3">
        <v>44723</v>
      </c>
      <c r="C518" s="9">
        <f>YEAR(Orders_Table[[#This Row],[Order Date]])</f>
        <v>2022</v>
      </c>
      <c r="D518" s="9">
        <f>MONTH(Orders_Table[[#This Row],[Order Date]])</f>
        <v>6</v>
      </c>
      <c r="E518" s="9" t="str" cm="1">
        <f t="array" ref="E5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18" s="2" t="s">
        <v>1064</v>
      </c>
      <c r="G518" t="s">
        <v>82</v>
      </c>
      <c r="H518" s="2">
        <v>5</v>
      </c>
      <c r="I518" s="2" t="str" cm="1">
        <f t="array" ref="I518">_xlfn.XLOOKUP(F518,Customers!A517:$A$1001,Customers!B517:$B$1001,"Not Found",0)</f>
        <v>Cindra Burling</v>
      </c>
      <c r="J518" s="2" t="str" cm="1">
        <f t="array" ref="J518">IF(_xlfn.XLOOKUP(F518,Customers!A517:$A$1001,Customers!C517:$C$1001,"Not Found",0)=0,"",_xlfn.XLOOKUP(F518,Customers!A517:$A$1001,Customers!C517:$C$1001,"Not Found",0))</f>
        <v/>
      </c>
      <c r="K518" s="2" t="str" cm="1">
        <f t="array" ref="K518">_xlfn.XLOOKUP(F518,Customers!A517:$A$1001,Customers!G517:$G$1001,"Not Found",0)</f>
        <v>United States</v>
      </c>
      <c r="L518" t="str">
        <f>INDEX(Products!$A$1:$G$49,MATCH(Orders!$G518,Products!$A$1:$A$49,0),MATCH(Orders!L$1,Products!$A$1:$G$1,0))</f>
        <v>Rob</v>
      </c>
      <c r="M518" t="str">
        <f>INDEX(Products!$A$1:$G$49,MATCH(Orders!$G518,Products!$A$1:$A$49,0),MATCH(Orders!M$1,Products!$A$1:$G$1,0))</f>
        <v>D</v>
      </c>
      <c r="N518" s="4">
        <f>INDEX(Products!$A$1:$G$49,MATCH(Orders!$G518,Products!$A$1:$A$49,0),MATCH(Orders!N$1,Products!$A$1:$G$1,0))</f>
        <v>2.5</v>
      </c>
      <c r="O518" s="7">
        <f>INDEX(Products!$A$1:$G$49,MATCH(Orders!$G518,Products!$A$1:$A$49,0),MATCH(Orders!O$1,Products!$A$1:$G$1,0))</f>
        <v>20.584999999999997</v>
      </c>
      <c r="P518" s="7">
        <f t="shared" si="8"/>
        <v>102.92499999999998</v>
      </c>
      <c r="Q518" t="str" cm="1">
        <f t="array" ref="Q518">_xlfn.IFS(L518="Rob","Robusta",L518="Exc", "Excelsa",L518="Ara", "Arabica",L518="Lib", "Liberica")</f>
        <v>Robusta</v>
      </c>
      <c r="R518" t="str" cm="1">
        <f t="array" ref="R518">_xlfn.IFS(M518="M","Medium",M518="L","Light",M518="D","Dark")</f>
        <v>Dark</v>
      </c>
    </row>
    <row r="519" spans="1:18">
      <c r="A519" s="2" t="s">
        <v>1065</v>
      </c>
      <c r="B519" s="3">
        <v>44678</v>
      </c>
      <c r="C519" s="9">
        <f>YEAR(Orders_Table[[#This Row],[Order Date]])</f>
        <v>2022</v>
      </c>
      <c r="D519" s="9">
        <f>MONTH(Orders_Table[[#This Row],[Order Date]])</f>
        <v>4</v>
      </c>
      <c r="E519" s="9" t="str" cm="1">
        <f t="array" ref="E5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19" s="2" t="s">
        <v>1066</v>
      </c>
      <c r="G519" t="s">
        <v>85</v>
      </c>
      <c r="H519" s="2">
        <v>2</v>
      </c>
      <c r="I519" s="2" t="str" cm="1">
        <f t="array" ref="I519">_xlfn.XLOOKUP(F519,Customers!A518:$A$1001,Customers!B518:$B$1001,"Not Found",0)</f>
        <v>Channa Belamy</v>
      </c>
      <c r="J519" s="2" t="str" cm="1">
        <f t="array" ref="J519">IF(_xlfn.XLOOKUP(F519,Customers!A518:$A$1001,Customers!C518:$C$1001,"Not Found",0)=0,"",_xlfn.XLOOKUP(F519,Customers!A518:$A$1001,Customers!C518:$C$1001,"Not Found",0))</f>
        <v/>
      </c>
      <c r="K519" s="2" t="str" cm="1">
        <f t="array" ref="K519">_xlfn.XLOOKUP(F519,Customers!A518:$A$1001,Customers!G518:$G$1001,"Not Found",0)</f>
        <v>United States</v>
      </c>
      <c r="L519" t="str">
        <f>INDEX(Products!$A$1:$G$49,MATCH(Orders!$G519,Products!$A$1:$A$49,0),MATCH(Orders!L$1,Products!$A$1:$G$1,0))</f>
        <v>Lib</v>
      </c>
      <c r="M519" t="str">
        <f>INDEX(Products!$A$1:$G$49,MATCH(Orders!$G519,Products!$A$1:$A$49,0),MATCH(Orders!M$1,Products!$A$1:$G$1,0))</f>
        <v>D</v>
      </c>
      <c r="N519" s="4">
        <f>INDEX(Products!$A$1:$G$49,MATCH(Orders!$G519,Products!$A$1:$A$49,0),MATCH(Orders!N$1,Products!$A$1:$G$1,0))</f>
        <v>0.2</v>
      </c>
      <c r="O519" s="7">
        <f>INDEX(Products!$A$1:$G$49,MATCH(Orders!$G519,Products!$A$1:$A$49,0),MATCH(Orders!O$1,Products!$A$1:$G$1,0))</f>
        <v>3.8849999999999998</v>
      </c>
      <c r="P519" s="7">
        <f t="shared" si="8"/>
        <v>7.77</v>
      </c>
      <c r="Q519" t="str" cm="1">
        <f t="array" ref="Q519">_xlfn.IFS(L519="Rob","Robusta",L519="Exc", "Excelsa",L519="Ara", "Arabica",L519="Lib", "Liberica")</f>
        <v>Liberica</v>
      </c>
      <c r="R519" t="str" cm="1">
        <f t="array" ref="R519">_xlfn.IFS(M519="M","Medium",M519="L","Light",M519="D","Dark")</f>
        <v>Dark</v>
      </c>
    </row>
    <row r="520" spans="1:18">
      <c r="A520" s="2" t="s">
        <v>1067</v>
      </c>
      <c r="B520" s="3">
        <v>44194</v>
      </c>
      <c r="C520" s="9">
        <f>YEAR(Orders_Table[[#This Row],[Order Date]])</f>
        <v>2020</v>
      </c>
      <c r="D520" s="9">
        <f>MONTH(Orders_Table[[#This Row],[Order Date]])</f>
        <v>12</v>
      </c>
      <c r="E520" s="9" t="str" cm="1">
        <f t="array" ref="E5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20" s="2" t="s">
        <v>1068</v>
      </c>
      <c r="G520" t="s">
        <v>577</v>
      </c>
      <c r="H520" s="2">
        <v>5</v>
      </c>
      <c r="I520" s="2" t="str" cm="1">
        <f t="array" ref="I520">_xlfn.XLOOKUP(F520,Customers!A519:$A$1001,Customers!B519:$B$1001,"Not Found",0)</f>
        <v>Karl Imorts</v>
      </c>
      <c r="J520" s="2" t="str" cm="1">
        <f t="array" ref="J520">IF(_xlfn.XLOOKUP(F520,Customers!A519:$A$1001,Customers!C519:$C$1001,"Not Found",0)=0,"",_xlfn.XLOOKUP(F520,Customers!A519:$A$1001,Customers!C519:$C$1001,"Not Found",0))</f>
        <v>kimortsee@alexa.com</v>
      </c>
      <c r="K520" s="2" t="str" cm="1">
        <f t="array" ref="K520">_xlfn.XLOOKUP(F520,Customers!A519:$A$1001,Customers!G519:$G$1001,"Not Found",0)</f>
        <v>United States</v>
      </c>
      <c r="L520" t="str">
        <f>INDEX(Products!$A$1:$G$49,MATCH(Orders!$G520,Products!$A$1:$A$49,0),MATCH(Orders!L$1,Products!$A$1:$G$1,0))</f>
        <v>Exc</v>
      </c>
      <c r="M520" t="str">
        <f>INDEX(Products!$A$1:$G$49,MATCH(Orders!$G520,Products!$A$1:$A$49,0),MATCH(Orders!M$1,Products!$A$1:$G$1,0))</f>
        <v>D</v>
      </c>
      <c r="N520" s="4">
        <f>INDEX(Products!$A$1:$G$49,MATCH(Orders!$G520,Products!$A$1:$A$49,0),MATCH(Orders!N$1,Products!$A$1:$G$1,0))</f>
        <v>2.5</v>
      </c>
      <c r="O520" s="7">
        <f>INDEX(Products!$A$1:$G$49,MATCH(Orders!$G520,Products!$A$1:$A$49,0),MATCH(Orders!O$1,Products!$A$1:$G$1,0))</f>
        <v>27.945</v>
      </c>
      <c r="P520" s="7">
        <f t="shared" si="8"/>
        <v>139.72499999999999</v>
      </c>
      <c r="Q520" t="str" cm="1">
        <f t="array" ref="Q520">_xlfn.IFS(L520="Rob","Robusta",L520="Exc", "Excelsa",L520="Ara", "Arabica",L520="Lib", "Liberica")</f>
        <v>Excelsa</v>
      </c>
      <c r="R520" t="str" cm="1">
        <f t="array" ref="R520">_xlfn.IFS(M520="M","Medium",M520="L","Light",M520="D","Dark")</f>
        <v>Dark</v>
      </c>
    </row>
    <row r="521" spans="1:18">
      <c r="A521" s="2" t="s">
        <v>1069</v>
      </c>
      <c r="B521" s="3">
        <v>44026</v>
      </c>
      <c r="C521" s="9">
        <f>YEAR(Orders_Table[[#This Row],[Order Date]])</f>
        <v>2020</v>
      </c>
      <c r="D521" s="9">
        <f>MONTH(Orders_Table[[#This Row],[Order Date]])</f>
        <v>7</v>
      </c>
      <c r="E521" s="9" t="str" cm="1">
        <f t="array" ref="E5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21" s="2" t="s">
        <v>1035</v>
      </c>
      <c r="G521" t="s">
        <v>119</v>
      </c>
      <c r="H521" s="2">
        <v>2</v>
      </c>
      <c r="I521" s="2" t="str" cm="1">
        <f t="array" ref="I521">_xlfn.XLOOKUP(F521,Customers!A520:$A$1001,Customers!B520:$B$1001,"Not Found",0)</f>
        <v>Not Found</v>
      </c>
      <c r="J521" s="2" t="str" cm="1">
        <f t="array" ref="J521">IF(_xlfn.XLOOKUP(F521,Customers!A520:$A$1001,Customers!C520:$C$1001,"Not Found",0)=0,"",_xlfn.XLOOKUP(F521,Customers!A520:$A$1001,Customers!C520:$C$1001,"Not Found",0))</f>
        <v>Not Found</v>
      </c>
      <c r="K521" s="2" t="str" cm="1">
        <f t="array" ref="K521">_xlfn.XLOOKUP(F521,Customers!A520:$A$1001,Customers!G520:$G$1001,"Not Found",0)</f>
        <v>Not Found</v>
      </c>
      <c r="L521" t="str">
        <f>INDEX(Products!$A$1:$G$49,MATCH(Orders!$G521,Products!$A$1:$A$49,0),MATCH(Orders!L$1,Products!$A$1:$G$1,0))</f>
        <v>Ara</v>
      </c>
      <c r="M521" t="str">
        <f>INDEX(Products!$A$1:$G$49,MATCH(Orders!$G521,Products!$A$1:$A$49,0),MATCH(Orders!M$1,Products!$A$1:$G$1,0))</f>
        <v>D</v>
      </c>
      <c r="N521" s="4">
        <f>INDEX(Products!$A$1:$G$49,MATCH(Orders!$G521,Products!$A$1:$A$49,0),MATCH(Orders!N$1,Products!$A$1:$G$1,0))</f>
        <v>0.5</v>
      </c>
      <c r="O521" s="7">
        <f>INDEX(Products!$A$1:$G$49,MATCH(Orders!$G521,Products!$A$1:$A$49,0),MATCH(Orders!O$1,Products!$A$1:$G$1,0))</f>
        <v>5.97</v>
      </c>
      <c r="P521" s="7">
        <f t="shared" si="8"/>
        <v>11.94</v>
      </c>
      <c r="Q521" t="str" cm="1">
        <f t="array" ref="Q521">_xlfn.IFS(L521="Rob","Robusta",L521="Exc", "Excelsa",L521="Ara", "Arabica",L521="Lib", "Liberica")</f>
        <v>Arabica</v>
      </c>
      <c r="R521" t="str" cm="1">
        <f t="array" ref="R521">_xlfn.IFS(M521="M","Medium",M521="L","Light",M521="D","Dark")</f>
        <v>Dark</v>
      </c>
    </row>
    <row r="522" spans="1:18">
      <c r="A522" s="2" t="s">
        <v>1070</v>
      </c>
      <c r="B522" s="3">
        <v>44446</v>
      </c>
      <c r="C522" s="9">
        <f>YEAR(Orders_Table[[#This Row],[Order Date]])</f>
        <v>2021</v>
      </c>
      <c r="D522" s="9">
        <f>MONTH(Orders_Table[[#This Row],[Order Date]])</f>
        <v>9</v>
      </c>
      <c r="E522" s="9" t="str" cm="1">
        <f t="array" ref="E5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22" s="2" t="s">
        <v>1071</v>
      </c>
      <c r="G522" t="s">
        <v>85</v>
      </c>
      <c r="H522" s="2">
        <v>1</v>
      </c>
      <c r="I522" s="2" t="str" cm="1">
        <f t="array" ref="I522">_xlfn.XLOOKUP(F522,Customers!A521:$A$1001,Customers!B521:$B$1001,"Not Found",0)</f>
        <v>Mag Armistead</v>
      </c>
      <c r="J522" s="2" t="str" cm="1">
        <f t="array" ref="J522">IF(_xlfn.XLOOKUP(F522,Customers!A521:$A$1001,Customers!C521:$C$1001,"Not Found",0)=0,"",_xlfn.XLOOKUP(F522,Customers!A521:$A$1001,Customers!C521:$C$1001,"Not Found",0))</f>
        <v>marmisteadeg@blogtalkradio.com</v>
      </c>
      <c r="K522" s="2" t="str" cm="1">
        <f t="array" ref="K522">_xlfn.XLOOKUP(F522,Customers!A521:$A$1001,Customers!G521:$G$1001,"Not Found",0)</f>
        <v>United States</v>
      </c>
      <c r="L522" t="str">
        <f>INDEX(Products!$A$1:$G$49,MATCH(Orders!$G522,Products!$A$1:$A$49,0),MATCH(Orders!L$1,Products!$A$1:$G$1,0))</f>
        <v>Lib</v>
      </c>
      <c r="M522" t="str">
        <f>INDEX(Products!$A$1:$G$49,MATCH(Orders!$G522,Products!$A$1:$A$49,0),MATCH(Orders!M$1,Products!$A$1:$G$1,0))</f>
        <v>D</v>
      </c>
      <c r="N522" s="4">
        <f>INDEX(Products!$A$1:$G$49,MATCH(Orders!$G522,Products!$A$1:$A$49,0),MATCH(Orders!N$1,Products!$A$1:$G$1,0))</f>
        <v>0.2</v>
      </c>
      <c r="O522" s="7">
        <f>INDEX(Products!$A$1:$G$49,MATCH(Orders!$G522,Products!$A$1:$A$49,0),MATCH(Orders!O$1,Products!$A$1:$G$1,0))</f>
        <v>3.8849999999999998</v>
      </c>
      <c r="P522" s="7">
        <f t="shared" si="8"/>
        <v>3.8849999999999998</v>
      </c>
      <c r="Q522" t="str" cm="1">
        <f t="array" ref="Q522">_xlfn.IFS(L522="Rob","Robusta",L522="Exc", "Excelsa",L522="Ara", "Arabica",L522="Lib", "Liberica")</f>
        <v>Liberica</v>
      </c>
      <c r="R522" t="str" cm="1">
        <f t="array" ref="R522">_xlfn.IFS(M522="M","Medium",M522="L","Light",M522="D","Dark")</f>
        <v>Dark</v>
      </c>
    </row>
    <row r="523" spans="1:18">
      <c r="A523" s="2" t="s">
        <v>1070</v>
      </c>
      <c r="B523" s="3">
        <v>44446</v>
      </c>
      <c r="C523" s="9">
        <f>YEAR(Orders_Table[[#This Row],[Order Date]])</f>
        <v>2021</v>
      </c>
      <c r="D523" s="9">
        <f>MONTH(Orders_Table[[#This Row],[Order Date]])</f>
        <v>9</v>
      </c>
      <c r="E523" s="9" t="str" cm="1">
        <f t="array" ref="E5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23" s="2" t="s">
        <v>1071</v>
      </c>
      <c r="G523" t="s">
        <v>49</v>
      </c>
      <c r="H523" s="2">
        <v>4</v>
      </c>
      <c r="I523" s="2" t="str" cm="1">
        <f t="array" ref="I523">_xlfn.XLOOKUP(F523,Customers!A522:$A$1001,Customers!B522:$B$1001,"Not Found",0)</f>
        <v>Mag Armistead</v>
      </c>
      <c r="J523" s="2" t="str" cm="1">
        <f t="array" ref="J523">IF(_xlfn.XLOOKUP(F523,Customers!A522:$A$1001,Customers!C522:$C$1001,"Not Found",0)=0,"",_xlfn.XLOOKUP(F523,Customers!A522:$A$1001,Customers!C522:$C$1001,"Not Found",0))</f>
        <v>marmisteadeg@blogtalkradio.com</v>
      </c>
      <c r="K523" s="2" t="str" cm="1">
        <f t="array" ref="K523">_xlfn.XLOOKUP(F523,Customers!A522:$A$1001,Customers!G522:$G$1001,"Not Found",0)</f>
        <v>United States</v>
      </c>
      <c r="L523" t="str">
        <f>INDEX(Products!$A$1:$G$49,MATCH(Orders!$G523,Products!$A$1:$A$49,0),MATCH(Orders!L$1,Products!$A$1:$G$1,0))</f>
        <v>Rob</v>
      </c>
      <c r="M523" t="str">
        <f>INDEX(Products!$A$1:$G$49,MATCH(Orders!$G523,Products!$A$1:$A$49,0),MATCH(Orders!M$1,Products!$A$1:$G$1,0))</f>
        <v>M</v>
      </c>
      <c r="N523" s="4">
        <f>INDEX(Products!$A$1:$G$49,MATCH(Orders!$G523,Products!$A$1:$A$49,0),MATCH(Orders!N$1,Products!$A$1:$G$1,0))</f>
        <v>1</v>
      </c>
      <c r="O523" s="7">
        <f>INDEX(Products!$A$1:$G$49,MATCH(Orders!$G523,Products!$A$1:$A$49,0),MATCH(Orders!O$1,Products!$A$1:$G$1,0))</f>
        <v>9.9499999999999993</v>
      </c>
      <c r="P523" s="7">
        <f t="shared" si="8"/>
        <v>39.799999999999997</v>
      </c>
      <c r="Q523" t="str" cm="1">
        <f t="array" ref="Q523">_xlfn.IFS(L523="Rob","Robusta",L523="Exc", "Excelsa",L523="Ara", "Arabica",L523="Lib", "Liberica")</f>
        <v>Robusta</v>
      </c>
      <c r="R523" t="str" cm="1">
        <f t="array" ref="R523">_xlfn.IFS(M523="M","Medium",M523="L","Light",M523="D","Dark")</f>
        <v>Medium</v>
      </c>
    </row>
    <row r="524" spans="1:18">
      <c r="A524" s="2" t="s">
        <v>1072</v>
      </c>
      <c r="B524" s="3">
        <v>43625</v>
      </c>
      <c r="C524" s="9">
        <f>YEAR(Orders_Table[[#This Row],[Order Date]])</f>
        <v>2019</v>
      </c>
      <c r="D524" s="9">
        <f>MONTH(Orders_Table[[#This Row],[Order Date]])</f>
        <v>6</v>
      </c>
      <c r="E524" s="9" t="str" cm="1">
        <f t="array" ref="E5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24" s="2" t="s">
        <v>1073</v>
      </c>
      <c r="G524" t="s">
        <v>69</v>
      </c>
      <c r="H524" s="2">
        <v>5</v>
      </c>
      <c r="I524" s="2" t="str" cm="1">
        <f t="array" ref="I524">_xlfn.XLOOKUP(F524,Customers!A523:$A$1001,Customers!B523:$B$1001,"Not Found",0)</f>
        <v>Vasili Upstone</v>
      </c>
      <c r="J524" s="2" t="str" cm="1">
        <f t="array" ref="J524">IF(_xlfn.XLOOKUP(F524,Customers!A523:$A$1001,Customers!C523:$C$1001,"Not Found",0)=0,"",_xlfn.XLOOKUP(F524,Customers!A523:$A$1001,Customers!C523:$C$1001,"Not Found",0))</f>
        <v>vupstoneei@google.pl</v>
      </c>
      <c r="K524" s="2" t="str" cm="1">
        <f t="array" ref="K524">_xlfn.XLOOKUP(F524,Customers!A523:$A$1001,Customers!G523:$G$1001,"Not Found",0)</f>
        <v>United States</v>
      </c>
      <c r="L524" t="str">
        <f>INDEX(Products!$A$1:$G$49,MATCH(Orders!$G524,Products!$A$1:$A$49,0),MATCH(Orders!L$1,Products!$A$1:$G$1,0))</f>
        <v>Rob</v>
      </c>
      <c r="M524" t="str">
        <f>INDEX(Products!$A$1:$G$49,MATCH(Orders!$G524,Products!$A$1:$A$49,0),MATCH(Orders!M$1,Products!$A$1:$G$1,0))</f>
        <v>M</v>
      </c>
      <c r="N524" s="4">
        <f>INDEX(Products!$A$1:$G$49,MATCH(Orders!$G524,Products!$A$1:$A$49,0),MATCH(Orders!N$1,Products!$A$1:$G$1,0))</f>
        <v>0.5</v>
      </c>
      <c r="O524" s="7">
        <f>INDEX(Products!$A$1:$G$49,MATCH(Orders!$G524,Products!$A$1:$A$49,0),MATCH(Orders!O$1,Products!$A$1:$G$1,0))</f>
        <v>5.97</v>
      </c>
      <c r="P524" s="7">
        <f t="shared" si="8"/>
        <v>29.849999999999998</v>
      </c>
      <c r="Q524" t="str" cm="1">
        <f t="array" ref="Q524">_xlfn.IFS(L524="Rob","Robusta",L524="Exc", "Excelsa",L524="Ara", "Arabica",L524="Lib", "Liberica")</f>
        <v>Robusta</v>
      </c>
      <c r="R524" t="str" cm="1">
        <f t="array" ref="R524">_xlfn.IFS(M524="M","Medium",M524="L","Light",M524="D","Dark")</f>
        <v>Medium</v>
      </c>
    </row>
    <row r="525" spans="1:18">
      <c r="A525" s="2" t="s">
        <v>1074</v>
      </c>
      <c r="B525" s="3">
        <v>44129</v>
      </c>
      <c r="C525" s="9">
        <f>YEAR(Orders_Table[[#This Row],[Order Date]])</f>
        <v>2020</v>
      </c>
      <c r="D525" s="9">
        <f>MONTH(Orders_Table[[#This Row],[Order Date]])</f>
        <v>10</v>
      </c>
      <c r="E525" s="9" t="str" cm="1">
        <f t="array" ref="E5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25" s="2" t="s">
        <v>1075</v>
      </c>
      <c r="G525" t="s">
        <v>156</v>
      </c>
      <c r="H525" s="2">
        <v>1</v>
      </c>
      <c r="I525" s="2" t="str" cm="1">
        <f t="array" ref="I525">_xlfn.XLOOKUP(F525,Customers!A524:$A$1001,Customers!B524:$B$1001,"Not Found",0)</f>
        <v>Berty Beelby</v>
      </c>
      <c r="J525" s="2" t="str" cm="1">
        <f t="array" ref="J525">IF(_xlfn.XLOOKUP(F525,Customers!A524:$A$1001,Customers!C524:$C$1001,"Not Found",0)=0,"",_xlfn.XLOOKUP(F525,Customers!A524:$A$1001,Customers!C524:$C$1001,"Not Found",0))</f>
        <v>bbeelbyej@rediff.com</v>
      </c>
      <c r="K525" s="2" t="str" cm="1">
        <f t="array" ref="K525">_xlfn.XLOOKUP(F525,Customers!A524:$A$1001,Customers!G524:$G$1001,"Not Found",0)</f>
        <v>Ireland</v>
      </c>
      <c r="L525" t="str">
        <f>INDEX(Products!$A$1:$G$49,MATCH(Orders!$G525,Products!$A$1:$A$49,0),MATCH(Orders!L$1,Products!$A$1:$G$1,0))</f>
        <v>Lib</v>
      </c>
      <c r="M525" t="str">
        <f>INDEX(Products!$A$1:$G$49,MATCH(Orders!$G525,Products!$A$1:$A$49,0),MATCH(Orders!M$1,Products!$A$1:$G$1,0))</f>
        <v>D</v>
      </c>
      <c r="N525" s="4">
        <f>INDEX(Products!$A$1:$G$49,MATCH(Orders!$G525,Products!$A$1:$A$49,0),MATCH(Orders!N$1,Products!$A$1:$G$1,0))</f>
        <v>2.5</v>
      </c>
      <c r="O525" s="7">
        <f>INDEX(Products!$A$1:$G$49,MATCH(Orders!$G525,Products!$A$1:$A$49,0),MATCH(Orders!O$1,Products!$A$1:$G$1,0))</f>
        <v>29.784999999999997</v>
      </c>
      <c r="P525" s="7">
        <f t="shared" si="8"/>
        <v>29.784999999999997</v>
      </c>
      <c r="Q525" t="str" cm="1">
        <f t="array" ref="Q525">_xlfn.IFS(L525="Rob","Robusta",L525="Exc", "Excelsa",L525="Ara", "Arabica",L525="Lib", "Liberica")</f>
        <v>Liberica</v>
      </c>
      <c r="R525" t="str" cm="1">
        <f t="array" ref="R525">_xlfn.IFS(M525="M","Medium",M525="L","Light",M525="D","Dark")</f>
        <v>Dark</v>
      </c>
    </row>
    <row r="526" spans="1:18">
      <c r="A526" s="2" t="s">
        <v>1076</v>
      </c>
      <c r="B526" s="3">
        <v>44255</v>
      </c>
      <c r="C526" s="9">
        <f>YEAR(Orders_Table[[#This Row],[Order Date]])</f>
        <v>2021</v>
      </c>
      <c r="D526" s="9">
        <f>MONTH(Orders_Table[[#This Row],[Order Date]])</f>
        <v>2</v>
      </c>
      <c r="E526" s="9" t="str" cm="1">
        <f t="array" ref="E5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26" s="2" t="s">
        <v>1077</v>
      </c>
      <c r="G526" t="s">
        <v>151</v>
      </c>
      <c r="H526" s="2">
        <v>2</v>
      </c>
      <c r="I526" s="2" t="str" cm="1">
        <f t="array" ref="I526">_xlfn.XLOOKUP(F526,Customers!A525:$A$1001,Customers!B525:$B$1001,"Not Found",0)</f>
        <v>Erny Stenyng</v>
      </c>
      <c r="J526" s="2" t="str" cm="1">
        <f t="array" ref="J526">IF(_xlfn.XLOOKUP(F526,Customers!A525:$A$1001,Customers!C525:$C$1001,"Not Found",0)=0,"",_xlfn.XLOOKUP(F526,Customers!A525:$A$1001,Customers!C525:$C$1001,"Not Found",0))</f>
        <v/>
      </c>
      <c r="K526" s="2" t="str" cm="1">
        <f t="array" ref="K526">_xlfn.XLOOKUP(F526,Customers!A525:$A$1001,Customers!G525:$G$1001,"Not Found",0)</f>
        <v>United States</v>
      </c>
      <c r="L526" t="str">
        <f>INDEX(Products!$A$1:$G$49,MATCH(Orders!$G526,Products!$A$1:$A$49,0),MATCH(Orders!L$1,Products!$A$1:$G$1,0))</f>
        <v>Lib</v>
      </c>
      <c r="M526" t="str">
        <f>INDEX(Products!$A$1:$G$49,MATCH(Orders!$G526,Products!$A$1:$A$49,0),MATCH(Orders!M$1,Products!$A$1:$G$1,0))</f>
        <v>L</v>
      </c>
      <c r="N526" s="4">
        <f>INDEX(Products!$A$1:$G$49,MATCH(Orders!$G526,Products!$A$1:$A$49,0),MATCH(Orders!N$1,Products!$A$1:$G$1,0))</f>
        <v>2.5</v>
      </c>
      <c r="O526" s="7">
        <f>INDEX(Products!$A$1:$G$49,MATCH(Orders!$G526,Products!$A$1:$A$49,0),MATCH(Orders!O$1,Products!$A$1:$G$1,0))</f>
        <v>36.454999999999998</v>
      </c>
      <c r="P526" s="7">
        <f t="shared" si="8"/>
        <v>72.91</v>
      </c>
      <c r="Q526" t="str" cm="1">
        <f t="array" ref="Q526">_xlfn.IFS(L526="Rob","Robusta",L526="Exc", "Excelsa",L526="Ara", "Arabica",L526="Lib", "Liberica")</f>
        <v>Liberica</v>
      </c>
      <c r="R526" t="str" cm="1">
        <f t="array" ref="R526">_xlfn.IFS(M526="M","Medium",M526="L","Light",M526="D","Dark")</f>
        <v>Light</v>
      </c>
    </row>
    <row r="527" spans="1:18">
      <c r="A527" s="2" t="s">
        <v>1078</v>
      </c>
      <c r="B527" s="3">
        <v>44038</v>
      </c>
      <c r="C527" s="9">
        <f>YEAR(Orders_Table[[#This Row],[Order Date]])</f>
        <v>2020</v>
      </c>
      <c r="D527" s="9">
        <f>MONTH(Orders_Table[[#This Row],[Order Date]])</f>
        <v>7</v>
      </c>
      <c r="E527" s="9" t="str" cm="1">
        <f t="array" ref="E5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27" s="2" t="s">
        <v>1079</v>
      </c>
      <c r="G527" t="s">
        <v>148</v>
      </c>
      <c r="H527" s="2">
        <v>5</v>
      </c>
      <c r="I527" s="2" t="str" cm="1">
        <f t="array" ref="I527">_xlfn.XLOOKUP(F527,Customers!A526:$A$1001,Customers!B526:$B$1001,"Not Found",0)</f>
        <v>Edin Yantsurev</v>
      </c>
      <c r="J527" s="2" t="str" cm="1">
        <f t="array" ref="J527">IF(_xlfn.XLOOKUP(F527,Customers!A526:$A$1001,Customers!C526:$C$1001,"Not Found",0)=0,"",_xlfn.XLOOKUP(F527,Customers!A526:$A$1001,Customers!C526:$C$1001,"Not Found",0))</f>
        <v/>
      </c>
      <c r="K527" s="2" t="str" cm="1">
        <f t="array" ref="K527">_xlfn.XLOOKUP(F527,Customers!A526:$A$1001,Customers!G526:$G$1001,"Not Found",0)</f>
        <v>United States</v>
      </c>
      <c r="L527" t="str">
        <f>INDEX(Products!$A$1:$G$49,MATCH(Orders!$G527,Products!$A$1:$A$49,0),MATCH(Orders!L$1,Products!$A$1:$G$1,0))</f>
        <v>Rob</v>
      </c>
      <c r="M527" t="str">
        <f>INDEX(Products!$A$1:$G$49,MATCH(Orders!$G527,Products!$A$1:$A$49,0),MATCH(Orders!M$1,Products!$A$1:$G$1,0))</f>
        <v>D</v>
      </c>
      <c r="N527" s="4">
        <f>INDEX(Products!$A$1:$G$49,MATCH(Orders!$G527,Products!$A$1:$A$49,0),MATCH(Orders!N$1,Products!$A$1:$G$1,0))</f>
        <v>0.2</v>
      </c>
      <c r="O527" s="7">
        <f>INDEX(Products!$A$1:$G$49,MATCH(Orders!$G527,Products!$A$1:$A$49,0),MATCH(Orders!O$1,Products!$A$1:$G$1,0))</f>
        <v>2.6849999999999996</v>
      </c>
      <c r="P527" s="7">
        <f t="shared" si="8"/>
        <v>13.424999999999997</v>
      </c>
      <c r="Q527" t="str" cm="1">
        <f t="array" ref="Q527">_xlfn.IFS(L527="Rob","Robusta",L527="Exc", "Excelsa",L527="Ara", "Arabica",L527="Lib", "Liberica")</f>
        <v>Robusta</v>
      </c>
      <c r="R527" t="str" cm="1">
        <f t="array" ref="R527">_xlfn.IFS(M527="M","Medium",M527="L","Light",M527="D","Dark")</f>
        <v>Dark</v>
      </c>
    </row>
    <row r="528" spans="1:18">
      <c r="A528" s="2" t="s">
        <v>1080</v>
      </c>
      <c r="B528" s="3">
        <v>44717</v>
      </c>
      <c r="C528" s="9">
        <f>YEAR(Orders_Table[[#This Row],[Order Date]])</f>
        <v>2022</v>
      </c>
      <c r="D528" s="9">
        <f>MONTH(Orders_Table[[#This Row],[Order Date]])</f>
        <v>6</v>
      </c>
      <c r="E528" s="9" t="str" cm="1">
        <f t="array" ref="E5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28" s="2" t="s">
        <v>1081</v>
      </c>
      <c r="G528" t="s">
        <v>159</v>
      </c>
      <c r="H528" s="2">
        <v>4</v>
      </c>
      <c r="I528" s="2" t="str" cm="1">
        <f t="array" ref="I528">_xlfn.XLOOKUP(F528,Customers!A527:$A$1001,Customers!B527:$B$1001,"Not Found",0)</f>
        <v>Webb Speechly</v>
      </c>
      <c r="J528" s="2" t="str" cm="1">
        <f t="array" ref="J528">IF(_xlfn.XLOOKUP(F528,Customers!A527:$A$1001,Customers!C527:$C$1001,"Not Found",0)=0,"",_xlfn.XLOOKUP(F528,Customers!A527:$A$1001,Customers!C527:$C$1001,"Not Found",0))</f>
        <v>wspeechlyem@amazon.com</v>
      </c>
      <c r="K528" s="2" t="str" cm="1">
        <f t="array" ref="K528">_xlfn.XLOOKUP(F528,Customers!A527:$A$1001,Customers!G527:$G$1001,"Not Found",0)</f>
        <v>United States</v>
      </c>
      <c r="L528" t="str">
        <f>INDEX(Products!$A$1:$G$49,MATCH(Orders!$G528,Products!$A$1:$A$49,0),MATCH(Orders!L$1,Products!$A$1:$G$1,0))</f>
        <v>Exc</v>
      </c>
      <c r="M528" t="str">
        <f>INDEX(Products!$A$1:$G$49,MATCH(Orders!$G528,Products!$A$1:$A$49,0),MATCH(Orders!M$1,Products!$A$1:$G$1,0))</f>
        <v>M</v>
      </c>
      <c r="N528" s="4">
        <f>INDEX(Products!$A$1:$G$49,MATCH(Orders!$G528,Products!$A$1:$A$49,0),MATCH(Orders!N$1,Products!$A$1:$G$1,0))</f>
        <v>2.5</v>
      </c>
      <c r="O528" s="7">
        <f>INDEX(Products!$A$1:$G$49,MATCH(Orders!$G528,Products!$A$1:$A$49,0),MATCH(Orders!O$1,Products!$A$1:$G$1,0))</f>
        <v>31.624999999999996</v>
      </c>
      <c r="P528" s="7">
        <f t="shared" si="8"/>
        <v>126.49999999999999</v>
      </c>
      <c r="Q528" t="str" cm="1">
        <f t="array" ref="Q528">_xlfn.IFS(L528="Rob","Robusta",L528="Exc", "Excelsa",L528="Ara", "Arabica",L528="Lib", "Liberica")</f>
        <v>Excelsa</v>
      </c>
      <c r="R528" t="str" cm="1">
        <f t="array" ref="R528">_xlfn.IFS(M528="M","Medium",M528="L","Light",M528="D","Dark")</f>
        <v>Medium</v>
      </c>
    </row>
    <row r="529" spans="1:18">
      <c r="A529" s="2" t="s">
        <v>1082</v>
      </c>
      <c r="B529" s="3">
        <v>43517</v>
      </c>
      <c r="C529" s="9">
        <f>YEAR(Orders_Table[[#This Row],[Order Date]])</f>
        <v>2019</v>
      </c>
      <c r="D529" s="9">
        <f>MONTH(Orders_Table[[#This Row],[Order Date]])</f>
        <v>2</v>
      </c>
      <c r="E529" s="9" t="str" cm="1">
        <f t="array" ref="E5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29" s="2" t="s">
        <v>1083</v>
      </c>
      <c r="G529" t="s">
        <v>50</v>
      </c>
      <c r="H529" s="2">
        <v>5</v>
      </c>
      <c r="I529" s="2" t="str" cm="1">
        <f t="array" ref="I529">_xlfn.XLOOKUP(F529,Customers!A528:$A$1001,Customers!B528:$B$1001,"Not Found",0)</f>
        <v>Irvine Phillpot</v>
      </c>
      <c r="J529" s="2" t="str" cm="1">
        <f t="array" ref="J529">IF(_xlfn.XLOOKUP(F529,Customers!A528:$A$1001,Customers!C528:$C$1001,"Not Found",0)=0,"",_xlfn.XLOOKUP(F529,Customers!A528:$A$1001,Customers!C528:$C$1001,"Not Found",0))</f>
        <v>iphillpoten@buzzfeed.com</v>
      </c>
      <c r="K529" s="2" t="str" cm="1">
        <f t="array" ref="K529">_xlfn.XLOOKUP(F529,Customers!A528:$A$1001,Customers!G528:$G$1001,"Not Found",0)</f>
        <v>United Kingdom</v>
      </c>
      <c r="L529" t="str">
        <f>INDEX(Products!$A$1:$G$49,MATCH(Orders!$G529,Products!$A$1:$A$49,0),MATCH(Orders!L$1,Products!$A$1:$G$1,0))</f>
        <v>Exc</v>
      </c>
      <c r="M529" t="str">
        <f>INDEX(Products!$A$1:$G$49,MATCH(Orders!$G529,Products!$A$1:$A$49,0),MATCH(Orders!M$1,Products!$A$1:$G$1,0))</f>
        <v>M</v>
      </c>
      <c r="N529" s="4">
        <f>INDEX(Products!$A$1:$G$49,MATCH(Orders!$G529,Products!$A$1:$A$49,0),MATCH(Orders!N$1,Products!$A$1:$G$1,0))</f>
        <v>0.5</v>
      </c>
      <c r="O529" s="7">
        <f>INDEX(Products!$A$1:$G$49,MATCH(Orders!$G529,Products!$A$1:$A$49,0),MATCH(Orders!O$1,Products!$A$1:$G$1,0))</f>
        <v>8.25</v>
      </c>
      <c r="P529" s="7">
        <f t="shared" si="8"/>
        <v>41.25</v>
      </c>
      <c r="Q529" t="str" cm="1">
        <f t="array" ref="Q529">_xlfn.IFS(L529="Rob","Robusta",L529="Exc", "Excelsa",L529="Ara", "Arabica",L529="Lib", "Liberica")</f>
        <v>Excelsa</v>
      </c>
      <c r="R529" t="str" cm="1">
        <f t="array" ref="R529">_xlfn.IFS(M529="M","Medium",M529="L","Light",M529="D","Dark")</f>
        <v>Medium</v>
      </c>
    </row>
    <row r="530" spans="1:18">
      <c r="A530" s="2" t="s">
        <v>1084</v>
      </c>
      <c r="B530" s="3">
        <v>43926</v>
      </c>
      <c r="C530" s="9">
        <f>YEAR(Orders_Table[[#This Row],[Order Date]])</f>
        <v>2020</v>
      </c>
      <c r="D530" s="9">
        <f>MONTH(Orders_Table[[#This Row],[Order Date]])</f>
        <v>4</v>
      </c>
      <c r="E530" s="9" t="str" cm="1">
        <f t="array" ref="E5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30" s="2" t="s">
        <v>1085</v>
      </c>
      <c r="G530" t="s">
        <v>223</v>
      </c>
      <c r="H530" s="2">
        <v>6</v>
      </c>
      <c r="I530" s="2" t="str" cm="1">
        <f t="array" ref="I530">_xlfn.XLOOKUP(F530,Customers!A529:$A$1001,Customers!B529:$B$1001,"Not Found",0)</f>
        <v>Lem Pennacci</v>
      </c>
      <c r="J530" s="2" t="str" cm="1">
        <f t="array" ref="J530">IF(_xlfn.XLOOKUP(F530,Customers!A529:$A$1001,Customers!C529:$C$1001,"Not Found",0)=0,"",_xlfn.XLOOKUP(F530,Customers!A529:$A$1001,Customers!C529:$C$1001,"Not Found",0))</f>
        <v>lpennaccieo@statcounter.com</v>
      </c>
      <c r="K530" s="2" t="str" cm="1">
        <f t="array" ref="K530">_xlfn.XLOOKUP(F530,Customers!A529:$A$1001,Customers!G529:$G$1001,"Not Found",0)</f>
        <v>United States</v>
      </c>
      <c r="L530" t="str">
        <f>INDEX(Products!$A$1:$G$49,MATCH(Orders!$G530,Products!$A$1:$A$49,0),MATCH(Orders!L$1,Products!$A$1:$G$1,0))</f>
        <v>Exc</v>
      </c>
      <c r="M530" t="str">
        <f>INDEX(Products!$A$1:$G$49,MATCH(Orders!$G530,Products!$A$1:$A$49,0),MATCH(Orders!M$1,Products!$A$1:$G$1,0))</f>
        <v>L</v>
      </c>
      <c r="N530" s="4">
        <f>INDEX(Products!$A$1:$G$49,MATCH(Orders!$G530,Products!$A$1:$A$49,0),MATCH(Orders!N$1,Products!$A$1:$G$1,0))</f>
        <v>0.5</v>
      </c>
      <c r="O530" s="7">
        <f>INDEX(Products!$A$1:$G$49,MATCH(Orders!$G530,Products!$A$1:$A$49,0),MATCH(Orders!O$1,Products!$A$1:$G$1,0))</f>
        <v>8.91</v>
      </c>
      <c r="P530" s="7">
        <f t="shared" si="8"/>
        <v>53.46</v>
      </c>
      <c r="Q530" t="str" cm="1">
        <f t="array" ref="Q530">_xlfn.IFS(L530="Rob","Robusta",L530="Exc", "Excelsa",L530="Ara", "Arabica",L530="Lib", "Liberica")</f>
        <v>Excelsa</v>
      </c>
      <c r="R530" t="str" cm="1">
        <f t="array" ref="R530">_xlfn.IFS(M530="M","Medium",M530="L","Light",M530="D","Dark")</f>
        <v>Light</v>
      </c>
    </row>
    <row r="531" spans="1:18">
      <c r="A531" s="2" t="s">
        <v>1086</v>
      </c>
      <c r="B531" s="3">
        <v>43475</v>
      </c>
      <c r="C531" s="9">
        <f>YEAR(Orders_Table[[#This Row],[Order Date]])</f>
        <v>2019</v>
      </c>
      <c r="D531" s="9">
        <f>MONTH(Orders_Table[[#This Row],[Order Date]])</f>
        <v>1</v>
      </c>
      <c r="E531" s="9" t="str" cm="1">
        <f t="array" ref="E5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31" s="2" t="s">
        <v>1087</v>
      </c>
      <c r="G531" t="s">
        <v>49</v>
      </c>
      <c r="H531" s="2">
        <v>6</v>
      </c>
      <c r="I531" s="2" t="str" cm="1">
        <f t="array" ref="I531">_xlfn.XLOOKUP(F531,Customers!A530:$A$1001,Customers!B530:$B$1001,"Not Found",0)</f>
        <v>Starr Arpin</v>
      </c>
      <c r="J531" s="2" t="str" cm="1">
        <f t="array" ref="J531">IF(_xlfn.XLOOKUP(F531,Customers!A530:$A$1001,Customers!C530:$C$1001,"Not Found",0)=0,"",_xlfn.XLOOKUP(F531,Customers!A530:$A$1001,Customers!C530:$C$1001,"Not Found",0))</f>
        <v>sarpinep@moonfruit.com</v>
      </c>
      <c r="K531" s="2" t="str" cm="1">
        <f t="array" ref="K531">_xlfn.XLOOKUP(F531,Customers!A530:$A$1001,Customers!G530:$G$1001,"Not Found",0)</f>
        <v>United States</v>
      </c>
      <c r="L531" t="str">
        <f>INDEX(Products!$A$1:$G$49,MATCH(Orders!$G531,Products!$A$1:$A$49,0),MATCH(Orders!L$1,Products!$A$1:$G$1,0))</f>
        <v>Rob</v>
      </c>
      <c r="M531" t="str">
        <f>INDEX(Products!$A$1:$G$49,MATCH(Orders!$G531,Products!$A$1:$A$49,0),MATCH(Orders!M$1,Products!$A$1:$G$1,0))</f>
        <v>M</v>
      </c>
      <c r="N531" s="4">
        <f>INDEX(Products!$A$1:$G$49,MATCH(Orders!$G531,Products!$A$1:$A$49,0),MATCH(Orders!N$1,Products!$A$1:$G$1,0))</f>
        <v>1</v>
      </c>
      <c r="O531" s="7">
        <f>INDEX(Products!$A$1:$G$49,MATCH(Orders!$G531,Products!$A$1:$A$49,0),MATCH(Orders!O$1,Products!$A$1:$G$1,0))</f>
        <v>9.9499999999999993</v>
      </c>
      <c r="P531" s="7">
        <f t="shared" si="8"/>
        <v>59.699999999999996</v>
      </c>
      <c r="Q531" t="str" cm="1">
        <f t="array" ref="Q531">_xlfn.IFS(L531="Rob","Robusta",L531="Exc", "Excelsa",L531="Ara", "Arabica",L531="Lib", "Liberica")</f>
        <v>Robusta</v>
      </c>
      <c r="R531" t="str" cm="1">
        <f t="array" ref="R531">_xlfn.IFS(M531="M","Medium",M531="L","Light",M531="D","Dark")</f>
        <v>Medium</v>
      </c>
    </row>
    <row r="532" spans="1:18">
      <c r="A532" s="2" t="s">
        <v>1088</v>
      </c>
      <c r="B532" s="3">
        <v>44663</v>
      </c>
      <c r="C532" s="9">
        <f>YEAR(Orders_Table[[#This Row],[Order Date]])</f>
        <v>2022</v>
      </c>
      <c r="D532" s="9">
        <f>MONTH(Orders_Table[[#This Row],[Order Date]])</f>
        <v>4</v>
      </c>
      <c r="E532" s="9" t="str" cm="1">
        <f t="array" ref="E5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32" s="2" t="s">
        <v>1089</v>
      </c>
      <c r="G532" t="s">
        <v>49</v>
      </c>
      <c r="H532" s="2">
        <v>6</v>
      </c>
      <c r="I532" s="2" t="str" cm="1">
        <f t="array" ref="I532">_xlfn.XLOOKUP(F532,Customers!A531:$A$1001,Customers!B531:$B$1001,"Not Found",0)</f>
        <v>Donny Fries</v>
      </c>
      <c r="J532" s="2" t="str" cm="1">
        <f t="array" ref="J532">IF(_xlfn.XLOOKUP(F532,Customers!A531:$A$1001,Customers!C531:$C$1001,"Not Found",0)=0,"",_xlfn.XLOOKUP(F532,Customers!A531:$A$1001,Customers!C531:$C$1001,"Not Found",0))</f>
        <v>dfrieseq@cargocollective.com</v>
      </c>
      <c r="K532" s="2" t="str" cm="1">
        <f t="array" ref="K532">_xlfn.XLOOKUP(F532,Customers!A531:$A$1001,Customers!G531:$G$1001,"Not Found",0)</f>
        <v>United States</v>
      </c>
      <c r="L532" t="str">
        <f>INDEX(Products!$A$1:$G$49,MATCH(Orders!$G532,Products!$A$1:$A$49,0),MATCH(Orders!L$1,Products!$A$1:$G$1,0))</f>
        <v>Rob</v>
      </c>
      <c r="M532" t="str">
        <f>INDEX(Products!$A$1:$G$49,MATCH(Orders!$G532,Products!$A$1:$A$49,0),MATCH(Orders!M$1,Products!$A$1:$G$1,0))</f>
        <v>M</v>
      </c>
      <c r="N532" s="4">
        <f>INDEX(Products!$A$1:$G$49,MATCH(Orders!$G532,Products!$A$1:$A$49,0),MATCH(Orders!N$1,Products!$A$1:$G$1,0))</f>
        <v>1</v>
      </c>
      <c r="O532" s="7">
        <f>INDEX(Products!$A$1:$G$49,MATCH(Orders!$G532,Products!$A$1:$A$49,0),MATCH(Orders!O$1,Products!$A$1:$G$1,0))</f>
        <v>9.9499999999999993</v>
      </c>
      <c r="P532" s="7">
        <f t="shared" si="8"/>
        <v>59.699999999999996</v>
      </c>
      <c r="Q532" t="str" cm="1">
        <f t="array" ref="Q532">_xlfn.IFS(L532="Rob","Robusta",L532="Exc", "Excelsa",L532="Ara", "Arabica",L532="Lib", "Liberica")</f>
        <v>Robusta</v>
      </c>
      <c r="R532" t="str" cm="1">
        <f t="array" ref="R532">_xlfn.IFS(M532="M","Medium",M532="L","Light",M532="D","Dark")</f>
        <v>Medium</v>
      </c>
    </row>
    <row r="533" spans="1:18">
      <c r="A533" s="2" t="s">
        <v>1090</v>
      </c>
      <c r="B533" s="3">
        <v>44591</v>
      </c>
      <c r="C533" s="9">
        <f>YEAR(Orders_Table[[#This Row],[Order Date]])</f>
        <v>2022</v>
      </c>
      <c r="D533" s="9">
        <f>MONTH(Orders_Table[[#This Row],[Order Date]])</f>
        <v>1</v>
      </c>
      <c r="E533" s="9" t="str" cm="1">
        <f t="array" ref="E5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33" s="2" t="s">
        <v>1091</v>
      </c>
      <c r="G533" t="s">
        <v>226</v>
      </c>
      <c r="H533" s="2">
        <v>5</v>
      </c>
      <c r="I533" s="2" t="str" cm="1">
        <f t="array" ref="I533">_xlfn.XLOOKUP(F533,Customers!A532:$A$1001,Customers!B532:$B$1001,"Not Found",0)</f>
        <v>Rana Sharer</v>
      </c>
      <c r="J533" s="2" t="str" cm="1">
        <f t="array" ref="J533">IF(_xlfn.XLOOKUP(F533,Customers!A532:$A$1001,Customers!C532:$C$1001,"Not Found",0)=0,"",_xlfn.XLOOKUP(F533,Customers!A532:$A$1001,Customers!C532:$C$1001,"Not Found",0))</f>
        <v>rsharerer@flavors.me</v>
      </c>
      <c r="K533" s="2" t="str" cm="1">
        <f t="array" ref="K533">_xlfn.XLOOKUP(F533,Customers!A532:$A$1001,Customers!G532:$G$1001,"Not Found",0)</f>
        <v>United States</v>
      </c>
      <c r="L533" t="str">
        <f>INDEX(Products!$A$1:$G$49,MATCH(Orders!$G533,Products!$A$1:$A$49,0),MATCH(Orders!L$1,Products!$A$1:$G$1,0))</f>
        <v>Rob</v>
      </c>
      <c r="M533" t="str">
        <f>INDEX(Products!$A$1:$G$49,MATCH(Orders!$G533,Products!$A$1:$A$49,0),MATCH(Orders!M$1,Products!$A$1:$G$1,0))</f>
        <v>D</v>
      </c>
      <c r="N533" s="4">
        <f>INDEX(Products!$A$1:$G$49,MATCH(Orders!$G533,Products!$A$1:$A$49,0),MATCH(Orders!N$1,Products!$A$1:$G$1,0))</f>
        <v>1</v>
      </c>
      <c r="O533" s="7">
        <f>INDEX(Products!$A$1:$G$49,MATCH(Orders!$G533,Products!$A$1:$A$49,0),MATCH(Orders!O$1,Products!$A$1:$G$1,0))</f>
        <v>8.9499999999999993</v>
      </c>
      <c r="P533" s="7">
        <f t="shared" si="8"/>
        <v>44.75</v>
      </c>
      <c r="Q533" t="str" cm="1">
        <f t="array" ref="Q533">_xlfn.IFS(L533="Rob","Robusta",L533="Exc", "Excelsa",L533="Ara", "Arabica",L533="Lib", "Liberica")</f>
        <v>Robusta</v>
      </c>
      <c r="R533" t="str" cm="1">
        <f t="array" ref="R533">_xlfn.IFS(M533="M","Medium",M533="L","Light",M533="D","Dark")</f>
        <v>Dark</v>
      </c>
    </row>
    <row r="534" spans="1:18">
      <c r="A534" s="2" t="s">
        <v>1092</v>
      </c>
      <c r="B534" s="3">
        <v>44330</v>
      </c>
      <c r="C534" s="9">
        <f>YEAR(Orders_Table[[#This Row],[Order Date]])</f>
        <v>2021</v>
      </c>
      <c r="D534" s="9">
        <f>MONTH(Orders_Table[[#This Row],[Order Date]])</f>
        <v>5</v>
      </c>
      <c r="E534" s="9" t="str" cm="1">
        <f t="array" ref="E5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34" s="2" t="s">
        <v>1093</v>
      </c>
      <c r="G534" t="s">
        <v>50</v>
      </c>
      <c r="H534" s="2">
        <v>2</v>
      </c>
      <c r="I534" s="2" t="str" cm="1">
        <f t="array" ref="I534">_xlfn.XLOOKUP(F534,Customers!A533:$A$1001,Customers!B533:$B$1001,"Not Found",0)</f>
        <v>Nannie Naseby</v>
      </c>
      <c r="J534" s="2" t="str" cm="1">
        <f t="array" ref="J534">IF(_xlfn.XLOOKUP(F534,Customers!A533:$A$1001,Customers!C533:$C$1001,"Not Found",0)=0,"",_xlfn.XLOOKUP(F534,Customers!A533:$A$1001,Customers!C533:$C$1001,"Not Found",0))</f>
        <v>nnasebyes@umich.edu</v>
      </c>
      <c r="K534" s="2" t="str" cm="1">
        <f t="array" ref="K534">_xlfn.XLOOKUP(F534,Customers!A533:$A$1001,Customers!G533:$G$1001,"Not Found",0)</f>
        <v>United States</v>
      </c>
      <c r="L534" t="str">
        <f>INDEX(Products!$A$1:$G$49,MATCH(Orders!$G534,Products!$A$1:$A$49,0),MATCH(Orders!L$1,Products!$A$1:$G$1,0))</f>
        <v>Exc</v>
      </c>
      <c r="M534" t="str">
        <f>INDEX(Products!$A$1:$G$49,MATCH(Orders!$G534,Products!$A$1:$A$49,0),MATCH(Orders!M$1,Products!$A$1:$G$1,0))</f>
        <v>M</v>
      </c>
      <c r="N534" s="4">
        <f>INDEX(Products!$A$1:$G$49,MATCH(Orders!$G534,Products!$A$1:$A$49,0),MATCH(Orders!N$1,Products!$A$1:$G$1,0))</f>
        <v>0.5</v>
      </c>
      <c r="O534" s="7">
        <f>INDEX(Products!$A$1:$G$49,MATCH(Orders!$G534,Products!$A$1:$A$49,0),MATCH(Orders!O$1,Products!$A$1:$G$1,0))</f>
        <v>8.25</v>
      </c>
      <c r="P534" s="7">
        <f t="shared" si="8"/>
        <v>16.5</v>
      </c>
      <c r="Q534" t="str" cm="1">
        <f t="array" ref="Q534">_xlfn.IFS(L534="Rob","Robusta",L534="Exc", "Excelsa",L534="Ara", "Arabica",L534="Lib", "Liberica")</f>
        <v>Excelsa</v>
      </c>
      <c r="R534" t="str" cm="1">
        <f t="array" ref="R534">_xlfn.IFS(M534="M","Medium",M534="L","Light",M534="D","Dark")</f>
        <v>Medium</v>
      </c>
    </row>
    <row r="535" spans="1:18">
      <c r="A535" s="2" t="s">
        <v>1094</v>
      </c>
      <c r="B535" s="3">
        <v>44724</v>
      </c>
      <c r="C535" s="9">
        <f>YEAR(Orders_Table[[#This Row],[Order Date]])</f>
        <v>2022</v>
      </c>
      <c r="D535" s="9">
        <f>MONTH(Orders_Table[[#This Row],[Order Date]])</f>
        <v>6</v>
      </c>
      <c r="E535" s="9" t="str" cm="1">
        <f t="array" ref="E5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35" s="2" t="s">
        <v>1095</v>
      </c>
      <c r="G535" t="s">
        <v>193</v>
      </c>
      <c r="H535" s="2">
        <v>4</v>
      </c>
      <c r="I535" s="2" t="str" cm="1">
        <f t="array" ref="I535">_xlfn.XLOOKUP(F535,Customers!A534:$A$1001,Customers!B534:$B$1001,"Not Found",0)</f>
        <v>Rea Offell</v>
      </c>
      <c r="J535" s="2" t="str" cm="1">
        <f t="array" ref="J535">IF(_xlfn.XLOOKUP(F535,Customers!A534:$A$1001,Customers!C534:$C$1001,"Not Found",0)=0,"",_xlfn.XLOOKUP(F535,Customers!A534:$A$1001,Customers!C534:$C$1001,"Not Found",0))</f>
        <v/>
      </c>
      <c r="K535" s="2" t="str" cm="1">
        <f t="array" ref="K535">_xlfn.XLOOKUP(F535,Customers!A534:$A$1001,Customers!G534:$G$1001,"Not Found",0)</f>
        <v>United States</v>
      </c>
      <c r="L535" t="str">
        <f>INDEX(Products!$A$1:$G$49,MATCH(Orders!$G535,Products!$A$1:$A$49,0),MATCH(Orders!L$1,Products!$A$1:$G$1,0))</f>
        <v>Rob</v>
      </c>
      <c r="M535" t="str">
        <f>INDEX(Products!$A$1:$G$49,MATCH(Orders!$G535,Products!$A$1:$A$49,0),MATCH(Orders!M$1,Products!$A$1:$G$1,0))</f>
        <v>D</v>
      </c>
      <c r="N535" s="4">
        <f>INDEX(Products!$A$1:$G$49,MATCH(Orders!$G535,Products!$A$1:$A$49,0),MATCH(Orders!N$1,Products!$A$1:$G$1,0))</f>
        <v>0.5</v>
      </c>
      <c r="O535" s="7">
        <f>INDEX(Products!$A$1:$G$49,MATCH(Orders!$G535,Products!$A$1:$A$49,0),MATCH(Orders!O$1,Products!$A$1:$G$1,0))</f>
        <v>5.3699999999999992</v>
      </c>
      <c r="P535" s="7">
        <f t="shared" si="8"/>
        <v>21.479999999999997</v>
      </c>
      <c r="Q535" t="str" cm="1">
        <f t="array" ref="Q535">_xlfn.IFS(L535="Rob","Robusta",L535="Exc", "Excelsa",L535="Ara", "Arabica",L535="Lib", "Liberica")</f>
        <v>Robusta</v>
      </c>
      <c r="R535" t="str" cm="1">
        <f t="array" ref="R535">_xlfn.IFS(M535="M","Medium",M535="L","Light",M535="D","Dark")</f>
        <v>Dark</v>
      </c>
    </row>
    <row r="536" spans="1:18">
      <c r="A536" s="2" t="s">
        <v>1096</v>
      </c>
      <c r="B536" s="3">
        <v>44563</v>
      </c>
      <c r="C536" s="9">
        <f>YEAR(Orders_Table[[#This Row],[Order Date]])</f>
        <v>2022</v>
      </c>
      <c r="D536" s="9">
        <f>MONTH(Orders_Table[[#This Row],[Order Date]])</f>
        <v>1</v>
      </c>
      <c r="E536" s="9" t="str" cm="1">
        <f t="array" ref="E5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36" s="2" t="s">
        <v>1097</v>
      </c>
      <c r="G536" t="s">
        <v>88</v>
      </c>
      <c r="H536" s="2">
        <v>2</v>
      </c>
      <c r="I536" s="2" t="str" cm="1">
        <f t="array" ref="I536">_xlfn.XLOOKUP(F536,Customers!A535:$A$1001,Customers!B535:$B$1001,"Not Found",0)</f>
        <v>Kris O'Cullen</v>
      </c>
      <c r="J536" s="2" t="str" cm="1">
        <f t="array" ref="J536">IF(_xlfn.XLOOKUP(F536,Customers!A535:$A$1001,Customers!C535:$C$1001,"Not Found",0)=0,"",_xlfn.XLOOKUP(F536,Customers!A535:$A$1001,Customers!C535:$C$1001,"Not Found",0))</f>
        <v>koculleneu@ca.gov</v>
      </c>
      <c r="K536" s="2" t="str" cm="1">
        <f t="array" ref="K536">_xlfn.XLOOKUP(F536,Customers!A535:$A$1001,Customers!G535:$G$1001,"Not Found",0)</f>
        <v>Ireland</v>
      </c>
      <c r="L536" t="str">
        <f>INDEX(Products!$A$1:$G$49,MATCH(Orders!$G536,Products!$A$1:$A$49,0),MATCH(Orders!L$1,Products!$A$1:$G$1,0))</f>
        <v>Rob</v>
      </c>
      <c r="M536" t="str">
        <f>INDEX(Products!$A$1:$G$49,MATCH(Orders!$G536,Products!$A$1:$A$49,0),MATCH(Orders!M$1,Products!$A$1:$G$1,0))</f>
        <v>M</v>
      </c>
      <c r="N536" s="4">
        <f>INDEX(Products!$A$1:$G$49,MATCH(Orders!$G536,Products!$A$1:$A$49,0),MATCH(Orders!N$1,Products!$A$1:$G$1,0))</f>
        <v>2.5</v>
      </c>
      <c r="O536" s="7">
        <f>INDEX(Products!$A$1:$G$49,MATCH(Orders!$G536,Products!$A$1:$A$49,0),MATCH(Orders!O$1,Products!$A$1:$G$1,0))</f>
        <v>22.884999999999998</v>
      </c>
      <c r="P536" s="7">
        <f t="shared" si="8"/>
        <v>45.769999999999996</v>
      </c>
      <c r="Q536" t="str" cm="1">
        <f t="array" ref="Q536">_xlfn.IFS(L536="Rob","Robusta",L536="Exc", "Excelsa",L536="Ara", "Arabica",L536="Lib", "Liberica")</f>
        <v>Robusta</v>
      </c>
      <c r="R536" t="str" cm="1">
        <f t="array" ref="R536">_xlfn.IFS(M536="M","Medium",M536="L","Light",M536="D","Dark")</f>
        <v>Medium</v>
      </c>
    </row>
    <row r="537" spans="1:18">
      <c r="A537" s="2" t="s">
        <v>1098</v>
      </c>
      <c r="B537" s="3">
        <v>44585</v>
      </c>
      <c r="C537" s="9">
        <f>YEAR(Orders_Table[[#This Row],[Order Date]])</f>
        <v>2022</v>
      </c>
      <c r="D537" s="9">
        <f>MONTH(Orders_Table[[#This Row],[Order Date]])</f>
        <v>1</v>
      </c>
      <c r="E537" s="9" t="str" cm="1">
        <f t="array" ref="E5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37" s="2" t="s">
        <v>1099</v>
      </c>
      <c r="G537" t="s">
        <v>66</v>
      </c>
      <c r="H537" s="2">
        <v>2</v>
      </c>
      <c r="I537" s="2" t="str" cm="1">
        <f t="array" ref="I537">_xlfn.XLOOKUP(F537,Customers!A536:$A$1001,Customers!B536:$B$1001,"Not Found",0)</f>
        <v>Timoteo Glisane</v>
      </c>
      <c r="J537" s="2" t="str" cm="1">
        <f t="array" ref="J537">IF(_xlfn.XLOOKUP(F537,Customers!A536:$A$1001,Customers!C536:$C$1001,"Not Found",0)=0,"",_xlfn.XLOOKUP(F537,Customers!A536:$A$1001,Customers!C536:$C$1001,"Not Found",0))</f>
        <v/>
      </c>
      <c r="K537" s="2" t="str" cm="1">
        <f t="array" ref="K537">_xlfn.XLOOKUP(F537,Customers!A536:$A$1001,Customers!G536:$G$1001,"Not Found",0)</f>
        <v>Ireland</v>
      </c>
      <c r="L537" t="str">
        <f>INDEX(Products!$A$1:$G$49,MATCH(Orders!$G537,Products!$A$1:$A$49,0),MATCH(Orders!L$1,Products!$A$1:$G$1,0))</f>
        <v>Lib</v>
      </c>
      <c r="M537" t="str">
        <f>INDEX(Products!$A$1:$G$49,MATCH(Orders!$G537,Products!$A$1:$A$49,0),MATCH(Orders!M$1,Products!$A$1:$G$1,0))</f>
        <v>L</v>
      </c>
      <c r="N537" s="4">
        <f>INDEX(Products!$A$1:$G$49,MATCH(Orders!$G537,Products!$A$1:$A$49,0),MATCH(Orders!N$1,Products!$A$1:$G$1,0))</f>
        <v>0.2</v>
      </c>
      <c r="O537" s="7">
        <f>INDEX(Products!$A$1:$G$49,MATCH(Orders!$G537,Products!$A$1:$A$49,0),MATCH(Orders!O$1,Products!$A$1:$G$1,0))</f>
        <v>4.7549999999999999</v>
      </c>
      <c r="P537" s="7">
        <f t="shared" si="8"/>
        <v>9.51</v>
      </c>
      <c r="Q537" t="str" cm="1">
        <f t="array" ref="Q537">_xlfn.IFS(L537="Rob","Robusta",L537="Exc", "Excelsa",L537="Ara", "Arabica",L537="Lib", "Liberica")</f>
        <v>Liberica</v>
      </c>
      <c r="R537" t="str" cm="1">
        <f t="array" ref="R537">_xlfn.IFS(M537="M","Medium",M537="L","Light",M537="D","Dark")</f>
        <v>Light</v>
      </c>
    </row>
    <row r="538" spans="1:18">
      <c r="A538" s="2" t="s">
        <v>1100</v>
      </c>
      <c r="B538" s="3">
        <v>43544</v>
      </c>
      <c r="C538" s="9">
        <f>YEAR(Orders_Table[[#This Row],[Order Date]])</f>
        <v>2019</v>
      </c>
      <c r="D538" s="9">
        <f>MONTH(Orders_Table[[#This Row],[Order Date]])</f>
        <v>3</v>
      </c>
      <c r="E538" s="9" t="str" cm="1">
        <f t="array" ref="E5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38" s="2" t="s">
        <v>1035</v>
      </c>
      <c r="G538" t="s">
        <v>148</v>
      </c>
      <c r="H538" s="2">
        <v>3</v>
      </c>
      <c r="I538" s="2" t="str" cm="1">
        <f t="array" ref="I538">_xlfn.XLOOKUP(F538,Customers!A537:$A$1001,Customers!B537:$B$1001,"Not Found",0)</f>
        <v>Not Found</v>
      </c>
      <c r="J538" s="2" t="str" cm="1">
        <f t="array" ref="J538">IF(_xlfn.XLOOKUP(F538,Customers!A537:$A$1001,Customers!C537:$C$1001,"Not Found",0)=0,"",_xlfn.XLOOKUP(F538,Customers!A537:$A$1001,Customers!C537:$C$1001,"Not Found",0))</f>
        <v>Not Found</v>
      </c>
      <c r="K538" s="2" t="str" cm="1">
        <f t="array" ref="K538">_xlfn.XLOOKUP(F538,Customers!A537:$A$1001,Customers!G537:$G$1001,"Not Found",0)</f>
        <v>Not Found</v>
      </c>
      <c r="L538" t="str">
        <f>INDEX(Products!$A$1:$G$49,MATCH(Orders!$G538,Products!$A$1:$A$49,0),MATCH(Orders!L$1,Products!$A$1:$G$1,0))</f>
        <v>Rob</v>
      </c>
      <c r="M538" t="str">
        <f>INDEX(Products!$A$1:$G$49,MATCH(Orders!$G538,Products!$A$1:$A$49,0),MATCH(Orders!M$1,Products!$A$1:$G$1,0))</f>
        <v>D</v>
      </c>
      <c r="N538" s="4">
        <f>INDEX(Products!$A$1:$G$49,MATCH(Orders!$G538,Products!$A$1:$A$49,0),MATCH(Orders!N$1,Products!$A$1:$G$1,0))</f>
        <v>0.2</v>
      </c>
      <c r="O538" s="7">
        <f>INDEX(Products!$A$1:$G$49,MATCH(Orders!$G538,Products!$A$1:$A$49,0),MATCH(Orders!O$1,Products!$A$1:$G$1,0))</f>
        <v>2.6849999999999996</v>
      </c>
      <c r="P538" s="7">
        <f t="shared" si="8"/>
        <v>8.0549999999999997</v>
      </c>
      <c r="Q538" t="str" cm="1">
        <f t="array" ref="Q538">_xlfn.IFS(L538="Rob","Robusta",L538="Exc", "Excelsa",L538="Ara", "Arabica",L538="Lib", "Liberica")</f>
        <v>Robusta</v>
      </c>
      <c r="R538" t="str" cm="1">
        <f t="array" ref="R538">_xlfn.IFS(M538="M","Medium",M538="L","Light",M538="D","Dark")</f>
        <v>Dark</v>
      </c>
    </row>
    <row r="539" spans="1:18">
      <c r="A539" s="2" t="s">
        <v>1101</v>
      </c>
      <c r="B539" s="3">
        <v>44156</v>
      </c>
      <c r="C539" s="9">
        <f>YEAR(Orders_Table[[#This Row],[Order Date]])</f>
        <v>2020</v>
      </c>
      <c r="D539" s="9">
        <f>MONTH(Orders_Table[[#This Row],[Order Date]])</f>
        <v>11</v>
      </c>
      <c r="E539" s="9" t="str" cm="1">
        <f t="array" ref="E5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39" s="2" t="s">
        <v>1102</v>
      </c>
      <c r="G539" t="s">
        <v>577</v>
      </c>
      <c r="H539" s="2">
        <v>4</v>
      </c>
      <c r="I539" s="2" t="str" cm="1">
        <f t="array" ref="I539">_xlfn.XLOOKUP(F539,Customers!A538:$A$1001,Customers!B538:$B$1001,"Not Found",0)</f>
        <v>Hildegarde Brangan</v>
      </c>
      <c r="J539" s="2" t="str" cm="1">
        <f t="array" ref="J539">IF(_xlfn.XLOOKUP(F539,Customers!A538:$A$1001,Customers!C538:$C$1001,"Not Found",0)=0,"",_xlfn.XLOOKUP(F539,Customers!A538:$A$1001,Customers!C538:$C$1001,"Not Found",0))</f>
        <v>hbranganex@woothemes.com</v>
      </c>
      <c r="K539" s="2" t="str" cm="1">
        <f t="array" ref="K539">_xlfn.XLOOKUP(F539,Customers!A538:$A$1001,Customers!G538:$G$1001,"Not Found",0)</f>
        <v>United States</v>
      </c>
      <c r="L539" t="str">
        <f>INDEX(Products!$A$1:$G$49,MATCH(Orders!$G539,Products!$A$1:$A$49,0),MATCH(Orders!L$1,Products!$A$1:$G$1,0))</f>
        <v>Exc</v>
      </c>
      <c r="M539" t="str">
        <f>INDEX(Products!$A$1:$G$49,MATCH(Orders!$G539,Products!$A$1:$A$49,0),MATCH(Orders!M$1,Products!$A$1:$G$1,0))</f>
        <v>D</v>
      </c>
      <c r="N539" s="4">
        <f>INDEX(Products!$A$1:$G$49,MATCH(Orders!$G539,Products!$A$1:$A$49,0),MATCH(Orders!N$1,Products!$A$1:$G$1,0))</f>
        <v>2.5</v>
      </c>
      <c r="O539" s="7">
        <f>INDEX(Products!$A$1:$G$49,MATCH(Orders!$G539,Products!$A$1:$A$49,0),MATCH(Orders!O$1,Products!$A$1:$G$1,0))</f>
        <v>27.945</v>
      </c>
      <c r="P539" s="7">
        <f t="shared" si="8"/>
        <v>111.78</v>
      </c>
      <c r="Q539" t="str" cm="1">
        <f t="array" ref="Q539">_xlfn.IFS(L539="Rob","Robusta",L539="Exc", "Excelsa",L539="Ara", "Arabica",L539="Lib", "Liberica")</f>
        <v>Excelsa</v>
      </c>
      <c r="R539" t="str" cm="1">
        <f t="array" ref="R539">_xlfn.IFS(M539="M","Medium",M539="L","Light",M539="D","Dark")</f>
        <v>Dark</v>
      </c>
    </row>
    <row r="540" spans="1:18">
      <c r="A540" s="2" t="s">
        <v>1103</v>
      </c>
      <c r="B540" s="3">
        <v>44482</v>
      </c>
      <c r="C540" s="9">
        <f>YEAR(Orders_Table[[#This Row],[Order Date]])</f>
        <v>2021</v>
      </c>
      <c r="D540" s="9">
        <f>MONTH(Orders_Table[[#This Row],[Order Date]])</f>
        <v>10</v>
      </c>
      <c r="E540" s="9" t="str" cm="1">
        <f t="array" ref="E5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40" s="2" t="s">
        <v>1104</v>
      </c>
      <c r="G540" t="s">
        <v>148</v>
      </c>
      <c r="H540" s="2">
        <v>4</v>
      </c>
      <c r="I540" s="2" t="str" cm="1">
        <f t="array" ref="I540">_xlfn.XLOOKUP(F540,Customers!A539:$A$1001,Customers!B539:$B$1001,"Not Found",0)</f>
        <v>Amii Gallyon</v>
      </c>
      <c r="J540" s="2" t="str" cm="1">
        <f t="array" ref="J540">IF(_xlfn.XLOOKUP(F540,Customers!A539:$A$1001,Customers!C539:$C$1001,"Not Found",0)=0,"",_xlfn.XLOOKUP(F540,Customers!A539:$A$1001,Customers!C539:$C$1001,"Not Found",0))</f>
        <v>agallyoney@engadget.com</v>
      </c>
      <c r="K540" s="2" t="str" cm="1">
        <f t="array" ref="K540">_xlfn.XLOOKUP(F540,Customers!A539:$A$1001,Customers!G539:$G$1001,"Not Found",0)</f>
        <v>United States</v>
      </c>
      <c r="L540" t="str">
        <f>INDEX(Products!$A$1:$G$49,MATCH(Orders!$G540,Products!$A$1:$A$49,0),MATCH(Orders!L$1,Products!$A$1:$G$1,0))</f>
        <v>Rob</v>
      </c>
      <c r="M540" t="str">
        <f>INDEX(Products!$A$1:$G$49,MATCH(Orders!$G540,Products!$A$1:$A$49,0),MATCH(Orders!M$1,Products!$A$1:$G$1,0))</f>
        <v>D</v>
      </c>
      <c r="N540" s="4">
        <f>INDEX(Products!$A$1:$G$49,MATCH(Orders!$G540,Products!$A$1:$A$49,0),MATCH(Orders!N$1,Products!$A$1:$G$1,0))</f>
        <v>0.2</v>
      </c>
      <c r="O540" s="7">
        <f>INDEX(Products!$A$1:$G$49,MATCH(Orders!$G540,Products!$A$1:$A$49,0),MATCH(Orders!O$1,Products!$A$1:$G$1,0))</f>
        <v>2.6849999999999996</v>
      </c>
      <c r="P540" s="7">
        <f t="shared" si="8"/>
        <v>10.739999999999998</v>
      </c>
      <c r="Q540" t="str" cm="1">
        <f t="array" ref="Q540">_xlfn.IFS(L540="Rob","Robusta",L540="Exc", "Excelsa",L540="Ara", "Arabica",L540="Lib", "Liberica")</f>
        <v>Robusta</v>
      </c>
      <c r="R540" t="str" cm="1">
        <f t="array" ref="R540">_xlfn.IFS(M540="M","Medium",M540="L","Light",M540="D","Dark")</f>
        <v>Dark</v>
      </c>
    </row>
    <row r="541" spans="1:18">
      <c r="A541" s="2" t="s">
        <v>1105</v>
      </c>
      <c r="B541" s="3">
        <v>44488</v>
      </c>
      <c r="C541" s="9">
        <f>YEAR(Orders_Table[[#This Row],[Order Date]])</f>
        <v>2021</v>
      </c>
      <c r="D541" s="9">
        <f>MONTH(Orders_Table[[#This Row],[Order Date]])</f>
        <v>10</v>
      </c>
      <c r="E541" s="9" t="str" cm="1">
        <f t="array" ref="E5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41" s="2" t="s">
        <v>1106</v>
      </c>
      <c r="G541" t="s">
        <v>193</v>
      </c>
      <c r="H541" s="2">
        <v>5</v>
      </c>
      <c r="I541" s="2" t="str" cm="1">
        <f t="array" ref="I541">_xlfn.XLOOKUP(F541,Customers!A540:$A$1001,Customers!B540:$B$1001,"Not Found",0)</f>
        <v>Birgit Domange</v>
      </c>
      <c r="J541" s="2" t="str" cm="1">
        <f t="array" ref="J541">IF(_xlfn.XLOOKUP(F541,Customers!A540:$A$1001,Customers!C540:$C$1001,"Not Found",0)=0,"",_xlfn.XLOOKUP(F541,Customers!A540:$A$1001,Customers!C540:$C$1001,"Not Found",0))</f>
        <v>bdomangeez@yahoo.co.jp</v>
      </c>
      <c r="K541" s="2" t="str" cm="1">
        <f t="array" ref="K541">_xlfn.XLOOKUP(F541,Customers!A540:$A$1001,Customers!G540:$G$1001,"Not Found",0)</f>
        <v>United States</v>
      </c>
      <c r="L541" t="str">
        <f>INDEX(Products!$A$1:$G$49,MATCH(Orders!$G541,Products!$A$1:$A$49,0),MATCH(Orders!L$1,Products!$A$1:$G$1,0))</f>
        <v>Rob</v>
      </c>
      <c r="M541" t="str">
        <f>INDEX(Products!$A$1:$G$49,MATCH(Orders!$G541,Products!$A$1:$A$49,0),MATCH(Orders!M$1,Products!$A$1:$G$1,0))</f>
        <v>D</v>
      </c>
      <c r="N541" s="4">
        <f>INDEX(Products!$A$1:$G$49,MATCH(Orders!$G541,Products!$A$1:$A$49,0),MATCH(Orders!N$1,Products!$A$1:$G$1,0))</f>
        <v>0.5</v>
      </c>
      <c r="O541" s="7">
        <f>INDEX(Products!$A$1:$G$49,MATCH(Orders!$G541,Products!$A$1:$A$49,0),MATCH(Orders!O$1,Products!$A$1:$G$1,0))</f>
        <v>5.3699999999999992</v>
      </c>
      <c r="P541" s="7">
        <f t="shared" si="8"/>
        <v>26.849999999999994</v>
      </c>
      <c r="Q541" t="str" cm="1">
        <f t="array" ref="Q541">_xlfn.IFS(L541="Rob","Robusta",L541="Exc", "Excelsa",L541="Ara", "Arabica",L541="Lib", "Liberica")</f>
        <v>Robusta</v>
      </c>
      <c r="R541" t="str" cm="1">
        <f t="array" ref="R541">_xlfn.IFS(M541="M","Medium",M541="L","Light",M541="D","Dark")</f>
        <v>Dark</v>
      </c>
    </row>
    <row r="542" spans="1:18">
      <c r="A542" s="2" t="s">
        <v>1107</v>
      </c>
      <c r="B542" s="3">
        <v>43584</v>
      </c>
      <c r="C542" s="9">
        <f>YEAR(Orders_Table[[#This Row],[Order Date]])</f>
        <v>2019</v>
      </c>
      <c r="D542" s="9">
        <f>MONTH(Orders_Table[[#This Row],[Order Date]])</f>
        <v>4</v>
      </c>
      <c r="E542" s="9" t="str" cm="1">
        <f t="array" ref="E5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42" s="2" t="s">
        <v>1108</v>
      </c>
      <c r="G542" t="s">
        <v>179</v>
      </c>
      <c r="H542" s="2">
        <v>4</v>
      </c>
      <c r="I542" s="2" t="str" cm="1">
        <f t="array" ref="I542">_xlfn.XLOOKUP(F542,Customers!A541:$A$1001,Customers!B541:$B$1001,"Not Found",0)</f>
        <v>Killian Osler</v>
      </c>
      <c r="J542" s="2" t="str" cm="1">
        <f t="array" ref="J542">IF(_xlfn.XLOOKUP(F542,Customers!A541:$A$1001,Customers!C541:$C$1001,"Not Found",0)=0,"",_xlfn.XLOOKUP(F542,Customers!A541:$A$1001,Customers!C541:$C$1001,"Not Found",0))</f>
        <v>koslerf0@gmpg.org</v>
      </c>
      <c r="K542" s="2" t="str" cm="1">
        <f t="array" ref="K542">_xlfn.XLOOKUP(F542,Customers!A541:$A$1001,Customers!G541:$G$1001,"Not Found",0)</f>
        <v>United States</v>
      </c>
      <c r="L542" t="str">
        <f>INDEX(Products!$A$1:$G$49,MATCH(Orders!$G542,Products!$A$1:$A$49,0),MATCH(Orders!L$1,Products!$A$1:$G$1,0))</f>
        <v>Lib</v>
      </c>
      <c r="M542" t="str">
        <f>INDEX(Products!$A$1:$G$49,MATCH(Orders!$G542,Products!$A$1:$A$49,0),MATCH(Orders!M$1,Products!$A$1:$G$1,0))</f>
        <v>L</v>
      </c>
      <c r="N542" s="4">
        <f>INDEX(Products!$A$1:$G$49,MATCH(Orders!$G542,Products!$A$1:$A$49,0),MATCH(Orders!N$1,Products!$A$1:$G$1,0))</f>
        <v>1</v>
      </c>
      <c r="O542" s="7">
        <f>INDEX(Products!$A$1:$G$49,MATCH(Orders!$G542,Products!$A$1:$A$49,0),MATCH(Orders!O$1,Products!$A$1:$G$1,0))</f>
        <v>15.85</v>
      </c>
      <c r="P542" s="7">
        <f t="shared" si="8"/>
        <v>63.4</v>
      </c>
      <c r="Q542" t="str" cm="1">
        <f t="array" ref="Q542">_xlfn.IFS(L542="Rob","Robusta",L542="Exc", "Excelsa",L542="Ara", "Arabica",L542="Lib", "Liberica")</f>
        <v>Liberica</v>
      </c>
      <c r="R542" t="str" cm="1">
        <f t="array" ref="R542">_xlfn.IFS(M542="M","Medium",M542="L","Light",M542="D","Dark")</f>
        <v>Light</v>
      </c>
    </row>
    <row r="543" spans="1:18">
      <c r="A543" s="2" t="s">
        <v>1109</v>
      </c>
      <c r="B543" s="3">
        <v>43750</v>
      </c>
      <c r="C543" s="9">
        <f>YEAR(Orders_Table[[#This Row],[Order Date]])</f>
        <v>2019</v>
      </c>
      <c r="D543" s="9">
        <f>MONTH(Orders_Table[[#This Row],[Order Date]])</f>
        <v>10</v>
      </c>
      <c r="E543" s="9" t="str" cm="1">
        <f t="array" ref="E5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43" s="2" t="s">
        <v>1110</v>
      </c>
      <c r="G543" t="s">
        <v>165</v>
      </c>
      <c r="H543" s="2">
        <v>1</v>
      </c>
      <c r="I543" s="2" t="str" cm="1">
        <f t="array" ref="I543">_xlfn.XLOOKUP(F543,Customers!A542:$A$1001,Customers!B542:$B$1001,"Not Found",0)</f>
        <v>Lora Dukes</v>
      </c>
      <c r="J543" s="2" t="str" cm="1">
        <f t="array" ref="J543">IF(_xlfn.XLOOKUP(F543,Customers!A542:$A$1001,Customers!C542:$C$1001,"Not Found",0)=0,"",_xlfn.XLOOKUP(F543,Customers!A542:$A$1001,Customers!C542:$C$1001,"Not Found",0))</f>
        <v/>
      </c>
      <c r="K543" s="2" t="str" cm="1">
        <f t="array" ref="K543">_xlfn.XLOOKUP(F543,Customers!A542:$A$1001,Customers!G542:$G$1001,"Not Found",0)</f>
        <v>Ireland</v>
      </c>
      <c r="L543" t="str">
        <f>INDEX(Products!$A$1:$G$49,MATCH(Orders!$G543,Products!$A$1:$A$49,0),MATCH(Orders!L$1,Products!$A$1:$G$1,0))</f>
        <v>Ara</v>
      </c>
      <c r="M543" t="str">
        <f>INDEX(Products!$A$1:$G$49,MATCH(Orders!$G543,Products!$A$1:$A$49,0),MATCH(Orders!M$1,Products!$A$1:$G$1,0))</f>
        <v>D</v>
      </c>
      <c r="N543" s="4">
        <f>INDEX(Products!$A$1:$G$49,MATCH(Orders!$G543,Products!$A$1:$A$49,0),MATCH(Orders!N$1,Products!$A$1:$G$1,0))</f>
        <v>2.5</v>
      </c>
      <c r="O543" s="7">
        <f>INDEX(Products!$A$1:$G$49,MATCH(Orders!$G543,Products!$A$1:$A$49,0),MATCH(Orders!O$1,Products!$A$1:$G$1,0))</f>
        <v>22.884999999999998</v>
      </c>
      <c r="P543" s="7">
        <f t="shared" si="8"/>
        <v>22.884999999999998</v>
      </c>
      <c r="Q543" t="str" cm="1">
        <f t="array" ref="Q543">_xlfn.IFS(L543="Rob","Robusta",L543="Exc", "Excelsa",L543="Ara", "Arabica",L543="Lib", "Liberica")</f>
        <v>Arabica</v>
      </c>
      <c r="R543" t="str" cm="1">
        <f t="array" ref="R543">_xlfn.IFS(M543="M","Medium",M543="L","Light",M543="D","Dark")</f>
        <v>Dark</v>
      </c>
    </row>
    <row r="544" spans="1:18">
      <c r="A544" s="2" t="s">
        <v>1111</v>
      </c>
      <c r="B544" s="3">
        <v>44335</v>
      </c>
      <c r="C544" s="9">
        <f>YEAR(Orders_Table[[#This Row],[Order Date]])</f>
        <v>2021</v>
      </c>
      <c r="D544" s="9">
        <f>MONTH(Orders_Table[[#This Row],[Order Date]])</f>
        <v>5</v>
      </c>
      <c r="E544" s="9" t="str" cm="1">
        <f t="array" ref="E5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44" s="2" t="s">
        <v>1112</v>
      </c>
      <c r="G544" t="s">
        <v>218</v>
      </c>
      <c r="H544" s="2">
        <v>4</v>
      </c>
      <c r="I544" s="2" t="str" cm="1">
        <f t="array" ref="I544">_xlfn.XLOOKUP(F544,Customers!A543:$A$1001,Customers!B543:$B$1001,"Not Found",0)</f>
        <v>Zack Pellett</v>
      </c>
      <c r="J544" s="2" t="str" cm="1">
        <f t="array" ref="J544">IF(_xlfn.XLOOKUP(F544,Customers!A543:$A$1001,Customers!C543:$C$1001,"Not Found",0)=0,"",_xlfn.XLOOKUP(F544,Customers!A543:$A$1001,Customers!C543:$C$1001,"Not Found",0))</f>
        <v>zpellettf2@dailymotion.com</v>
      </c>
      <c r="K544" s="2" t="str" cm="1">
        <f t="array" ref="K544">_xlfn.XLOOKUP(F544,Customers!A543:$A$1001,Customers!G543:$G$1001,"Not Found",0)</f>
        <v>United States</v>
      </c>
      <c r="L544" t="str">
        <f>INDEX(Products!$A$1:$G$49,MATCH(Orders!$G544,Products!$A$1:$A$49,0),MATCH(Orders!L$1,Products!$A$1:$G$1,0))</f>
        <v>Ara</v>
      </c>
      <c r="M544" t="str">
        <f>INDEX(Products!$A$1:$G$49,MATCH(Orders!$G544,Products!$A$1:$A$49,0),MATCH(Orders!M$1,Products!$A$1:$G$1,0))</f>
        <v>M</v>
      </c>
      <c r="N544" s="4">
        <f>INDEX(Products!$A$1:$G$49,MATCH(Orders!$G544,Products!$A$1:$A$49,0),MATCH(Orders!N$1,Products!$A$1:$G$1,0))</f>
        <v>2.5</v>
      </c>
      <c r="O544" s="7">
        <f>INDEX(Products!$A$1:$G$49,MATCH(Orders!$G544,Products!$A$1:$A$49,0),MATCH(Orders!O$1,Products!$A$1:$G$1,0))</f>
        <v>25.874999999999996</v>
      </c>
      <c r="P544" s="7">
        <f t="shared" si="8"/>
        <v>103.49999999999999</v>
      </c>
      <c r="Q544" t="str" cm="1">
        <f t="array" ref="Q544">_xlfn.IFS(L544="Rob","Robusta",L544="Exc", "Excelsa",L544="Ara", "Arabica",L544="Lib", "Liberica")</f>
        <v>Arabica</v>
      </c>
      <c r="R544" t="str" cm="1">
        <f t="array" ref="R544">_xlfn.IFS(M544="M","Medium",M544="L","Light",M544="D","Dark")</f>
        <v>Medium</v>
      </c>
    </row>
    <row r="545" spans="1:18">
      <c r="A545" s="2" t="s">
        <v>1113</v>
      </c>
      <c r="B545" s="3">
        <v>44380</v>
      </c>
      <c r="C545" s="9">
        <f>YEAR(Orders_Table[[#This Row],[Order Date]])</f>
        <v>2021</v>
      </c>
      <c r="D545" s="9">
        <f>MONTH(Orders_Table[[#This Row],[Order Date]])</f>
        <v>7</v>
      </c>
      <c r="E545" s="9" t="str" cm="1">
        <f t="array" ref="E5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45" s="2" t="s">
        <v>1114</v>
      </c>
      <c r="G545" t="s">
        <v>57</v>
      </c>
      <c r="H545" s="2">
        <v>2</v>
      </c>
      <c r="I545" s="2" t="str" cm="1">
        <f t="array" ref="I545">_xlfn.XLOOKUP(F545,Customers!A544:$A$1001,Customers!B544:$B$1001,"Not Found",0)</f>
        <v>Ilaire Sprakes</v>
      </c>
      <c r="J545" s="2" t="str" cm="1">
        <f t="array" ref="J545">IF(_xlfn.XLOOKUP(F545,Customers!A544:$A$1001,Customers!C544:$C$1001,"Not Found",0)=0,"",_xlfn.XLOOKUP(F545,Customers!A544:$A$1001,Customers!C544:$C$1001,"Not Found",0))</f>
        <v>isprakesf3@spiegel.de</v>
      </c>
      <c r="K545" s="2" t="str" cm="1">
        <f t="array" ref="K545">_xlfn.XLOOKUP(F545,Customers!A544:$A$1001,Customers!G544:$G$1001,"Not Found",0)</f>
        <v>United States</v>
      </c>
      <c r="L545" t="str">
        <f>INDEX(Products!$A$1:$G$49,MATCH(Orders!$G545,Products!$A$1:$A$49,0),MATCH(Orders!L$1,Products!$A$1:$G$1,0))</f>
        <v>Rob</v>
      </c>
      <c r="M545" t="str">
        <f>INDEX(Products!$A$1:$G$49,MATCH(Orders!$G545,Products!$A$1:$A$49,0),MATCH(Orders!M$1,Products!$A$1:$G$1,0))</f>
        <v>L</v>
      </c>
      <c r="N545" s="4">
        <f>INDEX(Products!$A$1:$G$49,MATCH(Orders!$G545,Products!$A$1:$A$49,0),MATCH(Orders!N$1,Products!$A$1:$G$1,0))</f>
        <v>2.5</v>
      </c>
      <c r="O545" s="7">
        <f>INDEX(Products!$A$1:$G$49,MATCH(Orders!$G545,Products!$A$1:$A$49,0),MATCH(Orders!O$1,Products!$A$1:$G$1,0))</f>
        <v>27.484999999999996</v>
      </c>
      <c r="P545" s="7">
        <f t="shared" si="8"/>
        <v>54.969999999999992</v>
      </c>
      <c r="Q545" t="str" cm="1">
        <f t="array" ref="Q545">_xlfn.IFS(L545="Rob","Robusta",L545="Exc", "Excelsa",L545="Ara", "Arabica",L545="Lib", "Liberica")</f>
        <v>Robusta</v>
      </c>
      <c r="R545" t="str" cm="1">
        <f t="array" ref="R545">_xlfn.IFS(M545="M","Medium",M545="L","Light",M545="D","Dark")</f>
        <v>Light</v>
      </c>
    </row>
    <row r="546" spans="1:18">
      <c r="A546" s="2" t="s">
        <v>1115</v>
      </c>
      <c r="B546" s="3">
        <v>43869</v>
      </c>
      <c r="C546" s="9">
        <f>YEAR(Orders_Table[[#This Row],[Order Date]])</f>
        <v>2020</v>
      </c>
      <c r="D546" s="9">
        <f>MONTH(Orders_Table[[#This Row],[Order Date]])</f>
        <v>2</v>
      </c>
      <c r="E546" s="9" t="str" cm="1">
        <f t="array" ref="E5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46" s="2" t="s">
        <v>1116</v>
      </c>
      <c r="G546" t="s">
        <v>239</v>
      </c>
      <c r="H546" s="2">
        <v>2</v>
      </c>
      <c r="I546" s="2" t="str" cm="1">
        <f t="array" ref="I546">_xlfn.XLOOKUP(F546,Customers!A545:$A$1001,Customers!B545:$B$1001,"Not Found",0)</f>
        <v>Heda Fromant</v>
      </c>
      <c r="J546" s="2" t="str" cm="1">
        <f t="array" ref="J546">IF(_xlfn.XLOOKUP(F546,Customers!A545:$A$1001,Customers!C545:$C$1001,"Not Found",0)=0,"",_xlfn.XLOOKUP(F546,Customers!A545:$A$1001,Customers!C545:$C$1001,"Not Found",0))</f>
        <v>hfromantf4@ucsd.edu</v>
      </c>
      <c r="K546" s="2" t="str" cm="1">
        <f t="array" ref="K546">_xlfn.XLOOKUP(F546,Customers!A545:$A$1001,Customers!G545:$G$1001,"Not Found",0)</f>
        <v>United States</v>
      </c>
      <c r="L546" t="str">
        <f>INDEX(Products!$A$1:$G$49,MATCH(Orders!$G546,Products!$A$1:$A$49,0),MATCH(Orders!L$1,Products!$A$1:$G$1,0))</f>
        <v>Ara</v>
      </c>
      <c r="M546" t="str">
        <f>INDEX(Products!$A$1:$G$49,MATCH(Orders!$G546,Products!$A$1:$A$49,0),MATCH(Orders!M$1,Products!$A$1:$G$1,0))</f>
        <v>L</v>
      </c>
      <c r="N546" s="4">
        <f>INDEX(Products!$A$1:$G$49,MATCH(Orders!$G546,Products!$A$1:$A$49,0),MATCH(Orders!N$1,Products!$A$1:$G$1,0))</f>
        <v>0.5</v>
      </c>
      <c r="O546" s="7">
        <f>INDEX(Products!$A$1:$G$49,MATCH(Orders!$G546,Products!$A$1:$A$49,0),MATCH(Orders!O$1,Products!$A$1:$G$1,0))</f>
        <v>7.77</v>
      </c>
      <c r="P546" s="7">
        <f t="shared" si="8"/>
        <v>15.54</v>
      </c>
      <c r="Q546" t="str" cm="1">
        <f t="array" ref="Q546">_xlfn.IFS(L546="Rob","Robusta",L546="Exc", "Excelsa",L546="Ara", "Arabica",L546="Lib", "Liberica")</f>
        <v>Arabica</v>
      </c>
      <c r="R546" t="str" cm="1">
        <f t="array" ref="R546">_xlfn.IFS(M546="M","Medium",M546="L","Light",M546="D","Dark")</f>
        <v>Light</v>
      </c>
    </row>
    <row r="547" spans="1:18">
      <c r="A547" s="2" t="s">
        <v>1117</v>
      </c>
      <c r="B547" s="3">
        <v>44120</v>
      </c>
      <c r="C547" s="9">
        <f>YEAR(Orders_Table[[#This Row],[Order Date]])</f>
        <v>2020</v>
      </c>
      <c r="D547" s="9">
        <f>MONTH(Orders_Table[[#This Row],[Order Date]])</f>
        <v>10</v>
      </c>
      <c r="E547" s="9" t="str" cm="1">
        <f t="array" ref="E5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47" s="2" t="s">
        <v>1118</v>
      </c>
      <c r="G547" t="s">
        <v>85</v>
      </c>
      <c r="H547" s="2">
        <v>4</v>
      </c>
      <c r="I547" s="2" t="str" cm="1">
        <f t="array" ref="I547">_xlfn.XLOOKUP(F547,Customers!A546:$A$1001,Customers!B546:$B$1001,"Not Found",0)</f>
        <v>Rufus Flear</v>
      </c>
      <c r="J547" s="2" t="str" cm="1">
        <f t="array" ref="J547">IF(_xlfn.XLOOKUP(F547,Customers!A546:$A$1001,Customers!C546:$C$1001,"Not Found",0)=0,"",_xlfn.XLOOKUP(F547,Customers!A546:$A$1001,Customers!C546:$C$1001,"Not Found",0))</f>
        <v>rflearf5@artisteer.com</v>
      </c>
      <c r="K547" s="2" t="str" cm="1">
        <f t="array" ref="K547">_xlfn.XLOOKUP(F547,Customers!A546:$A$1001,Customers!G546:$G$1001,"Not Found",0)</f>
        <v>United Kingdom</v>
      </c>
      <c r="L547" t="str">
        <f>INDEX(Products!$A$1:$G$49,MATCH(Orders!$G547,Products!$A$1:$A$49,0),MATCH(Orders!L$1,Products!$A$1:$G$1,0))</f>
        <v>Lib</v>
      </c>
      <c r="M547" t="str">
        <f>INDEX(Products!$A$1:$G$49,MATCH(Orders!$G547,Products!$A$1:$A$49,0),MATCH(Orders!M$1,Products!$A$1:$G$1,0))</f>
        <v>D</v>
      </c>
      <c r="N547" s="4">
        <f>INDEX(Products!$A$1:$G$49,MATCH(Orders!$G547,Products!$A$1:$A$49,0),MATCH(Orders!N$1,Products!$A$1:$G$1,0))</f>
        <v>0.2</v>
      </c>
      <c r="O547" s="7">
        <f>INDEX(Products!$A$1:$G$49,MATCH(Orders!$G547,Products!$A$1:$A$49,0),MATCH(Orders!O$1,Products!$A$1:$G$1,0))</f>
        <v>3.8849999999999998</v>
      </c>
      <c r="P547" s="7">
        <f t="shared" si="8"/>
        <v>15.54</v>
      </c>
      <c r="Q547" t="str" cm="1">
        <f t="array" ref="Q547">_xlfn.IFS(L547="Rob","Robusta",L547="Exc", "Excelsa",L547="Ara", "Arabica",L547="Lib", "Liberica")</f>
        <v>Liberica</v>
      </c>
      <c r="R547" t="str" cm="1">
        <f t="array" ref="R547">_xlfn.IFS(M547="M","Medium",M547="L","Light",M547="D","Dark")</f>
        <v>Dark</v>
      </c>
    </row>
    <row r="548" spans="1:18">
      <c r="A548" s="2" t="s">
        <v>1119</v>
      </c>
      <c r="B548" s="3">
        <v>44127</v>
      </c>
      <c r="C548" s="9">
        <f>YEAR(Orders_Table[[#This Row],[Order Date]])</f>
        <v>2020</v>
      </c>
      <c r="D548" s="9">
        <f>MONTH(Orders_Table[[#This Row],[Order Date]])</f>
        <v>10</v>
      </c>
      <c r="E548" s="9" t="str" cm="1">
        <f t="array" ref="E5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48" s="2" t="s">
        <v>1120</v>
      </c>
      <c r="G548" t="s">
        <v>577</v>
      </c>
      <c r="H548" s="2">
        <v>3</v>
      </c>
      <c r="I548" s="2" t="str" cm="1">
        <f t="array" ref="I548">_xlfn.XLOOKUP(F548,Customers!A547:$A$1001,Customers!B547:$B$1001,"Not Found",0)</f>
        <v>Dom Milella</v>
      </c>
      <c r="J548" s="2" t="str" cm="1">
        <f t="array" ref="J548">IF(_xlfn.XLOOKUP(F548,Customers!A547:$A$1001,Customers!C547:$C$1001,"Not Found",0)=0,"",_xlfn.XLOOKUP(F548,Customers!A547:$A$1001,Customers!C547:$C$1001,"Not Found",0))</f>
        <v/>
      </c>
      <c r="K548" s="2" t="str" cm="1">
        <f t="array" ref="K548">_xlfn.XLOOKUP(F548,Customers!A547:$A$1001,Customers!G547:$G$1001,"Not Found",0)</f>
        <v>Ireland</v>
      </c>
      <c r="L548" t="str">
        <f>INDEX(Products!$A$1:$G$49,MATCH(Orders!$G548,Products!$A$1:$A$49,0),MATCH(Orders!L$1,Products!$A$1:$G$1,0))</f>
        <v>Exc</v>
      </c>
      <c r="M548" t="str">
        <f>INDEX(Products!$A$1:$G$49,MATCH(Orders!$G548,Products!$A$1:$A$49,0),MATCH(Orders!M$1,Products!$A$1:$G$1,0))</f>
        <v>D</v>
      </c>
      <c r="N548" s="4">
        <f>INDEX(Products!$A$1:$G$49,MATCH(Orders!$G548,Products!$A$1:$A$49,0),MATCH(Orders!N$1,Products!$A$1:$G$1,0))</f>
        <v>2.5</v>
      </c>
      <c r="O548" s="7">
        <f>INDEX(Products!$A$1:$G$49,MATCH(Orders!$G548,Products!$A$1:$A$49,0),MATCH(Orders!O$1,Products!$A$1:$G$1,0))</f>
        <v>27.945</v>
      </c>
      <c r="P548" s="7">
        <f t="shared" si="8"/>
        <v>83.835000000000008</v>
      </c>
      <c r="Q548" t="str" cm="1">
        <f t="array" ref="Q548">_xlfn.IFS(L548="Rob","Robusta",L548="Exc", "Excelsa",L548="Ara", "Arabica",L548="Lib", "Liberica")</f>
        <v>Excelsa</v>
      </c>
      <c r="R548" t="str" cm="1">
        <f t="array" ref="R548">_xlfn.IFS(M548="M","Medium",M548="L","Light",M548="D","Dark")</f>
        <v>Dark</v>
      </c>
    </row>
    <row r="549" spans="1:18">
      <c r="A549" s="2" t="s">
        <v>1121</v>
      </c>
      <c r="B549" s="3">
        <v>44265</v>
      </c>
      <c r="C549" s="9">
        <f>YEAR(Orders_Table[[#This Row],[Order Date]])</f>
        <v>2021</v>
      </c>
      <c r="D549" s="9">
        <f>MONTH(Orders_Table[[#This Row],[Order Date]])</f>
        <v>3</v>
      </c>
      <c r="E549" s="9" t="str" cm="1">
        <f t="array" ref="E5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49" s="2" t="s">
        <v>1122</v>
      </c>
      <c r="G549" t="s">
        <v>229</v>
      </c>
      <c r="H549" s="2">
        <v>3</v>
      </c>
      <c r="I549" s="2" t="str" cm="1">
        <f t="array" ref="I549">_xlfn.XLOOKUP(F549,Customers!A548:$A$1001,Customers!B548:$B$1001,"Not Found",0)</f>
        <v>Wilek Lightollers</v>
      </c>
      <c r="J549" s="2" t="str" cm="1">
        <f t="array" ref="J549">IF(_xlfn.XLOOKUP(F549,Customers!A548:$A$1001,Customers!C548:$C$1001,"Not Found",0)=0,"",_xlfn.XLOOKUP(F549,Customers!A548:$A$1001,Customers!C548:$C$1001,"Not Found",0))</f>
        <v>wlightollersf9@baidu.com</v>
      </c>
      <c r="K549" s="2" t="str" cm="1">
        <f t="array" ref="K549">_xlfn.XLOOKUP(F549,Customers!A548:$A$1001,Customers!G548:$G$1001,"Not Found",0)</f>
        <v>United States</v>
      </c>
      <c r="L549" t="str">
        <f>INDEX(Products!$A$1:$G$49,MATCH(Orders!$G549,Products!$A$1:$A$49,0),MATCH(Orders!L$1,Products!$A$1:$G$1,0))</f>
        <v>Rob</v>
      </c>
      <c r="M549" t="str">
        <f>INDEX(Products!$A$1:$G$49,MATCH(Orders!$G549,Products!$A$1:$A$49,0),MATCH(Orders!M$1,Products!$A$1:$G$1,0))</f>
        <v>L</v>
      </c>
      <c r="N549" s="4">
        <f>INDEX(Products!$A$1:$G$49,MATCH(Orders!$G549,Products!$A$1:$A$49,0),MATCH(Orders!N$1,Products!$A$1:$G$1,0))</f>
        <v>0.2</v>
      </c>
      <c r="O549" s="7">
        <f>INDEX(Products!$A$1:$G$49,MATCH(Orders!$G549,Products!$A$1:$A$49,0),MATCH(Orders!O$1,Products!$A$1:$G$1,0))</f>
        <v>3.5849999999999995</v>
      </c>
      <c r="P549" s="7">
        <f t="shared" si="8"/>
        <v>10.754999999999999</v>
      </c>
      <c r="Q549" t="str" cm="1">
        <f t="array" ref="Q549">_xlfn.IFS(L549="Rob","Robusta",L549="Exc", "Excelsa",L549="Ara", "Arabica",L549="Lib", "Liberica")</f>
        <v>Robusta</v>
      </c>
      <c r="R549" t="str" cm="1">
        <f t="array" ref="R549">_xlfn.IFS(M549="M","Medium",M549="L","Light",M549="D","Dark")</f>
        <v>Light</v>
      </c>
    </row>
    <row r="550" spans="1:18">
      <c r="A550" s="2" t="s">
        <v>1123</v>
      </c>
      <c r="B550" s="3">
        <v>44384</v>
      </c>
      <c r="C550" s="9">
        <f>YEAR(Orders_Table[[#This Row],[Order Date]])</f>
        <v>2021</v>
      </c>
      <c r="D550" s="9">
        <f>MONTH(Orders_Table[[#This Row],[Order Date]])</f>
        <v>7</v>
      </c>
      <c r="E550" s="9" t="str" cm="1">
        <f t="array" ref="E5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50" s="2" t="s">
        <v>1124</v>
      </c>
      <c r="G550" t="s">
        <v>301</v>
      </c>
      <c r="H550" s="2">
        <v>3</v>
      </c>
      <c r="I550" s="2" t="str" cm="1">
        <f t="array" ref="I550">_xlfn.XLOOKUP(F550,Customers!A549:$A$1001,Customers!B549:$B$1001,"Not Found",0)</f>
        <v>Bette-ann Munden</v>
      </c>
      <c r="J550" s="2" t="str" cm="1">
        <f t="array" ref="J550">IF(_xlfn.XLOOKUP(F550,Customers!A549:$A$1001,Customers!C549:$C$1001,"Not Found",0)=0,"",_xlfn.XLOOKUP(F550,Customers!A549:$A$1001,Customers!C549:$C$1001,"Not Found",0))</f>
        <v>bmundenf8@elpais.com</v>
      </c>
      <c r="K550" s="2" t="str" cm="1">
        <f t="array" ref="K550">_xlfn.XLOOKUP(F550,Customers!A549:$A$1001,Customers!G549:$G$1001,"Not Found",0)</f>
        <v>United States</v>
      </c>
      <c r="L550" t="str">
        <f>INDEX(Products!$A$1:$G$49,MATCH(Orders!$G550,Products!$A$1:$A$49,0),MATCH(Orders!L$1,Products!$A$1:$G$1,0))</f>
        <v>Exc</v>
      </c>
      <c r="M550" t="str">
        <f>INDEX(Products!$A$1:$G$49,MATCH(Orders!$G550,Products!$A$1:$A$49,0),MATCH(Orders!M$1,Products!$A$1:$G$1,0))</f>
        <v>L</v>
      </c>
      <c r="N550" s="4">
        <f>INDEX(Products!$A$1:$G$49,MATCH(Orders!$G550,Products!$A$1:$A$49,0),MATCH(Orders!N$1,Products!$A$1:$G$1,0))</f>
        <v>0.2</v>
      </c>
      <c r="O550" s="7">
        <f>INDEX(Products!$A$1:$G$49,MATCH(Orders!$G550,Products!$A$1:$A$49,0),MATCH(Orders!O$1,Products!$A$1:$G$1,0))</f>
        <v>4.4550000000000001</v>
      </c>
      <c r="P550" s="7">
        <f t="shared" si="8"/>
        <v>13.365</v>
      </c>
      <c r="Q550" t="str" cm="1">
        <f t="array" ref="Q550">_xlfn.IFS(L550="Rob","Robusta",L550="Exc", "Excelsa",L550="Ara", "Arabica",L550="Lib", "Liberica")</f>
        <v>Excelsa</v>
      </c>
      <c r="R550" t="str" cm="1">
        <f t="array" ref="R550">_xlfn.IFS(M550="M","Medium",M550="L","Light",M550="D","Dark")</f>
        <v>Light</v>
      </c>
    </row>
    <row r="551" spans="1:18">
      <c r="A551" s="2" t="s">
        <v>1125</v>
      </c>
      <c r="B551" s="3">
        <v>44232</v>
      </c>
      <c r="C551" s="9">
        <f>YEAR(Orders_Table[[#This Row],[Order Date]])</f>
        <v>2021</v>
      </c>
      <c r="D551" s="9">
        <f>MONTH(Orders_Table[[#This Row],[Order Date]])</f>
        <v>2</v>
      </c>
      <c r="E551" s="9" t="str" cm="1">
        <f t="array" ref="E5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51" s="2" t="s">
        <v>1122</v>
      </c>
      <c r="G551" t="s">
        <v>301</v>
      </c>
      <c r="H551" s="2">
        <v>4</v>
      </c>
      <c r="I551" s="2" t="str" cm="1">
        <f t="array" ref="I551">_xlfn.XLOOKUP(F551,Customers!A550:$A$1001,Customers!B550:$B$1001,"Not Found",0)</f>
        <v>Wilek Lightollers</v>
      </c>
      <c r="J551" s="2" t="str" cm="1">
        <f t="array" ref="J551">IF(_xlfn.XLOOKUP(F551,Customers!A550:$A$1001,Customers!C550:$C$1001,"Not Found",0)=0,"",_xlfn.XLOOKUP(F551,Customers!A550:$A$1001,Customers!C550:$C$1001,"Not Found",0))</f>
        <v>wlightollersf9@baidu.com</v>
      </c>
      <c r="K551" s="2" t="str" cm="1">
        <f t="array" ref="K551">_xlfn.XLOOKUP(F551,Customers!A550:$A$1001,Customers!G550:$G$1001,"Not Found",0)</f>
        <v>United States</v>
      </c>
      <c r="L551" t="str">
        <f>INDEX(Products!$A$1:$G$49,MATCH(Orders!$G551,Products!$A$1:$A$49,0),MATCH(Orders!L$1,Products!$A$1:$G$1,0))</f>
        <v>Exc</v>
      </c>
      <c r="M551" t="str">
        <f>INDEX(Products!$A$1:$G$49,MATCH(Orders!$G551,Products!$A$1:$A$49,0),MATCH(Orders!M$1,Products!$A$1:$G$1,0))</f>
        <v>L</v>
      </c>
      <c r="N551" s="4">
        <f>INDEX(Products!$A$1:$G$49,MATCH(Orders!$G551,Products!$A$1:$A$49,0),MATCH(Orders!N$1,Products!$A$1:$G$1,0))</f>
        <v>0.2</v>
      </c>
      <c r="O551" s="7">
        <f>INDEX(Products!$A$1:$G$49,MATCH(Orders!$G551,Products!$A$1:$A$49,0),MATCH(Orders!O$1,Products!$A$1:$G$1,0))</f>
        <v>4.4550000000000001</v>
      </c>
      <c r="P551" s="7">
        <f t="shared" si="8"/>
        <v>17.82</v>
      </c>
      <c r="Q551" t="str" cm="1">
        <f t="array" ref="Q551">_xlfn.IFS(L551="Rob","Robusta",L551="Exc", "Excelsa",L551="Ara", "Arabica",L551="Lib", "Liberica")</f>
        <v>Excelsa</v>
      </c>
      <c r="R551" t="str" cm="1">
        <f t="array" ref="R551">_xlfn.IFS(M551="M","Medium",M551="L","Light",M551="D","Dark")</f>
        <v>Light</v>
      </c>
    </row>
    <row r="552" spans="1:18">
      <c r="A552" s="2" t="s">
        <v>1126</v>
      </c>
      <c r="B552" s="3">
        <v>44176</v>
      </c>
      <c r="C552" s="9">
        <f>YEAR(Orders_Table[[#This Row],[Order Date]])</f>
        <v>2020</v>
      </c>
      <c r="D552" s="9">
        <f>MONTH(Orders_Table[[#This Row],[Order Date]])</f>
        <v>12</v>
      </c>
      <c r="E552" s="9" t="str" cm="1">
        <f t="array" ref="E5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52" s="2" t="s">
        <v>1127</v>
      </c>
      <c r="G552" t="s">
        <v>85</v>
      </c>
      <c r="H552" s="2">
        <v>6</v>
      </c>
      <c r="I552" s="2" t="str" cm="1">
        <f t="array" ref="I552">_xlfn.XLOOKUP(F552,Customers!A551:$A$1001,Customers!B551:$B$1001,"Not Found",0)</f>
        <v>Nick Brakespear</v>
      </c>
      <c r="J552" s="2" t="str" cm="1">
        <f t="array" ref="J552">IF(_xlfn.XLOOKUP(F552,Customers!A551:$A$1001,Customers!C551:$C$1001,"Not Found",0)=0,"",_xlfn.XLOOKUP(F552,Customers!A551:$A$1001,Customers!C551:$C$1001,"Not Found",0))</f>
        <v>nbrakespearfa@rediff.com</v>
      </c>
      <c r="K552" s="2" t="str" cm="1">
        <f t="array" ref="K552">_xlfn.XLOOKUP(F552,Customers!A551:$A$1001,Customers!G551:$G$1001,"Not Found",0)</f>
        <v>United States</v>
      </c>
      <c r="L552" t="str">
        <f>INDEX(Products!$A$1:$G$49,MATCH(Orders!$G552,Products!$A$1:$A$49,0),MATCH(Orders!L$1,Products!$A$1:$G$1,0))</f>
        <v>Lib</v>
      </c>
      <c r="M552" t="str">
        <f>INDEX(Products!$A$1:$G$49,MATCH(Orders!$G552,Products!$A$1:$A$49,0),MATCH(Orders!M$1,Products!$A$1:$G$1,0))</f>
        <v>D</v>
      </c>
      <c r="N552" s="4">
        <f>INDEX(Products!$A$1:$G$49,MATCH(Orders!$G552,Products!$A$1:$A$49,0),MATCH(Orders!N$1,Products!$A$1:$G$1,0))</f>
        <v>0.2</v>
      </c>
      <c r="O552" s="7">
        <f>INDEX(Products!$A$1:$G$49,MATCH(Orders!$G552,Products!$A$1:$A$49,0),MATCH(Orders!O$1,Products!$A$1:$G$1,0))</f>
        <v>3.8849999999999998</v>
      </c>
      <c r="P552" s="7">
        <f t="shared" si="8"/>
        <v>23.31</v>
      </c>
      <c r="Q552" t="str" cm="1">
        <f t="array" ref="Q552">_xlfn.IFS(L552="Rob","Robusta",L552="Exc", "Excelsa",L552="Ara", "Arabica",L552="Lib", "Liberica")</f>
        <v>Liberica</v>
      </c>
      <c r="R552" t="str" cm="1">
        <f t="array" ref="R552">_xlfn.IFS(M552="M","Medium",M552="L","Light",M552="D","Dark")</f>
        <v>Dark</v>
      </c>
    </row>
    <row r="553" spans="1:18">
      <c r="A553" s="2" t="s">
        <v>1128</v>
      </c>
      <c r="B553" s="3">
        <v>44694</v>
      </c>
      <c r="C553" s="9">
        <f>YEAR(Orders_Table[[#This Row],[Order Date]])</f>
        <v>2022</v>
      </c>
      <c r="D553" s="9">
        <f>MONTH(Orders_Table[[#This Row],[Order Date]])</f>
        <v>5</v>
      </c>
      <c r="E553" s="9" t="str" cm="1">
        <f t="array" ref="E5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53" s="2" t="s">
        <v>1129</v>
      </c>
      <c r="G553" t="s">
        <v>98</v>
      </c>
      <c r="H553" s="2">
        <v>2</v>
      </c>
      <c r="I553" s="2" t="str" cm="1">
        <f t="array" ref="I553">_xlfn.XLOOKUP(F553,Customers!A552:$A$1001,Customers!B552:$B$1001,"Not Found",0)</f>
        <v>Malynda Glawsop</v>
      </c>
      <c r="J553" s="2" t="str" cm="1">
        <f t="array" ref="J553">IF(_xlfn.XLOOKUP(F553,Customers!A552:$A$1001,Customers!C552:$C$1001,"Not Found",0)=0,"",_xlfn.XLOOKUP(F553,Customers!A552:$A$1001,Customers!C552:$C$1001,"Not Found",0))</f>
        <v>mglawsopfb@reverbnation.com</v>
      </c>
      <c r="K553" s="2" t="str" cm="1">
        <f t="array" ref="K553">_xlfn.XLOOKUP(F553,Customers!A552:$A$1001,Customers!G552:$G$1001,"Not Found",0)</f>
        <v>United States</v>
      </c>
      <c r="L553" t="str">
        <f>INDEX(Products!$A$1:$G$49,MATCH(Orders!$G553,Products!$A$1:$A$49,0),MATCH(Orders!L$1,Products!$A$1:$G$1,0))</f>
        <v>Exc</v>
      </c>
      <c r="M553" t="str">
        <f>INDEX(Products!$A$1:$G$49,MATCH(Orders!$G553,Products!$A$1:$A$49,0),MATCH(Orders!M$1,Products!$A$1:$G$1,0))</f>
        <v>D</v>
      </c>
      <c r="N553" s="4">
        <f>INDEX(Products!$A$1:$G$49,MATCH(Orders!$G553,Products!$A$1:$A$49,0),MATCH(Orders!N$1,Products!$A$1:$G$1,0))</f>
        <v>0.2</v>
      </c>
      <c r="O553" s="7">
        <f>INDEX(Products!$A$1:$G$49,MATCH(Orders!$G553,Products!$A$1:$A$49,0),MATCH(Orders!O$1,Products!$A$1:$G$1,0))</f>
        <v>3.645</v>
      </c>
      <c r="P553" s="7">
        <f t="shared" si="8"/>
        <v>7.29</v>
      </c>
      <c r="Q553" t="str" cm="1">
        <f t="array" ref="Q553">_xlfn.IFS(L553="Rob","Robusta",L553="Exc", "Excelsa",L553="Ara", "Arabica",L553="Lib", "Liberica")</f>
        <v>Excelsa</v>
      </c>
      <c r="R553" t="str" cm="1">
        <f t="array" ref="R553">_xlfn.IFS(M553="M","Medium",M553="L","Light",M553="D","Dark")</f>
        <v>Dark</v>
      </c>
    </row>
    <row r="554" spans="1:18">
      <c r="A554" s="2" t="s">
        <v>1130</v>
      </c>
      <c r="B554" s="3">
        <v>43761</v>
      </c>
      <c r="C554" s="9">
        <f>YEAR(Orders_Table[[#This Row],[Order Date]])</f>
        <v>2019</v>
      </c>
      <c r="D554" s="9">
        <f>MONTH(Orders_Table[[#This Row],[Order Date]])</f>
        <v>10</v>
      </c>
      <c r="E554" s="9" t="str" cm="1">
        <f t="array" ref="E5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554" s="2" t="s">
        <v>1131</v>
      </c>
      <c r="G554" t="s">
        <v>301</v>
      </c>
      <c r="H554" s="2">
        <v>4</v>
      </c>
      <c r="I554" s="2" t="str" cm="1">
        <f t="array" ref="I554">_xlfn.XLOOKUP(F554,Customers!A553:$A$1001,Customers!B553:$B$1001,"Not Found",0)</f>
        <v>Granville Alberts</v>
      </c>
      <c r="J554" s="2" t="str" cm="1">
        <f t="array" ref="J554">IF(_xlfn.XLOOKUP(F554,Customers!A553:$A$1001,Customers!C553:$C$1001,"Not Found",0)=0,"",_xlfn.XLOOKUP(F554,Customers!A553:$A$1001,Customers!C553:$C$1001,"Not Found",0))</f>
        <v>galbertsfc@etsy.com</v>
      </c>
      <c r="K554" s="2" t="str" cm="1">
        <f t="array" ref="K554">_xlfn.XLOOKUP(F554,Customers!A553:$A$1001,Customers!G553:$G$1001,"Not Found",0)</f>
        <v>United Kingdom</v>
      </c>
      <c r="L554" t="str">
        <f>INDEX(Products!$A$1:$G$49,MATCH(Orders!$G554,Products!$A$1:$A$49,0),MATCH(Orders!L$1,Products!$A$1:$G$1,0))</f>
        <v>Exc</v>
      </c>
      <c r="M554" t="str">
        <f>INDEX(Products!$A$1:$G$49,MATCH(Orders!$G554,Products!$A$1:$A$49,0),MATCH(Orders!M$1,Products!$A$1:$G$1,0))</f>
        <v>L</v>
      </c>
      <c r="N554" s="4">
        <f>INDEX(Products!$A$1:$G$49,MATCH(Orders!$G554,Products!$A$1:$A$49,0),MATCH(Orders!N$1,Products!$A$1:$G$1,0))</f>
        <v>0.2</v>
      </c>
      <c r="O554" s="7">
        <f>INDEX(Products!$A$1:$G$49,MATCH(Orders!$G554,Products!$A$1:$A$49,0),MATCH(Orders!O$1,Products!$A$1:$G$1,0))</f>
        <v>4.4550000000000001</v>
      </c>
      <c r="P554" s="7">
        <f t="shared" si="8"/>
        <v>17.82</v>
      </c>
      <c r="Q554" t="str" cm="1">
        <f t="array" ref="Q554">_xlfn.IFS(L554="Rob","Robusta",L554="Exc", "Excelsa",L554="Ara", "Arabica",L554="Lib", "Liberica")</f>
        <v>Excelsa</v>
      </c>
      <c r="R554" t="str" cm="1">
        <f t="array" ref="R554">_xlfn.IFS(M554="M","Medium",M554="L","Light",M554="D","Dark")</f>
        <v>Light</v>
      </c>
    </row>
    <row r="555" spans="1:18">
      <c r="A555" s="2" t="s">
        <v>1132</v>
      </c>
      <c r="B555" s="3">
        <v>44085</v>
      </c>
      <c r="C555" s="9">
        <f>YEAR(Orders_Table[[#This Row],[Order Date]])</f>
        <v>2020</v>
      </c>
      <c r="D555" s="9">
        <f>MONTH(Orders_Table[[#This Row],[Order Date]])</f>
        <v>9</v>
      </c>
      <c r="E555" s="9" t="str" cm="1">
        <f t="array" ref="E5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55" s="2" t="s">
        <v>1133</v>
      </c>
      <c r="G555" t="s">
        <v>56</v>
      </c>
      <c r="H555" s="2">
        <v>5</v>
      </c>
      <c r="I555" s="2" t="str" cm="1">
        <f t="array" ref="I555">_xlfn.XLOOKUP(F555,Customers!A554:$A$1001,Customers!B554:$B$1001,"Not Found",0)</f>
        <v>Vasily Polglase</v>
      </c>
      <c r="J555" s="2" t="str" cm="1">
        <f t="array" ref="J555">IF(_xlfn.XLOOKUP(F555,Customers!A554:$A$1001,Customers!C554:$C$1001,"Not Found",0)=0,"",_xlfn.XLOOKUP(F555,Customers!A554:$A$1001,Customers!C554:$C$1001,"Not Found",0))</f>
        <v>vpolglasefd@about.me</v>
      </c>
      <c r="K555" s="2" t="str" cm="1">
        <f t="array" ref="K555">_xlfn.XLOOKUP(F555,Customers!A554:$A$1001,Customers!G554:$G$1001,"Not Found",0)</f>
        <v>United States</v>
      </c>
      <c r="L555" t="str">
        <f>INDEX(Products!$A$1:$G$49,MATCH(Orders!$G555,Products!$A$1:$A$49,0),MATCH(Orders!L$1,Products!$A$1:$G$1,0))</f>
        <v>Exc</v>
      </c>
      <c r="M555" t="str">
        <f>INDEX(Products!$A$1:$G$49,MATCH(Orders!$G555,Products!$A$1:$A$49,0),MATCH(Orders!M$1,Products!$A$1:$G$1,0))</f>
        <v>M</v>
      </c>
      <c r="N555" s="4">
        <f>INDEX(Products!$A$1:$G$49,MATCH(Orders!$G555,Products!$A$1:$A$49,0),MATCH(Orders!N$1,Products!$A$1:$G$1,0))</f>
        <v>1</v>
      </c>
      <c r="O555" s="7">
        <f>INDEX(Products!$A$1:$G$49,MATCH(Orders!$G555,Products!$A$1:$A$49,0),MATCH(Orders!O$1,Products!$A$1:$G$1,0))</f>
        <v>13.75</v>
      </c>
      <c r="P555" s="7">
        <f t="shared" si="8"/>
        <v>68.75</v>
      </c>
      <c r="Q555" t="str" cm="1">
        <f t="array" ref="Q555">_xlfn.IFS(L555="Rob","Robusta",L555="Exc", "Excelsa",L555="Ara", "Arabica",L555="Lib", "Liberica")</f>
        <v>Excelsa</v>
      </c>
      <c r="R555" t="str" cm="1">
        <f t="array" ref="R555">_xlfn.IFS(M555="M","Medium",M555="L","Light",M555="D","Dark")</f>
        <v>Medium</v>
      </c>
    </row>
    <row r="556" spans="1:18">
      <c r="A556" s="2" t="s">
        <v>1134</v>
      </c>
      <c r="B556" s="3">
        <v>43737</v>
      </c>
      <c r="C556" s="9">
        <f>YEAR(Orders_Table[[#This Row],[Order Date]])</f>
        <v>2019</v>
      </c>
      <c r="D556" s="9">
        <f>MONTH(Orders_Table[[#This Row],[Order Date]])</f>
        <v>9</v>
      </c>
      <c r="E556" s="9" t="str" cm="1">
        <f t="array" ref="E5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56" s="2" t="s">
        <v>1135</v>
      </c>
      <c r="G556" t="s">
        <v>57</v>
      </c>
      <c r="H556" s="2">
        <v>2</v>
      </c>
      <c r="I556" s="2" t="str" cm="1">
        <f t="array" ref="I556">_xlfn.XLOOKUP(F556,Customers!A555:$A$1001,Customers!B555:$B$1001,"Not Found",0)</f>
        <v>Madelaine Sharples</v>
      </c>
      <c r="J556" s="2" t="str" cm="1">
        <f t="array" ref="J556">IF(_xlfn.XLOOKUP(F556,Customers!A555:$A$1001,Customers!C555:$C$1001,"Not Found",0)=0,"",_xlfn.XLOOKUP(F556,Customers!A555:$A$1001,Customers!C555:$C$1001,"Not Found",0))</f>
        <v/>
      </c>
      <c r="K556" s="2" t="str" cm="1">
        <f t="array" ref="K556">_xlfn.XLOOKUP(F556,Customers!A555:$A$1001,Customers!G555:$G$1001,"Not Found",0)</f>
        <v>United Kingdom</v>
      </c>
      <c r="L556" t="str">
        <f>INDEX(Products!$A$1:$G$49,MATCH(Orders!$G556,Products!$A$1:$A$49,0),MATCH(Orders!L$1,Products!$A$1:$G$1,0))</f>
        <v>Rob</v>
      </c>
      <c r="M556" t="str">
        <f>INDEX(Products!$A$1:$G$49,MATCH(Orders!$G556,Products!$A$1:$A$49,0),MATCH(Orders!M$1,Products!$A$1:$G$1,0))</f>
        <v>L</v>
      </c>
      <c r="N556" s="4">
        <f>INDEX(Products!$A$1:$G$49,MATCH(Orders!$G556,Products!$A$1:$A$49,0),MATCH(Orders!N$1,Products!$A$1:$G$1,0))</f>
        <v>2.5</v>
      </c>
      <c r="O556" s="7">
        <f>INDEX(Products!$A$1:$G$49,MATCH(Orders!$G556,Products!$A$1:$A$49,0),MATCH(Orders!O$1,Products!$A$1:$G$1,0))</f>
        <v>27.484999999999996</v>
      </c>
      <c r="P556" s="7">
        <f t="shared" si="8"/>
        <v>54.969999999999992</v>
      </c>
      <c r="Q556" t="str" cm="1">
        <f t="array" ref="Q556">_xlfn.IFS(L556="Rob","Robusta",L556="Exc", "Excelsa",L556="Ara", "Arabica",L556="Lib", "Liberica")</f>
        <v>Robusta</v>
      </c>
      <c r="R556" t="str" cm="1">
        <f t="array" ref="R556">_xlfn.IFS(M556="M","Medium",M556="L","Light",M556="D","Dark")</f>
        <v>Light</v>
      </c>
    </row>
    <row r="557" spans="1:18">
      <c r="A557" s="2" t="s">
        <v>1136</v>
      </c>
      <c r="B557" s="3">
        <v>44258</v>
      </c>
      <c r="C557" s="9">
        <f>YEAR(Orders_Table[[#This Row],[Order Date]])</f>
        <v>2021</v>
      </c>
      <c r="D557" s="9">
        <f>MONTH(Orders_Table[[#This Row],[Order Date]])</f>
        <v>3</v>
      </c>
      <c r="E557" s="9" t="str" cm="1">
        <f t="array" ref="E5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57" s="2" t="s">
        <v>1137</v>
      </c>
      <c r="G557" t="s">
        <v>56</v>
      </c>
      <c r="H557" s="2">
        <v>6</v>
      </c>
      <c r="I557" s="2" t="str" cm="1">
        <f t="array" ref="I557">_xlfn.XLOOKUP(F557,Customers!A556:$A$1001,Customers!B556:$B$1001,"Not Found",0)</f>
        <v>Sigfrid Busch</v>
      </c>
      <c r="J557" s="2" t="str" cm="1">
        <f t="array" ref="J557">IF(_xlfn.XLOOKUP(F557,Customers!A556:$A$1001,Customers!C556:$C$1001,"Not Found",0)=0,"",_xlfn.XLOOKUP(F557,Customers!A556:$A$1001,Customers!C556:$C$1001,"Not Found",0))</f>
        <v>sbuschff@so-net.ne.jp</v>
      </c>
      <c r="K557" s="2" t="str" cm="1">
        <f t="array" ref="K557">_xlfn.XLOOKUP(F557,Customers!A556:$A$1001,Customers!G556:$G$1001,"Not Found",0)</f>
        <v>Ireland</v>
      </c>
      <c r="L557" t="str">
        <f>INDEX(Products!$A$1:$G$49,MATCH(Orders!$G557,Products!$A$1:$A$49,0),MATCH(Orders!L$1,Products!$A$1:$G$1,0))</f>
        <v>Exc</v>
      </c>
      <c r="M557" t="str">
        <f>INDEX(Products!$A$1:$G$49,MATCH(Orders!$G557,Products!$A$1:$A$49,0),MATCH(Orders!M$1,Products!$A$1:$G$1,0))</f>
        <v>M</v>
      </c>
      <c r="N557" s="4">
        <f>INDEX(Products!$A$1:$G$49,MATCH(Orders!$G557,Products!$A$1:$A$49,0),MATCH(Orders!N$1,Products!$A$1:$G$1,0))</f>
        <v>1</v>
      </c>
      <c r="O557" s="7">
        <f>INDEX(Products!$A$1:$G$49,MATCH(Orders!$G557,Products!$A$1:$A$49,0),MATCH(Orders!O$1,Products!$A$1:$G$1,0))</f>
        <v>13.75</v>
      </c>
      <c r="P557" s="7">
        <f t="shared" si="8"/>
        <v>82.5</v>
      </c>
      <c r="Q557" t="str" cm="1">
        <f t="array" ref="Q557">_xlfn.IFS(L557="Rob","Robusta",L557="Exc", "Excelsa",L557="Ara", "Arabica",L557="Lib", "Liberica")</f>
        <v>Excelsa</v>
      </c>
      <c r="R557" t="str" cm="1">
        <f t="array" ref="R557">_xlfn.IFS(M557="M","Medium",M557="L","Light",M557="D","Dark")</f>
        <v>Medium</v>
      </c>
    </row>
    <row r="558" spans="1:18">
      <c r="A558" s="2" t="s">
        <v>1138</v>
      </c>
      <c r="B558" s="3">
        <v>44523</v>
      </c>
      <c r="C558" s="9">
        <f>YEAR(Orders_Table[[#This Row],[Order Date]])</f>
        <v>2021</v>
      </c>
      <c r="D558" s="9">
        <f>MONTH(Orders_Table[[#This Row],[Order Date]])</f>
        <v>11</v>
      </c>
      <c r="E558" s="9" t="str" cm="1">
        <f t="array" ref="E5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58" s="2" t="s">
        <v>1139</v>
      </c>
      <c r="G558" t="s">
        <v>124</v>
      </c>
      <c r="H558" s="2">
        <v>2</v>
      </c>
      <c r="I558" s="2" t="str" cm="1">
        <f t="array" ref="I558">_xlfn.XLOOKUP(F558,Customers!A557:$A$1001,Customers!B557:$B$1001,"Not Found",0)</f>
        <v>Cissiee Raisbeck</v>
      </c>
      <c r="J558" s="2" t="str" cm="1">
        <f t="array" ref="J558">IF(_xlfn.XLOOKUP(F558,Customers!A557:$A$1001,Customers!C557:$C$1001,"Not Found",0)=0,"",_xlfn.XLOOKUP(F558,Customers!A557:$A$1001,Customers!C557:$C$1001,"Not Found",0))</f>
        <v>craisbeckfg@webnode.com</v>
      </c>
      <c r="K558" s="2" t="str" cm="1">
        <f t="array" ref="K558">_xlfn.XLOOKUP(F558,Customers!A557:$A$1001,Customers!G557:$G$1001,"Not Found",0)</f>
        <v>United States</v>
      </c>
      <c r="L558" t="str">
        <f>INDEX(Products!$A$1:$G$49,MATCH(Orders!$G558,Products!$A$1:$A$49,0),MATCH(Orders!L$1,Products!$A$1:$G$1,0))</f>
        <v>Lib</v>
      </c>
      <c r="M558" t="str">
        <f>INDEX(Products!$A$1:$G$49,MATCH(Orders!$G558,Products!$A$1:$A$49,0),MATCH(Orders!M$1,Products!$A$1:$G$1,0))</f>
        <v>M</v>
      </c>
      <c r="N558" s="4">
        <f>INDEX(Products!$A$1:$G$49,MATCH(Orders!$G558,Products!$A$1:$A$49,0),MATCH(Orders!N$1,Products!$A$1:$G$1,0))</f>
        <v>0.2</v>
      </c>
      <c r="O558" s="7">
        <f>INDEX(Products!$A$1:$G$49,MATCH(Orders!$G558,Products!$A$1:$A$49,0),MATCH(Orders!O$1,Products!$A$1:$G$1,0))</f>
        <v>4.3650000000000002</v>
      </c>
      <c r="P558" s="7">
        <f t="shared" si="8"/>
        <v>8.73</v>
      </c>
      <c r="Q558" t="str" cm="1">
        <f t="array" ref="Q558">_xlfn.IFS(L558="Rob","Robusta",L558="Exc", "Excelsa",L558="Ara", "Arabica",L558="Lib", "Liberica")</f>
        <v>Liberica</v>
      </c>
      <c r="R558" t="str" cm="1">
        <f t="array" ref="R558">_xlfn.IFS(M558="M","Medium",M558="L","Light",M558="D","Dark")</f>
        <v>Medium</v>
      </c>
    </row>
    <row r="559" spans="1:18">
      <c r="A559" s="2" t="s">
        <v>1140</v>
      </c>
      <c r="B559" s="3">
        <v>44506</v>
      </c>
      <c r="C559" s="9">
        <f>YEAR(Orders_Table[[#This Row],[Order Date]])</f>
        <v>2021</v>
      </c>
      <c r="D559" s="9">
        <f>MONTH(Orders_Table[[#This Row],[Order Date]])</f>
        <v>11</v>
      </c>
      <c r="E559" s="9" t="str" cm="1">
        <f t="array" ref="E5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59" s="2" t="s">
        <v>1035</v>
      </c>
      <c r="G559" t="s">
        <v>184</v>
      </c>
      <c r="H559" s="2">
        <v>4</v>
      </c>
      <c r="I559" s="2" t="str" cm="1">
        <f t="array" ref="I559">_xlfn.XLOOKUP(F559,Customers!A558:$A$1001,Customers!B558:$B$1001,"Not Found",0)</f>
        <v>Not Found</v>
      </c>
      <c r="J559" s="2" t="str" cm="1">
        <f t="array" ref="J559">IF(_xlfn.XLOOKUP(F559,Customers!A558:$A$1001,Customers!C558:$C$1001,"Not Found",0)=0,"",_xlfn.XLOOKUP(F559,Customers!A558:$A$1001,Customers!C558:$C$1001,"Not Found",0))</f>
        <v>Not Found</v>
      </c>
      <c r="K559" s="2" t="str" cm="1">
        <f t="array" ref="K559">_xlfn.XLOOKUP(F559,Customers!A558:$A$1001,Customers!G558:$G$1001,"Not Found",0)</f>
        <v>Not Found</v>
      </c>
      <c r="L559" t="str">
        <f>INDEX(Products!$A$1:$G$49,MATCH(Orders!$G559,Products!$A$1:$A$49,0),MATCH(Orders!L$1,Products!$A$1:$G$1,0))</f>
        <v>Exc</v>
      </c>
      <c r="M559" t="str">
        <f>INDEX(Products!$A$1:$G$49,MATCH(Orders!$G559,Products!$A$1:$A$49,0),MATCH(Orders!M$1,Products!$A$1:$G$1,0))</f>
        <v>L</v>
      </c>
      <c r="N559" s="4">
        <f>INDEX(Products!$A$1:$G$49,MATCH(Orders!$G559,Products!$A$1:$A$49,0),MATCH(Orders!N$1,Products!$A$1:$G$1,0))</f>
        <v>1</v>
      </c>
      <c r="O559" s="7">
        <f>INDEX(Products!$A$1:$G$49,MATCH(Orders!$G559,Products!$A$1:$A$49,0),MATCH(Orders!O$1,Products!$A$1:$G$1,0))</f>
        <v>14.85</v>
      </c>
      <c r="P559" s="7">
        <f t="shared" si="8"/>
        <v>59.4</v>
      </c>
      <c r="Q559" t="str" cm="1">
        <f t="array" ref="Q559">_xlfn.IFS(L559="Rob","Robusta",L559="Exc", "Excelsa",L559="Ara", "Arabica",L559="Lib", "Liberica")</f>
        <v>Excelsa</v>
      </c>
      <c r="R559" t="str" cm="1">
        <f t="array" ref="R559">_xlfn.IFS(M559="M","Medium",M559="L","Light",M559="D","Dark")</f>
        <v>Light</v>
      </c>
    </row>
    <row r="560" spans="1:18">
      <c r="A560" s="2" t="s">
        <v>1141</v>
      </c>
      <c r="B560" s="3">
        <v>44225</v>
      </c>
      <c r="C560" s="9">
        <f>YEAR(Orders_Table[[#This Row],[Order Date]])</f>
        <v>2021</v>
      </c>
      <c r="D560" s="9">
        <f>MONTH(Orders_Table[[#This Row],[Order Date]])</f>
        <v>1</v>
      </c>
      <c r="E560" s="9" t="str" cm="1">
        <f t="array" ref="E5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60" s="2" t="s">
        <v>1142</v>
      </c>
      <c r="G560" t="s">
        <v>85</v>
      </c>
      <c r="H560" s="2">
        <v>4</v>
      </c>
      <c r="I560" s="2" t="str" cm="1">
        <f t="array" ref="I560">_xlfn.XLOOKUP(F560,Customers!A559:$A$1001,Customers!B559:$B$1001,"Not Found",0)</f>
        <v>Kenton Wetherick</v>
      </c>
      <c r="J560" s="2" t="str" cm="1">
        <f t="array" ref="J560">IF(_xlfn.XLOOKUP(F560,Customers!A559:$A$1001,Customers!C559:$C$1001,"Not Found",0)=0,"",_xlfn.XLOOKUP(F560,Customers!A559:$A$1001,Customers!C559:$C$1001,"Not Found",0))</f>
        <v/>
      </c>
      <c r="K560" s="2" t="str" cm="1">
        <f t="array" ref="K560">_xlfn.XLOOKUP(F560,Customers!A559:$A$1001,Customers!G559:$G$1001,"Not Found",0)</f>
        <v>United States</v>
      </c>
      <c r="L560" t="str">
        <f>INDEX(Products!$A$1:$G$49,MATCH(Orders!$G560,Products!$A$1:$A$49,0),MATCH(Orders!L$1,Products!$A$1:$G$1,0))</f>
        <v>Lib</v>
      </c>
      <c r="M560" t="str">
        <f>INDEX(Products!$A$1:$G$49,MATCH(Orders!$G560,Products!$A$1:$A$49,0),MATCH(Orders!M$1,Products!$A$1:$G$1,0))</f>
        <v>D</v>
      </c>
      <c r="N560" s="4">
        <f>INDEX(Products!$A$1:$G$49,MATCH(Orders!$G560,Products!$A$1:$A$49,0),MATCH(Orders!N$1,Products!$A$1:$G$1,0))</f>
        <v>0.2</v>
      </c>
      <c r="O560" s="7">
        <f>INDEX(Products!$A$1:$G$49,MATCH(Orders!$G560,Products!$A$1:$A$49,0),MATCH(Orders!O$1,Products!$A$1:$G$1,0))</f>
        <v>3.8849999999999998</v>
      </c>
      <c r="P560" s="7">
        <f t="shared" si="8"/>
        <v>15.54</v>
      </c>
      <c r="Q560" t="str" cm="1">
        <f t="array" ref="Q560">_xlfn.IFS(L560="Rob","Robusta",L560="Exc", "Excelsa",L560="Ara", "Arabica",L560="Lib", "Liberica")</f>
        <v>Liberica</v>
      </c>
      <c r="R560" t="str" cm="1">
        <f t="array" ref="R560">_xlfn.IFS(M560="M","Medium",M560="L","Light",M560="D","Dark")</f>
        <v>Dark</v>
      </c>
    </row>
    <row r="561" spans="1:18">
      <c r="A561" s="2" t="s">
        <v>1143</v>
      </c>
      <c r="B561" s="3">
        <v>44667</v>
      </c>
      <c r="C561" s="9">
        <f>YEAR(Orders_Table[[#This Row],[Order Date]])</f>
        <v>2022</v>
      </c>
      <c r="D561" s="9">
        <f>MONTH(Orders_Table[[#This Row],[Order Date]])</f>
        <v>4</v>
      </c>
      <c r="E561" s="9" t="str" cm="1">
        <f t="array" ref="E5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61" s="2" t="s">
        <v>1144</v>
      </c>
      <c r="G561" t="s">
        <v>53</v>
      </c>
      <c r="H561" s="2">
        <v>3</v>
      </c>
      <c r="I561" s="2" t="str" cm="1">
        <f t="array" ref="I561">_xlfn.XLOOKUP(F561,Customers!A560:$A$1001,Customers!B560:$B$1001,"Not Found",0)</f>
        <v>Reamonn Aynold</v>
      </c>
      <c r="J561" s="2" t="str" cm="1">
        <f t="array" ref="J561">IF(_xlfn.XLOOKUP(F561,Customers!A560:$A$1001,Customers!C560:$C$1001,"Not Found",0)=0,"",_xlfn.XLOOKUP(F561,Customers!A560:$A$1001,Customers!C560:$C$1001,"Not Found",0))</f>
        <v>raynoldfj@ustream.tv</v>
      </c>
      <c r="K561" s="2" t="str" cm="1">
        <f t="array" ref="K561">_xlfn.XLOOKUP(F561,Customers!A560:$A$1001,Customers!G560:$G$1001,"Not Found",0)</f>
        <v>United States</v>
      </c>
      <c r="L561" t="str">
        <f>INDEX(Products!$A$1:$G$49,MATCH(Orders!$G561,Products!$A$1:$A$49,0),MATCH(Orders!L$1,Products!$A$1:$G$1,0))</f>
        <v>Ara</v>
      </c>
      <c r="M561" t="str">
        <f>INDEX(Products!$A$1:$G$49,MATCH(Orders!$G561,Products!$A$1:$A$49,0),MATCH(Orders!M$1,Products!$A$1:$G$1,0))</f>
        <v>L</v>
      </c>
      <c r="N561" s="4">
        <f>INDEX(Products!$A$1:$G$49,MATCH(Orders!$G561,Products!$A$1:$A$49,0),MATCH(Orders!N$1,Products!$A$1:$G$1,0))</f>
        <v>1</v>
      </c>
      <c r="O561" s="7">
        <f>INDEX(Products!$A$1:$G$49,MATCH(Orders!$G561,Products!$A$1:$A$49,0),MATCH(Orders!O$1,Products!$A$1:$G$1,0))</f>
        <v>12.95</v>
      </c>
      <c r="P561" s="7">
        <f t="shared" si="8"/>
        <v>38.849999999999994</v>
      </c>
      <c r="Q561" t="str" cm="1">
        <f t="array" ref="Q561">_xlfn.IFS(L561="Rob","Robusta",L561="Exc", "Excelsa",L561="Ara", "Arabica",L561="Lib", "Liberica")</f>
        <v>Arabica</v>
      </c>
      <c r="R561" t="str" cm="1">
        <f t="array" ref="R561">_xlfn.IFS(M561="M","Medium",M561="L","Light",M561="D","Dark")</f>
        <v>Light</v>
      </c>
    </row>
    <row r="562" spans="1:18">
      <c r="A562" s="2" t="s">
        <v>1145</v>
      </c>
      <c r="B562" s="3">
        <v>44401</v>
      </c>
      <c r="C562" s="9">
        <f>YEAR(Orders_Table[[#This Row],[Order Date]])</f>
        <v>2021</v>
      </c>
      <c r="D562" s="9">
        <f>MONTH(Orders_Table[[#This Row],[Order Date]])</f>
        <v>7</v>
      </c>
      <c r="E562" s="9" t="str" cm="1">
        <f t="array" ref="E5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62" s="2" t="s">
        <v>1146</v>
      </c>
      <c r="G562" t="s">
        <v>159</v>
      </c>
      <c r="H562" s="2">
        <v>6</v>
      </c>
      <c r="I562" s="2" t="str" cm="1">
        <f t="array" ref="I562">_xlfn.XLOOKUP(F562,Customers!A561:$A$1001,Customers!B561:$B$1001,"Not Found",0)</f>
        <v>Hatty Dovydenas</v>
      </c>
      <c r="J562" s="2" t="str" cm="1">
        <f t="array" ref="J562">IF(_xlfn.XLOOKUP(F562,Customers!A561:$A$1001,Customers!C561:$C$1001,"Not Found",0)=0,"",_xlfn.XLOOKUP(F562,Customers!A561:$A$1001,Customers!C561:$C$1001,"Not Found",0))</f>
        <v/>
      </c>
      <c r="K562" s="2" t="str" cm="1">
        <f t="array" ref="K562">_xlfn.XLOOKUP(F562,Customers!A561:$A$1001,Customers!G561:$G$1001,"Not Found",0)</f>
        <v>United States</v>
      </c>
      <c r="L562" t="str">
        <f>INDEX(Products!$A$1:$G$49,MATCH(Orders!$G562,Products!$A$1:$A$49,0),MATCH(Orders!L$1,Products!$A$1:$G$1,0))</f>
        <v>Exc</v>
      </c>
      <c r="M562" t="str">
        <f>INDEX(Products!$A$1:$G$49,MATCH(Orders!$G562,Products!$A$1:$A$49,0),MATCH(Orders!M$1,Products!$A$1:$G$1,0))</f>
        <v>M</v>
      </c>
      <c r="N562" s="4">
        <f>INDEX(Products!$A$1:$G$49,MATCH(Orders!$G562,Products!$A$1:$A$49,0),MATCH(Orders!N$1,Products!$A$1:$G$1,0))</f>
        <v>2.5</v>
      </c>
      <c r="O562" s="7">
        <f>INDEX(Products!$A$1:$G$49,MATCH(Orders!$G562,Products!$A$1:$A$49,0),MATCH(Orders!O$1,Products!$A$1:$G$1,0))</f>
        <v>31.624999999999996</v>
      </c>
      <c r="P562" s="7">
        <f t="shared" si="8"/>
        <v>189.74999999999997</v>
      </c>
      <c r="Q562" t="str" cm="1">
        <f t="array" ref="Q562">_xlfn.IFS(L562="Rob","Robusta",L562="Exc", "Excelsa",L562="Ara", "Arabica",L562="Lib", "Liberica")</f>
        <v>Excelsa</v>
      </c>
      <c r="R562" t="str" cm="1">
        <f t="array" ref="R562">_xlfn.IFS(M562="M","Medium",M562="L","Light",M562="D","Dark")</f>
        <v>Medium</v>
      </c>
    </row>
    <row r="563" spans="1:18">
      <c r="A563" s="2" t="s">
        <v>1147</v>
      </c>
      <c r="B563" s="3">
        <v>43688</v>
      </c>
      <c r="C563" s="9">
        <f>YEAR(Orders_Table[[#This Row],[Order Date]])</f>
        <v>2019</v>
      </c>
      <c r="D563" s="9">
        <f>MONTH(Orders_Table[[#This Row],[Order Date]])</f>
        <v>8</v>
      </c>
      <c r="E563" s="9" t="str" cm="1">
        <f t="array" ref="E5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563" s="2" t="s">
        <v>1148</v>
      </c>
      <c r="G563" t="s">
        <v>101</v>
      </c>
      <c r="H563" s="2">
        <v>6</v>
      </c>
      <c r="I563" s="2" t="str" cm="1">
        <f t="array" ref="I563">_xlfn.XLOOKUP(F563,Customers!A562:$A$1001,Customers!B562:$B$1001,"Not Found",0)</f>
        <v>Nathaniel Bloxland</v>
      </c>
      <c r="J563" s="2" t="str" cm="1">
        <f t="array" ref="J563">IF(_xlfn.XLOOKUP(F563,Customers!A562:$A$1001,Customers!C562:$C$1001,"Not Found",0)=0,"",_xlfn.XLOOKUP(F563,Customers!A562:$A$1001,Customers!C562:$C$1001,"Not Found",0))</f>
        <v/>
      </c>
      <c r="K563" s="2" t="str" cm="1">
        <f t="array" ref="K563">_xlfn.XLOOKUP(F563,Customers!A562:$A$1001,Customers!G562:$G$1001,"Not Found",0)</f>
        <v>Ireland</v>
      </c>
      <c r="L563" t="str">
        <f>INDEX(Products!$A$1:$G$49,MATCH(Orders!$G563,Products!$A$1:$A$49,0),MATCH(Orders!L$1,Products!$A$1:$G$1,0))</f>
        <v>Ara</v>
      </c>
      <c r="M563" t="str">
        <f>INDEX(Products!$A$1:$G$49,MATCH(Orders!$G563,Products!$A$1:$A$49,0),MATCH(Orders!M$1,Products!$A$1:$G$1,0))</f>
        <v>D</v>
      </c>
      <c r="N563" s="4">
        <f>INDEX(Products!$A$1:$G$49,MATCH(Orders!$G563,Products!$A$1:$A$49,0),MATCH(Orders!N$1,Products!$A$1:$G$1,0))</f>
        <v>0.2</v>
      </c>
      <c r="O563" s="7">
        <f>INDEX(Products!$A$1:$G$49,MATCH(Orders!$G563,Products!$A$1:$A$49,0),MATCH(Orders!O$1,Products!$A$1:$G$1,0))</f>
        <v>2.9849999999999999</v>
      </c>
      <c r="P563" s="7">
        <f t="shared" si="8"/>
        <v>17.91</v>
      </c>
      <c r="Q563" t="str" cm="1">
        <f t="array" ref="Q563">_xlfn.IFS(L563="Rob","Robusta",L563="Exc", "Excelsa",L563="Ara", "Arabica",L563="Lib", "Liberica")</f>
        <v>Arabica</v>
      </c>
      <c r="R563" t="str" cm="1">
        <f t="array" ref="R563">_xlfn.IFS(M563="M","Medium",M563="L","Light",M563="D","Dark")</f>
        <v>Dark</v>
      </c>
    </row>
    <row r="564" spans="1:18">
      <c r="A564" s="2" t="s">
        <v>1149</v>
      </c>
      <c r="B564" s="3">
        <v>43669</v>
      </c>
      <c r="C564" s="9">
        <f>YEAR(Orders_Table[[#This Row],[Order Date]])</f>
        <v>2019</v>
      </c>
      <c r="D564" s="9">
        <f>MONTH(Orders_Table[[#This Row],[Order Date]])</f>
        <v>7</v>
      </c>
      <c r="E564" s="9" t="str" cm="1">
        <f t="array" ref="E5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64" s="2" t="s">
        <v>1150</v>
      </c>
      <c r="G564" t="s">
        <v>66</v>
      </c>
      <c r="H564" s="2">
        <v>6</v>
      </c>
      <c r="I564" s="2" t="str" cm="1">
        <f t="array" ref="I564">_xlfn.XLOOKUP(F564,Customers!A563:$A$1001,Customers!B563:$B$1001,"Not Found",0)</f>
        <v>Brendan Grece</v>
      </c>
      <c r="J564" s="2" t="str" cm="1">
        <f t="array" ref="J564">IF(_xlfn.XLOOKUP(F564,Customers!A563:$A$1001,Customers!C563:$C$1001,"Not Found",0)=0,"",_xlfn.XLOOKUP(F564,Customers!A563:$A$1001,Customers!C563:$C$1001,"Not Found",0))</f>
        <v>bgrecefm@naver.com</v>
      </c>
      <c r="K564" s="2" t="str" cm="1">
        <f t="array" ref="K564">_xlfn.XLOOKUP(F564,Customers!A563:$A$1001,Customers!G563:$G$1001,"Not Found",0)</f>
        <v>United Kingdom</v>
      </c>
      <c r="L564" t="str">
        <f>INDEX(Products!$A$1:$G$49,MATCH(Orders!$G564,Products!$A$1:$A$49,0),MATCH(Orders!L$1,Products!$A$1:$G$1,0))</f>
        <v>Lib</v>
      </c>
      <c r="M564" t="str">
        <f>INDEX(Products!$A$1:$G$49,MATCH(Orders!$G564,Products!$A$1:$A$49,0),MATCH(Orders!M$1,Products!$A$1:$G$1,0))</f>
        <v>L</v>
      </c>
      <c r="N564" s="4">
        <f>INDEX(Products!$A$1:$G$49,MATCH(Orders!$G564,Products!$A$1:$A$49,0),MATCH(Orders!N$1,Products!$A$1:$G$1,0))</f>
        <v>0.2</v>
      </c>
      <c r="O564" s="7">
        <f>INDEX(Products!$A$1:$G$49,MATCH(Orders!$G564,Products!$A$1:$A$49,0),MATCH(Orders!O$1,Products!$A$1:$G$1,0))</f>
        <v>4.7549999999999999</v>
      </c>
      <c r="P564" s="7">
        <f t="shared" si="8"/>
        <v>28.53</v>
      </c>
      <c r="Q564" t="str" cm="1">
        <f t="array" ref="Q564">_xlfn.IFS(L564="Rob","Robusta",L564="Exc", "Excelsa",L564="Ara", "Arabica",L564="Lib", "Liberica")</f>
        <v>Liberica</v>
      </c>
      <c r="R564" t="str" cm="1">
        <f t="array" ref="R564">_xlfn.IFS(M564="M","Medium",M564="L","Light",M564="D","Dark")</f>
        <v>Light</v>
      </c>
    </row>
    <row r="565" spans="1:18">
      <c r="A565" s="2" t="s">
        <v>1151</v>
      </c>
      <c r="B565" s="3">
        <v>43991</v>
      </c>
      <c r="C565" s="9">
        <f>YEAR(Orders_Table[[#This Row],[Order Date]])</f>
        <v>2020</v>
      </c>
      <c r="D565" s="9">
        <f>MONTH(Orders_Table[[#This Row],[Order Date]])</f>
        <v>6</v>
      </c>
      <c r="E565" s="9" t="str" cm="1">
        <f t="array" ref="E5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65" s="2" t="s">
        <v>1152</v>
      </c>
      <c r="G565" t="s">
        <v>56</v>
      </c>
      <c r="H565" s="2">
        <v>6</v>
      </c>
      <c r="I565" s="2" t="str" cm="1">
        <f t="array" ref="I565">_xlfn.XLOOKUP(F565,Customers!A564:$A$1001,Customers!B564:$B$1001,"Not Found",0)</f>
        <v>Don Flintiff</v>
      </c>
      <c r="J565" s="2" t="str" cm="1">
        <f t="array" ref="J565">IF(_xlfn.XLOOKUP(F565,Customers!A564:$A$1001,Customers!C564:$C$1001,"Not Found",0)=0,"",_xlfn.XLOOKUP(F565,Customers!A564:$A$1001,Customers!C564:$C$1001,"Not Found",0))</f>
        <v>dflintiffg1@e-recht24.de</v>
      </c>
      <c r="K565" s="2" t="str" cm="1">
        <f t="array" ref="K565">_xlfn.XLOOKUP(F565,Customers!A564:$A$1001,Customers!G564:$G$1001,"Not Found",0)</f>
        <v>United Kingdom</v>
      </c>
      <c r="L565" t="str">
        <f>INDEX(Products!$A$1:$G$49,MATCH(Orders!$G565,Products!$A$1:$A$49,0),MATCH(Orders!L$1,Products!$A$1:$G$1,0))</f>
        <v>Exc</v>
      </c>
      <c r="M565" t="str">
        <f>INDEX(Products!$A$1:$G$49,MATCH(Orders!$G565,Products!$A$1:$A$49,0),MATCH(Orders!M$1,Products!$A$1:$G$1,0))</f>
        <v>M</v>
      </c>
      <c r="N565" s="4">
        <f>INDEX(Products!$A$1:$G$49,MATCH(Orders!$G565,Products!$A$1:$A$49,0),MATCH(Orders!N$1,Products!$A$1:$G$1,0))</f>
        <v>1</v>
      </c>
      <c r="O565" s="7">
        <f>INDEX(Products!$A$1:$G$49,MATCH(Orders!$G565,Products!$A$1:$A$49,0),MATCH(Orders!O$1,Products!$A$1:$G$1,0))</f>
        <v>13.75</v>
      </c>
      <c r="P565" s="7">
        <f t="shared" si="8"/>
        <v>82.5</v>
      </c>
      <c r="Q565" t="str" cm="1">
        <f t="array" ref="Q565">_xlfn.IFS(L565="Rob","Robusta",L565="Exc", "Excelsa",L565="Ara", "Arabica",L565="Lib", "Liberica")</f>
        <v>Excelsa</v>
      </c>
      <c r="R565" t="str" cm="1">
        <f t="array" ref="R565">_xlfn.IFS(M565="M","Medium",M565="L","Light",M565="D","Dark")</f>
        <v>Medium</v>
      </c>
    </row>
    <row r="566" spans="1:18">
      <c r="A566" s="2" t="s">
        <v>1153</v>
      </c>
      <c r="B566" s="3">
        <v>43883</v>
      </c>
      <c r="C566" s="9">
        <f>YEAR(Orders_Table[[#This Row],[Order Date]])</f>
        <v>2020</v>
      </c>
      <c r="D566" s="9">
        <f>MONTH(Orders_Table[[#This Row],[Order Date]])</f>
        <v>2</v>
      </c>
      <c r="E566" s="9" t="str" cm="1">
        <f t="array" ref="E5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66" s="2" t="s">
        <v>1154</v>
      </c>
      <c r="G566" t="s">
        <v>204</v>
      </c>
      <c r="H566" s="2">
        <v>2</v>
      </c>
      <c r="I566" s="2" t="str" cm="1">
        <f t="array" ref="I566">_xlfn.XLOOKUP(F566,Customers!A565:$A$1001,Customers!B565:$B$1001,"Not Found",0)</f>
        <v>Abbe Thys</v>
      </c>
      <c r="J566" s="2" t="str" cm="1">
        <f t="array" ref="J566">IF(_xlfn.XLOOKUP(F566,Customers!A565:$A$1001,Customers!C565:$C$1001,"Not Found",0)=0,"",_xlfn.XLOOKUP(F566,Customers!A565:$A$1001,Customers!C565:$C$1001,"Not Found",0))</f>
        <v>athysfo@cdc.gov</v>
      </c>
      <c r="K566" s="2" t="str" cm="1">
        <f t="array" ref="K566">_xlfn.XLOOKUP(F566,Customers!A565:$A$1001,Customers!G565:$G$1001,"Not Found",0)</f>
        <v>United States</v>
      </c>
      <c r="L566" t="str">
        <f>INDEX(Products!$A$1:$G$49,MATCH(Orders!$G566,Products!$A$1:$A$49,0),MATCH(Orders!L$1,Products!$A$1:$G$1,0))</f>
        <v>Rob</v>
      </c>
      <c r="M566" t="str">
        <f>INDEX(Products!$A$1:$G$49,MATCH(Orders!$G566,Products!$A$1:$A$49,0),MATCH(Orders!M$1,Products!$A$1:$G$1,0))</f>
        <v>L</v>
      </c>
      <c r="N566" s="4">
        <f>INDEX(Products!$A$1:$G$49,MATCH(Orders!$G566,Products!$A$1:$A$49,0),MATCH(Orders!N$1,Products!$A$1:$G$1,0))</f>
        <v>0.5</v>
      </c>
      <c r="O566" s="7">
        <f>INDEX(Products!$A$1:$G$49,MATCH(Orders!$G566,Products!$A$1:$A$49,0),MATCH(Orders!O$1,Products!$A$1:$G$1,0))</f>
        <v>7.169999999999999</v>
      </c>
      <c r="P566" s="7">
        <f t="shared" si="8"/>
        <v>14.339999999999998</v>
      </c>
      <c r="Q566" t="str" cm="1">
        <f t="array" ref="Q566">_xlfn.IFS(L566="Rob","Robusta",L566="Exc", "Excelsa",L566="Ara", "Arabica",L566="Lib", "Liberica")</f>
        <v>Robusta</v>
      </c>
      <c r="R566" t="str" cm="1">
        <f t="array" ref="R566">_xlfn.IFS(M566="M","Medium",M566="L","Light",M566="D","Dark")</f>
        <v>Light</v>
      </c>
    </row>
    <row r="567" spans="1:18">
      <c r="A567" s="2" t="s">
        <v>1155</v>
      </c>
      <c r="B567" s="3">
        <v>44031</v>
      </c>
      <c r="C567" s="9">
        <f>YEAR(Orders_Table[[#This Row],[Order Date]])</f>
        <v>2020</v>
      </c>
      <c r="D567" s="9">
        <f>MONTH(Orders_Table[[#This Row],[Order Date]])</f>
        <v>7</v>
      </c>
      <c r="E567" s="9" t="str" cm="1">
        <f t="array" ref="E5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67" s="2" t="s">
        <v>1156</v>
      </c>
      <c r="G567" t="s">
        <v>82</v>
      </c>
      <c r="H567" s="2">
        <v>4</v>
      </c>
      <c r="I567" s="2" t="str" cm="1">
        <f t="array" ref="I567">_xlfn.XLOOKUP(F567,Customers!A566:$A$1001,Customers!B566:$B$1001,"Not Found",0)</f>
        <v>Jackquelin Chugg</v>
      </c>
      <c r="J567" s="2" t="str" cm="1">
        <f t="array" ref="J567">IF(_xlfn.XLOOKUP(F567,Customers!A566:$A$1001,Customers!C566:$C$1001,"Not Found",0)=0,"",_xlfn.XLOOKUP(F567,Customers!A566:$A$1001,Customers!C566:$C$1001,"Not Found",0))</f>
        <v>jchuggfp@about.me</v>
      </c>
      <c r="K567" s="2" t="str" cm="1">
        <f t="array" ref="K567">_xlfn.XLOOKUP(F567,Customers!A566:$A$1001,Customers!G566:$G$1001,"Not Found",0)</f>
        <v>United States</v>
      </c>
      <c r="L567" t="str">
        <f>INDEX(Products!$A$1:$G$49,MATCH(Orders!$G567,Products!$A$1:$A$49,0),MATCH(Orders!L$1,Products!$A$1:$G$1,0))</f>
        <v>Rob</v>
      </c>
      <c r="M567" t="str">
        <f>INDEX(Products!$A$1:$G$49,MATCH(Orders!$G567,Products!$A$1:$A$49,0),MATCH(Orders!M$1,Products!$A$1:$G$1,0))</f>
        <v>D</v>
      </c>
      <c r="N567" s="4">
        <f>INDEX(Products!$A$1:$G$49,MATCH(Orders!$G567,Products!$A$1:$A$49,0),MATCH(Orders!N$1,Products!$A$1:$G$1,0))</f>
        <v>2.5</v>
      </c>
      <c r="O567" s="7">
        <f>INDEX(Products!$A$1:$G$49,MATCH(Orders!$G567,Products!$A$1:$A$49,0),MATCH(Orders!O$1,Products!$A$1:$G$1,0))</f>
        <v>20.584999999999997</v>
      </c>
      <c r="P567" s="7">
        <f t="shared" si="8"/>
        <v>82.339999999999989</v>
      </c>
      <c r="Q567" t="str" cm="1">
        <f t="array" ref="Q567">_xlfn.IFS(L567="Rob","Robusta",L567="Exc", "Excelsa",L567="Ara", "Arabica",L567="Lib", "Liberica")</f>
        <v>Robusta</v>
      </c>
      <c r="R567" t="str" cm="1">
        <f t="array" ref="R567">_xlfn.IFS(M567="M","Medium",M567="L","Light",M567="D","Dark")</f>
        <v>Dark</v>
      </c>
    </row>
    <row r="568" spans="1:18">
      <c r="A568" s="2" t="s">
        <v>1157</v>
      </c>
      <c r="B568" s="3">
        <v>44459</v>
      </c>
      <c r="C568" s="9">
        <f>YEAR(Orders_Table[[#This Row],[Order Date]])</f>
        <v>2021</v>
      </c>
      <c r="D568" s="9">
        <f>MONTH(Orders_Table[[#This Row],[Order Date]])</f>
        <v>9</v>
      </c>
      <c r="E568" s="9" t="str" cm="1">
        <f t="array" ref="E5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568" s="2" t="s">
        <v>1158</v>
      </c>
      <c r="G568" t="s">
        <v>91</v>
      </c>
      <c r="H568" s="2">
        <v>6</v>
      </c>
      <c r="I568" s="2" t="str" cm="1">
        <f t="array" ref="I568">_xlfn.XLOOKUP(F568,Customers!A567:$A$1001,Customers!B567:$B$1001,"Not Found",0)</f>
        <v>Audra Kelston</v>
      </c>
      <c r="J568" s="2" t="str" cm="1">
        <f t="array" ref="J568">IF(_xlfn.XLOOKUP(F568,Customers!A567:$A$1001,Customers!C567:$C$1001,"Not Found",0)=0,"",_xlfn.XLOOKUP(F568,Customers!A567:$A$1001,Customers!C567:$C$1001,"Not Found",0))</f>
        <v>akelstonfq@sakura.ne.jp</v>
      </c>
      <c r="K568" s="2" t="str" cm="1">
        <f t="array" ref="K568">_xlfn.XLOOKUP(F568,Customers!A567:$A$1001,Customers!G567:$G$1001,"Not Found",0)</f>
        <v>United States</v>
      </c>
      <c r="L568" t="str">
        <f>INDEX(Products!$A$1:$G$49,MATCH(Orders!$G568,Products!$A$1:$A$49,0),MATCH(Orders!L$1,Products!$A$1:$G$1,0))</f>
        <v>Ara</v>
      </c>
      <c r="M568" t="str">
        <f>INDEX(Products!$A$1:$G$49,MATCH(Orders!$G568,Products!$A$1:$A$49,0),MATCH(Orders!M$1,Products!$A$1:$G$1,0))</f>
        <v>M</v>
      </c>
      <c r="N568" s="4">
        <f>INDEX(Products!$A$1:$G$49,MATCH(Orders!$G568,Products!$A$1:$A$49,0),MATCH(Orders!N$1,Products!$A$1:$G$1,0))</f>
        <v>0.2</v>
      </c>
      <c r="O568" s="7">
        <f>INDEX(Products!$A$1:$G$49,MATCH(Orders!$G568,Products!$A$1:$A$49,0),MATCH(Orders!O$1,Products!$A$1:$G$1,0))</f>
        <v>3.375</v>
      </c>
      <c r="P568" s="7">
        <f t="shared" si="8"/>
        <v>20.25</v>
      </c>
      <c r="Q568" t="str" cm="1">
        <f t="array" ref="Q568">_xlfn.IFS(L568="Rob","Robusta",L568="Exc", "Excelsa",L568="Ara", "Arabica",L568="Lib", "Liberica")</f>
        <v>Arabica</v>
      </c>
      <c r="R568" t="str" cm="1">
        <f t="array" ref="R568">_xlfn.IFS(M568="M","Medium",M568="L","Light",M568="D","Dark")</f>
        <v>Medium</v>
      </c>
    </row>
    <row r="569" spans="1:18">
      <c r="A569" s="2" t="s">
        <v>1159</v>
      </c>
      <c r="B569" s="3">
        <v>44318</v>
      </c>
      <c r="C569" s="9">
        <f>YEAR(Orders_Table[[#This Row],[Order Date]])</f>
        <v>2021</v>
      </c>
      <c r="D569" s="9">
        <f>MONTH(Orders_Table[[#This Row],[Order Date]])</f>
        <v>5</v>
      </c>
      <c r="E569" s="9" t="str" cm="1">
        <f t="array" ref="E5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69" s="2" t="s">
        <v>1160</v>
      </c>
      <c r="G569" t="s">
        <v>57</v>
      </c>
      <c r="H569" s="2">
        <v>6</v>
      </c>
      <c r="I569" s="2" t="str" cm="1">
        <f t="array" ref="I569">_xlfn.XLOOKUP(F569,Customers!A568:$A$1001,Customers!B568:$B$1001,"Not Found",0)</f>
        <v>Elvina Angel</v>
      </c>
      <c r="J569" s="2" t="str" cm="1">
        <f t="array" ref="J569">IF(_xlfn.XLOOKUP(F569,Customers!A568:$A$1001,Customers!C568:$C$1001,"Not Found",0)=0,"",_xlfn.XLOOKUP(F569,Customers!A568:$A$1001,Customers!C568:$C$1001,"Not Found",0))</f>
        <v/>
      </c>
      <c r="K569" s="2" t="str" cm="1">
        <f t="array" ref="K569">_xlfn.XLOOKUP(F569,Customers!A568:$A$1001,Customers!G568:$G$1001,"Not Found",0)</f>
        <v>Ireland</v>
      </c>
      <c r="L569" t="str">
        <f>INDEX(Products!$A$1:$G$49,MATCH(Orders!$G569,Products!$A$1:$A$49,0),MATCH(Orders!L$1,Products!$A$1:$G$1,0))</f>
        <v>Rob</v>
      </c>
      <c r="M569" t="str">
        <f>INDEX(Products!$A$1:$G$49,MATCH(Orders!$G569,Products!$A$1:$A$49,0),MATCH(Orders!M$1,Products!$A$1:$G$1,0))</f>
        <v>L</v>
      </c>
      <c r="N569" s="4">
        <f>INDEX(Products!$A$1:$G$49,MATCH(Orders!$G569,Products!$A$1:$A$49,0),MATCH(Orders!N$1,Products!$A$1:$G$1,0))</f>
        <v>2.5</v>
      </c>
      <c r="O569" s="7">
        <f>INDEX(Products!$A$1:$G$49,MATCH(Orders!$G569,Products!$A$1:$A$49,0),MATCH(Orders!O$1,Products!$A$1:$G$1,0))</f>
        <v>27.484999999999996</v>
      </c>
      <c r="P569" s="7">
        <f t="shared" si="8"/>
        <v>164.90999999999997</v>
      </c>
      <c r="Q569" t="str" cm="1">
        <f t="array" ref="Q569">_xlfn.IFS(L569="Rob","Robusta",L569="Exc", "Excelsa",L569="Ara", "Arabica",L569="Lib", "Liberica")</f>
        <v>Robusta</v>
      </c>
      <c r="R569" t="str" cm="1">
        <f t="array" ref="R569">_xlfn.IFS(M569="M","Medium",M569="L","Light",M569="D","Dark")</f>
        <v>Light</v>
      </c>
    </row>
    <row r="570" spans="1:18">
      <c r="A570" s="2" t="s">
        <v>1161</v>
      </c>
      <c r="B570" s="3">
        <v>44526</v>
      </c>
      <c r="C570" s="9">
        <f>YEAR(Orders_Table[[#This Row],[Order Date]])</f>
        <v>2021</v>
      </c>
      <c r="D570" s="9">
        <f>MONTH(Orders_Table[[#This Row],[Order Date]])</f>
        <v>11</v>
      </c>
      <c r="E570" s="9" t="str" cm="1">
        <f t="array" ref="E5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70" s="2" t="s">
        <v>1162</v>
      </c>
      <c r="G570" t="s">
        <v>66</v>
      </c>
      <c r="H570" s="2">
        <v>4</v>
      </c>
      <c r="I570" s="2" t="str" cm="1">
        <f t="array" ref="I570">_xlfn.XLOOKUP(F570,Customers!A569:$A$1001,Customers!B569:$B$1001,"Not Found",0)</f>
        <v>Claiborne Mottram</v>
      </c>
      <c r="J570" s="2" t="str" cm="1">
        <f t="array" ref="J570">IF(_xlfn.XLOOKUP(F570,Customers!A569:$A$1001,Customers!C569:$C$1001,"Not Found",0)=0,"",_xlfn.XLOOKUP(F570,Customers!A569:$A$1001,Customers!C569:$C$1001,"Not Found",0))</f>
        <v>cmottramfs@harvard.edu</v>
      </c>
      <c r="K570" s="2" t="str" cm="1">
        <f t="array" ref="K570">_xlfn.XLOOKUP(F570,Customers!A569:$A$1001,Customers!G569:$G$1001,"Not Found",0)</f>
        <v>United States</v>
      </c>
      <c r="L570" t="str">
        <f>INDEX(Products!$A$1:$G$49,MATCH(Orders!$G570,Products!$A$1:$A$49,0),MATCH(Orders!L$1,Products!$A$1:$G$1,0))</f>
        <v>Lib</v>
      </c>
      <c r="M570" t="str">
        <f>INDEX(Products!$A$1:$G$49,MATCH(Orders!$G570,Products!$A$1:$A$49,0),MATCH(Orders!M$1,Products!$A$1:$G$1,0))</f>
        <v>L</v>
      </c>
      <c r="N570" s="4">
        <f>INDEX(Products!$A$1:$G$49,MATCH(Orders!$G570,Products!$A$1:$A$49,0),MATCH(Orders!N$1,Products!$A$1:$G$1,0))</f>
        <v>0.2</v>
      </c>
      <c r="O570" s="7">
        <f>INDEX(Products!$A$1:$G$49,MATCH(Orders!$G570,Products!$A$1:$A$49,0),MATCH(Orders!O$1,Products!$A$1:$G$1,0))</f>
        <v>4.7549999999999999</v>
      </c>
      <c r="P570" s="7">
        <f t="shared" si="8"/>
        <v>19.02</v>
      </c>
      <c r="Q570" t="str" cm="1">
        <f t="array" ref="Q570">_xlfn.IFS(L570="Rob","Robusta",L570="Exc", "Excelsa",L570="Ara", "Arabica",L570="Lib", "Liberica")</f>
        <v>Liberica</v>
      </c>
      <c r="R570" t="str" cm="1">
        <f t="array" ref="R570">_xlfn.IFS(M570="M","Medium",M570="L","Light",M570="D","Dark")</f>
        <v>Light</v>
      </c>
    </row>
    <row r="571" spans="1:18">
      <c r="A571" s="2" t="s">
        <v>1163</v>
      </c>
      <c r="B571" s="3">
        <v>43879</v>
      </c>
      <c r="C571" s="9">
        <f>YEAR(Orders_Table[[#This Row],[Order Date]])</f>
        <v>2020</v>
      </c>
      <c r="D571" s="9">
        <f>MONTH(Orders_Table[[#This Row],[Order Date]])</f>
        <v>2</v>
      </c>
      <c r="E571" s="9" t="str" cm="1">
        <f t="array" ref="E5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71" s="2" t="s">
        <v>1152</v>
      </c>
      <c r="G571" t="s">
        <v>165</v>
      </c>
      <c r="H571" s="2">
        <v>6</v>
      </c>
      <c r="I571" s="2" t="str" cm="1">
        <f t="array" ref="I571">_xlfn.XLOOKUP(F571,Customers!A570:$A$1001,Customers!B570:$B$1001,"Not Found",0)</f>
        <v>Don Flintiff</v>
      </c>
      <c r="J571" s="2" t="str" cm="1">
        <f t="array" ref="J571">IF(_xlfn.XLOOKUP(F571,Customers!A570:$A$1001,Customers!C570:$C$1001,"Not Found",0)=0,"",_xlfn.XLOOKUP(F571,Customers!A570:$A$1001,Customers!C570:$C$1001,"Not Found",0))</f>
        <v>dflintiffg1@e-recht24.de</v>
      </c>
      <c r="K571" s="2" t="str" cm="1">
        <f t="array" ref="K571">_xlfn.XLOOKUP(F571,Customers!A570:$A$1001,Customers!G570:$G$1001,"Not Found",0)</f>
        <v>United Kingdom</v>
      </c>
      <c r="L571" t="str">
        <f>INDEX(Products!$A$1:$G$49,MATCH(Orders!$G571,Products!$A$1:$A$49,0),MATCH(Orders!L$1,Products!$A$1:$G$1,0))</f>
        <v>Ara</v>
      </c>
      <c r="M571" t="str">
        <f>INDEX(Products!$A$1:$G$49,MATCH(Orders!$G571,Products!$A$1:$A$49,0),MATCH(Orders!M$1,Products!$A$1:$G$1,0))</f>
        <v>D</v>
      </c>
      <c r="N571" s="4">
        <f>INDEX(Products!$A$1:$G$49,MATCH(Orders!$G571,Products!$A$1:$A$49,0),MATCH(Orders!N$1,Products!$A$1:$G$1,0))</f>
        <v>2.5</v>
      </c>
      <c r="O571" s="7">
        <f>INDEX(Products!$A$1:$G$49,MATCH(Orders!$G571,Products!$A$1:$A$49,0),MATCH(Orders!O$1,Products!$A$1:$G$1,0))</f>
        <v>22.884999999999998</v>
      </c>
      <c r="P571" s="7">
        <f t="shared" si="8"/>
        <v>137.31</v>
      </c>
      <c r="Q571" t="str" cm="1">
        <f t="array" ref="Q571">_xlfn.IFS(L571="Rob","Robusta",L571="Exc", "Excelsa",L571="Ara", "Arabica",L571="Lib", "Liberica")</f>
        <v>Arabica</v>
      </c>
      <c r="R571" t="str" cm="1">
        <f t="array" ref="R571">_xlfn.IFS(M571="M","Medium",M571="L","Light",M571="D","Dark")</f>
        <v>Dark</v>
      </c>
    </row>
    <row r="572" spans="1:18">
      <c r="A572" s="2" t="s">
        <v>1164</v>
      </c>
      <c r="B572" s="3">
        <v>43928</v>
      </c>
      <c r="C572" s="9">
        <f>YEAR(Orders_Table[[#This Row],[Order Date]])</f>
        <v>2020</v>
      </c>
      <c r="D572" s="9">
        <f>MONTH(Orders_Table[[#This Row],[Order Date]])</f>
        <v>4</v>
      </c>
      <c r="E572" s="9" t="str" cm="1">
        <f t="array" ref="E5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72" s="2" t="s">
        <v>1165</v>
      </c>
      <c r="G572" t="s">
        <v>114</v>
      </c>
      <c r="H572" s="2">
        <v>4</v>
      </c>
      <c r="I572" s="2" t="str" cm="1">
        <f t="array" ref="I572">_xlfn.XLOOKUP(F572,Customers!A571:$A$1001,Customers!B571:$B$1001,"Not Found",0)</f>
        <v>Donalt Sangwin</v>
      </c>
      <c r="J572" s="2" t="str" cm="1">
        <f t="array" ref="J572">IF(_xlfn.XLOOKUP(F572,Customers!A571:$A$1001,Customers!C571:$C$1001,"Not Found",0)=0,"",_xlfn.XLOOKUP(F572,Customers!A571:$A$1001,Customers!C571:$C$1001,"Not Found",0))</f>
        <v>dsangwinfu@weebly.com</v>
      </c>
      <c r="K572" s="2" t="str" cm="1">
        <f t="array" ref="K572">_xlfn.XLOOKUP(F572,Customers!A571:$A$1001,Customers!G571:$G$1001,"Not Found",0)</f>
        <v>United States</v>
      </c>
      <c r="L572" t="str">
        <f>INDEX(Products!$A$1:$G$49,MATCH(Orders!$G572,Products!$A$1:$A$49,0),MATCH(Orders!L$1,Products!$A$1:$G$1,0))</f>
        <v>Ara</v>
      </c>
      <c r="M572" t="str">
        <f>INDEX(Products!$A$1:$G$49,MATCH(Orders!$G572,Products!$A$1:$A$49,0),MATCH(Orders!M$1,Products!$A$1:$G$1,0))</f>
        <v>M</v>
      </c>
      <c r="N572" s="4">
        <f>INDEX(Products!$A$1:$G$49,MATCH(Orders!$G572,Products!$A$1:$A$49,0),MATCH(Orders!N$1,Products!$A$1:$G$1,0))</f>
        <v>0.5</v>
      </c>
      <c r="O572" s="7">
        <f>INDEX(Products!$A$1:$G$49,MATCH(Orders!$G572,Products!$A$1:$A$49,0),MATCH(Orders!O$1,Products!$A$1:$G$1,0))</f>
        <v>6.75</v>
      </c>
      <c r="P572" s="7">
        <f t="shared" si="8"/>
        <v>27</v>
      </c>
      <c r="Q572" t="str" cm="1">
        <f t="array" ref="Q572">_xlfn.IFS(L572="Rob","Robusta",L572="Exc", "Excelsa",L572="Ara", "Arabica",L572="Lib", "Liberica")</f>
        <v>Arabica</v>
      </c>
      <c r="R572" t="str" cm="1">
        <f t="array" ref="R572">_xlfn.IFS(M572="M","Medium",M572="L","Light",M572="D","Dark")</f>
        <v>Medium</v>
      </c>
    </row>
    <row r="573" spans="1:18">
      <c r="A573" s="2" t="s">
        <v>1166</v>
      </c>
      <c r="B573" s="3">
        <v>44592</v>
      </c>
      <c r="C573" s="9">
        <f>YEAR(Orders_Table[[#This Row],[Order Date]])</f>
        <v>2022</v>
      </c>
      <c r="D573" s="9">
        <f>MONTH(Orders_Table[[#This Row],[Order Date]])</f>
        <v>1</v>
      </c>
      <c r="E573" s="9" t="str" cm="1">
        <f t="array" ref="E5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573" s="2" t="s">
        <v>1167</v>
      </c>
      <c r="G573" t="s">
        <v>223</v>
      </c>
      <c r="H573" s="2">
        <v>4</v>
      </c>
      <c r="I573" s="2" t="str" cm="1">
        <f t="array" ref="I573">_xlfn.XLOOKUP(F573,Customers!A572:$A$1001,Customers!B572:$B$1001,"Not Found",0)</f>
        <v>Elizabet Aizikowitz</v>
      </c>
      <c r="J573" s="2" t="str" cm="1">
        <f t="array" ref="J573">IF(_xlfn.XLOOKUP(F573,Customers!A572:$A$1001,Customers!C572:$C$1001,"Not Found",0)=0,"",_xlfn.XLOOKUP(F573,Customers!A572:$A$1001,Customers!C572:$C$1001,"Not Found",0))</f>
        <v>eaizikowitzfv@virginia.edu</v>
      </c>
      <c r="K573" s="2" t="str" cm="1">
        <f t="array" ref="K573">_xlfn.XLOOKUP(F573,Customers!A572:$A$1001,Customers!G572:$G$1001,"Not Found",0)</f>
        <v>United Kingdom</v>
      </c>
      <c r="L573" t="str">
        <f>INDEX(Products!$A$1:$G$49,MATCH(Orders!$G573,Products!$A$1:$A$49,0),MATCH(Orders!L$1,Products!$A$1:$G$1,0))</f>
        <v>Exc</v>
      </c>
      <c r="M573" t="str">
        <f>INDEX(Products!$A$1:$G$49,MATCH(Orders!$G573,Products!$A$1:$A$49,0),MATCH(Orders!M$1,Products!$A$1:$G$1,0))</f>
        <v>L</v>
      </c>
      <c r="N573" s="4">
        <f>INDEX(Products!$A$1:$G$49,MATCH(Orders!$G573,Products!$A$1:$A$49,0),MATCH(Orders!N$1,Products!$A$1:$G$1,0))</f>
        <v>0.5</v>
      </c>
      <c r="O573" s="7">
        <f>INDEX(Products!$A$1:$G$49,MATCH(Orders!$G573,Products!$A$1:$A$49,0),MATCH(Orders!O$1,Products!$A$1:$G$1,0))</f>
        <v>8.91</v>
      </c>
      <c r="P573" s="7">
        <f t="shared" si="8"/>
        <v>35.64</v>
      </c>
      <c r="Q573" t="str" cm="1">
        <f t="array" ref="Q573">_xlfn.IFS(L573="Rob","Robusta",L573="Exc", "Excelsa",L573="Ara", "Arabica",L573="Lib", "Liberica")</f>
        <v>Excelsa</v>
      </c>
      <c r="R573" t="str" cm="1">
        <f t="array" ref="R573">_xlfn.IFS(M573="M","Medium",M573="L","Light",M573="D","Dark")</f>
        <v>Light</v>
      </c>
    </row>
    <row r="574" spans="1:18">
      <c r="A574" s="2" t="s">
        <v>1168</v>
      </c>
      <c r="B574" s="3">
        <v>43515</v>
      </c>
      <c r="C574" s="9">
        <f>YEAR(Orders_Table[[#This Row],[Order Date]])</f>
        <v>2019</v>
      </c>
      <c r="D574" s="9">
        <f>MONTH(Orders_Table[[#This Row],[Order Date]])</f>
        <v>2</v>
      </c>
      <c r="E574" s="9" t="str" cm="1">
        <f t="array" ref="E5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74" s="2" t="s">
        <v>1169</v>
      </c>
      <c r="G574" t="s">
        <v>101</v>
      </c>
      <c r="H574" s="2">
        <v>2</v>
      </c>
      <c r="I574" s="2" t="str" cm="1">
        <f t="array" ref="I574">_xlfn.XLOOKUP(F574,Customers!A573:$A$1001,Customers!B573:$B$1001,"Not Found",0)</f>
        <v>Herbie Peppard</v>
      </c>
      <c r="J574" s="2" t="str" cm="1">
        <f t="array" ref="J574">IF(_xlfn.XLOOKUP(F574,Customers!A573:$A$1001,Customers!C573:$C$1001,"Not Found",0)=0,"",_xlfn.XLOOKUP(F574,Customers!A573:$A$1001,Customers!C573:$C$1001,"Not Found",0))</f>
        <v/>
      </c>
      <c r="K574" s="2" t="str" cm="1">
        <f t="array" ref="K574">_xlfn.XLOOKUP(F574,Customers!A573:$A$1001,Customers!G573:$G$1001,"Not Found",0)</f>
        <v>United States</v>
      </c>
      <c r="L574" t="str">
        <f>INDEX(Products!$A$1:$G$49,MATCH(Orders!$G574,Products!$A$1:$A$49,0),MATCH(Orders!L$1,Products!$A$1:$G$1,0))</f>
        <v>Ara</v>
      </c>
      <c r="M574" t="str">
        <f>INDEX(Products!$A$1:$G$49,MATCH(Orders!$G574,Products!$A$1:$A$49,0),MATCH(Orders!M$1,Products!$A$1:$G$1,0))</f>
        <v>D</v>
      </c>
      <c r="N574" s="4">
        <f>INDEX(Products!$A$1:$G$49,MATCH(Orders!$G574,Products!$A$1:$A$49,0),MATCH(Orders!N$1,Products!$A$1:$G$1,0))</f>
        <v>0.2</v>
      </c>
      <c r="O574" s="7">
        <f>INDEX(Products!$A$1:$G$49,MATCH(Orders!$G574,Products!$A$1:$A$49,0),MATCH(Orders!O$1,Products!$A$1:$G$1,0))</f>
        <v>2.9849999999999999</v>
      </c>
      <c r="P574" s="7">
        <f t="shared" si="8"/>
        <v>5.97</v>
      </c>
      <c r="Q574" t="str" cm="1">
        <f t="array" ref="Q574">_xlfn.IFS(L574="Rob","Robusta",L574="Exc", "Excelsa",L574="Ara", "Arabica",L574="Lib", "Liberica")</f>
        <v>Arabica</v>
      </c>
      <c r="R574" t="str" cm="1">
        <f t="array" ref="R574">_xlfn.IFS(M574="M","Medium",M574="L","Light",M574="D","Dark")</f>
        <v>Dark</v>
      </c>
    </row>
    <row r="575" spans="1:18">
      <c r="A575" s="2" t="s">
        <v>1170</v>
      </c>
      <c r="B575" s="3">
        <v>43781</v>
      </c>
      <c r="C575" s="9">
        <f>YEAR(Orders_Table[[#This Row],[Order Date]])</f>
        <v>2019</v>
      </c>
      <c r="D575" s="9">
        <f>MONTH(Orders_Table[[#This Row],[Order Date]])</f>
        <v>11</v>
      </c>
      <c r="E575" s="9" t="str" cm="1">
        <f t="array" ref="E5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75" s="2" t="s">
        <v>1171</v>
      </c>
      <c r="G575" t="s">
        <v>108</v>
      </c>
      <c r="H575" s="2">
        <v>6</v>
      </c>
      <c r="I575" s="2" t="str" cm="1">
        <f t="array" ref="I575">_xlfn.XLOOKUP(F575,Customers!A574:$A$1001,Customers!B574:$B$1001,"Not Found",0)</f>
        <v>Cornie Venour</v>
      </c>
      <c r="J575" s="2" t="str" cm="1">
        <f t="array" ref="J575">IF(_xlfn.XLOOKUP(F575,Customers!A574:$A$1001,Customers!C574:$C$1001,"Not Found",0)=0,"",_xlfn.XLOOKUP(F575,Customers!A574:$A$1001,Customers!C574:$C$1001,"Not Found",0))</f>
        <v>cvenourfx@ask.com</v>
      </c>
      <c r="K575" s="2" t="str" cm="1">
        <f t="array" ref="K575">_xlfn.XLOOKUP(F575,Customers!A574:$A$1001,Customers!G574:$G$1001,"Not Found",0)</f>
        <v>United States</v>
      </c>
      <c r="L575" t="str">
        <f>INDEX(Products!$A$1:$G$49,MATCH(Orders!$G575,Products!$A$1:$A$49,0),MATCH(Orders!L$1,Products!$A$1:$G$1,0))</f>
        <v>Ara</v>
      </c>
      <c r="M575" t="str">
        <f>INDEX(Products!$A$1:$G$49,MATCH(Orders!$G575,Products!$A$1:$A$49,0),MATCH(Orders!M$1,Products!$A$1:$G$1,0))</f>
        <v>M</v>
      </c>
      <c r="N575" s="4">
        <f>INDEX(Products!$A$1:$G$49,MATCH(Orders!$G575,Products!$A$1:$A$49,0),MATCH(Orders!N$1,Products!$A$1:$G$1,0))</f>
        <v>1</v>
      </c>
      <c r="O575" s="7">
        <f>INDEX(Products!$A$1:$G$49,MATCH(Orders!$G575,Products!$A$1:$A$49,0),MATCH(Orders!O$1,Products!$A$1:$G$1,0))</f>
        <v>11.25</v>
      </c>
      <c r="P575" s="7">
        <f t="shared" si="8"/>
        <v>67.5</v>
      </c>
      <c r="Q575" t="str" cm="1">
        <f t="array" ref="Q575">_xlfn.IFS(L575="Rob","Robusta",L575="Exc", "Excelsa",L575="Ara", "Arabica",L575="Lib", "Liberica")</f>
        <v>Arabica</v>
      </c>
      <c r="R575" t="str" cm="1">
        <f t="array" ref="R575">_xlfn.IFS(M575="M","Medium",M575="L","Light",M575="D","Dark")</f>
        <v>Medium</v>
      </c>
    </row>
    <row r="576" spans="1:18">
      <c r="A576" s="2" t="s">
        <v>1172</v>
      </c>
      <c r="B576" s="3">
        <v>44697</v>
      </c>
      <c r="C576" s="9">
        <f>YEAR(Orders_Table[[#This Row],[Order Date]])</f>
        <v>2022</v>
      </c>
      <c r="D576" s="9">
        <f>MONTH(Orders_Table[[#This Row],[Order Date]])</f>
        <v>5</v>
      </c>
      <c r="E576" s="9" t="str" cm="1">
        <f t="array" ref="E5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76" s="2" t="s">
        <v>1173</v>
      </c>
      <c r="G576" t="s">
        <v>229</v>
      </c>
      <c r="H576" s="2">
        <v>6</v>
      </c>
      <c r="I576" s="2" t="str" cm="1">
        <f t="array" ref="I576">_xlfn.XLOOKUP(F576,Customers!A575:$A$1001,Customers!B575:$B$1001,"Not Found",0)</f>
        <v>Maggy Harby</v>
      </c>
      <c r="J576" s="2" t="str" cm="1">
        <f t="array" ref="J576">IF(_xlfn.XLOOKUP(F576,Customers!A575:$A$1001,Customers!C575:$C$1001,"Not Found",0)=0,"",_xlfn.XLOOKUP(F576,Customers!A575:$A$1001,Customers!C575:$C$1001,"Not Found",0))</f>
        <v>mharbyfy@163.com</v>
      </c>
      <c r="K576" s="2" t="str" cm="1">
        <f t="array" ref="K576">_xlfn.XLOOKUP(F576,Customers!A575:$A$1001,Customers!G575:$G$1001,"Not Found",0)</f>
        <v>United States</v>
      </c>
      <c r="L576" t="str">
        <f>INDEX(Products!$A$1:$G$49,MATCH(Orders!$G576,Products!$A$1:$A$49,0),MATCH(Orders!L$1,Products!$A$1:$G$1,0))</f>
        <v>Rob</v>
      </c>
      <c r="M576" t="str">
        <f>INDEX(Products!$A$1:$G$49,MATCH(Orders!$G576,Products!$A$1:$A$49,0),MATCH(Orders!M$1,Products!$A$1:$G$1,0))</f>
        <v>L</v>
      </c>
      <c r="N576" s="4">
        <f>INDEX(Products!$A$1:$G$49,MATCH(Orders!$G576,Products!$A$1:$A$49,0),MATCH(Orders!N$1,Products!$A$1:$G$1,0))</f>
        <v>0.2</v>
      </c>
      <c r="O576" s="7">
        <f>INDEX(Products!$A$1:$G$49,MATCH(Orders!$G576,Products!$A$1:$A$49,0),MATCH(Orders!O$1,Products!$A$1:$G$1,0))</f>
        <v>3.5849999999999995</v>
      </c>
      <c r="P576" s="7">
        <f t="shared" si="8"/>
        <v>21.509999999999998</v>
      </c>
      <c r="Q576" t="str" cm="1">
        <f t="array" ref="Q576">_xlfn.IFS(L576="Rob","Robusta",L576="Exc", "Excelsa",L576="Ara", "Arabica",L576="Lib", "Liberica")</f>
        <v>Robusta</v>
      </c>
      <c r="R576" t="str" cm="1">
        <f t="array" ref="R576">_xlfn.IFS(M576="M","Medium",M576="L","Light",M576="D","Dark")</f>
        <v>Light</v>
      </c>
    </row>
    <row r="577" spans="1:18">
      <c r="A577" s="2" t="s">
        <v>1174</v>
      </c>
      <c r="B577" s="3">
        <v>44239</v>
      </c>
      <c r="C577" s="9">
        <f>YEAR(Orders_Table[[#This Row],[Order Date]])</f>
        <v>2021</v>
      </c>
      <c r="D577" s="9">
        <f>MONTH(Orders_Table[[#This Row],[Order Date]])</f>
        <v>2</v>
      </c>
      <c r="E577" s="9" t="str" cm="1">
        <f t="array" ref="E5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77" s="2" t="s">
        <v>1175</v>
      </c>
      <c r="G577" t="s">
        <v>244</v>
      </c>
      <c r="H577" s="2">
        <v>2</v>
      </c>
      <c r="I577" s="2" t="str" cm="1">
        <f t="array" ref="I577">_xlfn.XLOOKUP(F577,Customers!A576:$A$1001,Customers!B576:$B$1001,"Not Found",0)</f>
        <v>Reggie Thickpenny</v>
      </c>
      <c r="J577" s="2" t="str" cm="1">
        <f t="array" ref="J577">IF(_xlfn.XLOOKUP(F577,Customers!A576:$A$1001,Customers!C576:$C$1001,"Not Found",0)=0,"",_xlfn.XLOOKUP(F577,Customers!A576:$A$1001,Customers!C576:$C$1001,"Not Found",0))</f>
        <v>rthickpennyfz@cafepress.com</v>
      </c>
      <c r="K577" s="2" t="str" cm="1">
        <f t="array" ref="K577">_xlfn.XLOOKUP(F577,Customers!A576:$A$1001,Customers!G576:$G$1001,"Not Found",0)</f>
        <v>United States</v>
      </c>
      <c r="L577" t="str">
        <f>INDEX(Products!$A$1:$G$49,MATCH(Orders!$G577,Products!$A$1:$A$49,0),MATCH(Orders!L$1,Products!$A$1:$G$1,0))</f>
        <v>Lib</v>
      </c>
      <c r="M577" t="str">
        <f>INDEX(Products!$A$1:$G$49,MATCH(Orders!$G577,Products!$A$1:$A$49,0),MATCH(Orders!M$1,Products!$A$1:$G$1,0))</f>
        <v>M</v>
      </c>
      <c r="N577" s="4">
        <f>INDEX(Products!$A$1:$G$49,MATCH(Orders!$G577,Products!$A$1:$A$49,0),MATCH(Orders!N$1,Products!$A$1:$G$1,0))</f>
        <v>2.5</v>
      </c>
      <c r="O577" s="7">
        <f>INDEX(Products!$A$1:$G$49,MATCH(Orders!$G577,Products!$A$1:$A$49,0),MATCH(Orders!O$1,Products!$A$1:$G$1,0))</f>
        <v>33.464999999999996</v>
      </c>
      <c r="P577" s="7">
        <f t="shared" si="8"/>
        <v>66.929999999999993</v>
      </c>
      <c r="Q577" t="str" cm="1">
        <f t="array" ref="Q577">_xlfn.IFS(L577="Rob","Robusta",L577="Exc", "Excelsa",L577="Ara", "Arabica",L577="Lib", "Liberica")</f>
        <v>Liberica</v>
      </c>
      <c r="R577" t="str" cm="1">
        <f t="array" ref="R577">_xlfn.IFS(M577="M","Medium",M577="L","Light",M577="D","Dark")</f>
        <v>Medium</v>
      </c>
    </row>
    <row r="578" spans="1:18">
      <c r="A578" s="2" t="s">
        <v>1176</v>
      </c>
      <c r="B578" s="3">
        <v>44290</v>
      </c>
      <c r="C578" s="9">
        <f>YEAR(Orders_Table[[#This Row],[Order Date]])</f>
        <v>2021</v>
      </c>
      <c r="D578" s="9">
        <f>MONTH(Orders_Table[[#This Row],[Order Date]])</f>
        <v>4</v>
      </c>
      <c r="E578" s="9" t="str" cm="1">
        <f t="array" ref="E5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78" s="2" t="s">
        <v>1177</v>
      </c>
      <c r="G578" t="s">
        <v>101</v>
      </c>
      <c r="H578" s="2">
        <v>6</v>
      </c>
      <c r="I578" s="2" t="str" cm="1">
        <f t="array" ref="I578">_xlfn.XLOOKUP(F578,Customers!A577:$A$1001,Customers!B577:$B$1001,"Not Found",0)</f>
        <v>Phyllys Ormerod</v>
      </c>
      <c r="J578" s="2" t="str" cm="1">
        <f t="array" ref="J578">IF(_xlfn.XLOOKUP(F578,Customers!A577:$A$1001,Customers!C577:$C$1001,"Not Found",0)=0,"",_xlfn.XLOOKUP(F578,Customers!A577:$A$1001,Customers!C577:$C$1001,"Not Found",0))</f>
        <v>pormerodg0@redcross.org</v>
      </c>
      <c r="K578" s="2" t="str" cm="1">
        <f t="array" ref="K578">_xlfn.XLOOKUP(F578,Customers!A577:$A$1001,Customers!G577:$G$1001,"Not Found",0)</f>
        <v>United States</v>
      </c>
      <c r="L578" t="str">
        <f>INDEX(Products!$A$1:$G$49,MATCH(Orders!$G578,Products!$A$1:$A$49,0),MATCH(Orders!L$1,Products!$A$1:$G$1,0))</f>
        <v>Ara</v>
      </c>
      <c r="M578" t="str">
        <f>INDEX(Products!$A$1:$G$49,MATCH(Orders!$G578,Products!$A$1:$A$49,0),MATCH(Orders!M$1,Products!$A$1:$G$1,0))</f>
        <v>D</v>
      </c>
      <c r="N578" s="4">
        <f>INDEX(Products!$A$1:$G$49,MATCH(Orders!$G578,Products!$A$1:$A$49,0),MATCH(Orders!N$1,Products!$A$1:$G$1,0))</f>
        <v>0.2</v>
      </c>
      <c r="O578" s="7">
        <f>INDEX(Products!$A$1:$G$49,MATCH(Orders!$G578,Products!$A$1:$A$49,0),MATCH(Orders!O$1,Products!$A$1:$G$1,0))</f>
        <v>2.9849999999999999</v>
      </c>
      <c r="P578" s="7">
        <f t="shared" si="8"/>
        <v>17.91</v>
      </c>
      <c r="Q578" t="str" cm="1">
        <f t="array" ref="Q578">_xlfn.IFS(L578="Rob","Robusta",L578="Exc", "Excelsa",L578="Ara", "Arabica",L578="Lib", "Liberica")</f>
        <v>Arabica</v>
      </c>
      <c r="R578" t="str" cm="1">
        <f t="array" ref="R578">_xlfn.IFS(M578="M","Medium",M578="L","Light",M578="D","Dark")</f>
        <v>Dark</v>
      </c>
    </row>
    <row r="579" spans="1:18">
      <c r="A579" s="2" t="s">
        <v>1178</v>
      </c>
      <c r="B579" s="3">
        <v>44410</v>
      </c>
      <c r="C579" s="9">
        <f>YEAR(Orders_Table[[#This Row],[Order Date]])</f>
        <v>2021</v>
      </c>
      <c r="D579" s="9">
        <f>MONTH(Orders_Table[[#This Row],[Order Date]])</f>
        <v>8</v>
      </c>
      <c r="E579" s="9" t="str" cm="1">
        <f t="array" ref="E5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579" s="2" t="s">
        <v>1152</v>
      </c>
      <c r="G579" t="s">
        <v>143</v>
      </c>
      <c r="H579" s="2">
        <v>4</v>
      </c>
      <c r="I579" s="2" t="str" cm="1">
        <f t="array" ref="I579">_xlfn.XLOOKUP(F579,Customers!A578:$A$1001,Customers!B578:$B$1001,"Not Found",0)</f>
        <v>Don Flintiff</v>
      </c>
      <c r="J579" s="2" t="str" cm="1">
        <f t="array" ref="J579">IF(_xlfn.XLOOKUP(F579,Customers!A578:$A$1001,Customers!C578:$C$1001,"Not Found",0)=0,"",_xlfn.XLOOKUP(F579,Customers!A578:$A$1001,Customers!C578:$C$1001,"Not Found",0))</f>
        <v>dflintiffg1@e-recht24.de</v>
      </c>
      <c r="K579" s="2" t="str" cm="1">
        <f t="array" ref="K579">_xlfn.XLOOKUP(F579,Customers!A578:$A$1001,Customers!G578:$G$1001,"Not Found",0)</f>
        <v>United Kingdom</v>
      </c>
      <c r="L579" t="str">
        <f>INDEX(Products!$A$1:$G$49,MATCH(Orders!$G579,Products!$A$1:$A$49,0),MATCH(Orders!L$1,Products!$A$1:$G$1,0))</f>
        <v>Lib</v>
      </c>
      <c r="M579" t="str">
        <f>INDEX(Products!$A$1:$G$49,MATCH(Orders!$G579,Products!$A$1:$A$49,0),MATCH(Orders!M$1,Products!$A$1:$G$1,0))</f>
        <v>M</v>
      </c>
      <c r="N579" s="4">
        <f>INDEX(Products!$A$1:$G$49,MATCH(Orders!$G579,Products!$A$1:$A$49,0),MATCH(Orders!N$1,Products!$A$1:$G$1,0))</f>
        <v>1</v>
      </c>
      <c r="O579" s="7">
        <f>INDEX(Products!$A$1:$G$49,MATCH(Orders!$G579,Products!$A$1:$A$49,0),MATCH(Orders!O$1,Products!$A$1:$G$1,0))</f>
        <v>14.55</v>
      </c>
      <c r="P579" s="7">
        <f t="shared" ref="P579:P642" si="9">O579*H579</f>
        <v>58.2</v>
      </c>
      <c r="Q579" t="str" cm="1">
        <f t="array" ref="Q579">_xlfn.IFS(L579="Rob","Robusta",L579="Exc", "Excelsa",L579="Ara", "Arabica",L579="Lib", "Liberica")</f>
        <v>Liberica</v>
      </c>
      <c r="R579" t="str" cm="1">
        <f t="array" ref="R579">_xlfn.IFS(M579="M","Medium",M579="L","Light",M579="D","Dark")</f>
        <v>Medium</v>
      </c>
    </row>
    <row r="580" spans="1:18">
      <c r="A580" s="2" t="s">
        <v>1179</v>
      </c>
      <c r="B580" s="3">
        <v>44720</v>
      </c>
      <c r="C580" s="9">
        <f>YEAR(Orders_Table[[#This Row],[Order Date]])</f>
        <v>2022</v>
      </c>
      <c r="D580" s="9">
        <f>MONTH(Orders_Table[[#This Row],[Order Date]])</f>
        <v>6</v>
      </c>
      <c r="E580" s="9" t="str" cm="1">
        <f t="array" ref="E5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80" s="2" t="s">
        <v>1180</v>
      </c>
      <c r="G580" t="s">
        <v>301</v>
      </c>
      <c r="H580" s="2">
        <v>3</v>
      </c>
      <c r="I580" s="2" t="str" cm="1">
        <f t="array" ref="I580">_xlfn.XLOOKUP(F580,Customers!A579:$A$1001,Customers!B579:$B$1001,"Not Found",0)</f>
        <v>Tymon Zanetti</v>
      </c>
      <c r="J580" s="2" t="str" cm="1">
        <f t="array" ref="J580">IF(_xlfn.XLOOKUP(F580,Customers!A579:$A$1001,Customers!C579:$C$1001,"Not Found",0)=0,"",_xlfn.XLOOKUP(F580,Customers!A579:$A$1001,Customers!C579:$C$1001,"Not Found",0))</f>
        <v>tzanettig2@gravatar.com</v>
      </c>
      <c r="K580" s="2" t="str" cm="1">
        <f t="array" ref="K580">_xlfn.XLOOKUP(F580,Customers!A579:$A$1001,Customers!G579:$G$1001,"Not Found",0)</f>
        <v>Ireland</v>
      </c>
      <c r="L580" t="str">
        <f>INDEX(Products!$A$1:$G$49,MATCH(Orders!$G580,Products!$A$1:$A$49,0),MATCH(Orders!L$1,Products!$A$1:$G$1,0))</f>
        <v>Exc</v>
      </c>
      <c r="M580" t="str">
        <f>INDEX(Products!$A$1:$G$49,MATCH(Orders!$G580,Products!$A$1:$A$49,0),MATCH(Orders!M$1,Products!$A$1:$G$1,0))</f>
        <v>L</v>
      </c>
      <c r="N580" s="4">
        <f>INDEX(Products!$A$1:$G$49,MATCH(Orders!$G580,Products!$A$1:$A$49,0),MATCH(Orders!N$1,Products!$A$1:$G$1,0))</f>
        <v>0.2</v>
      </c>
      <c r="O580" s="7">
        <f>INDEX(Products!$A$1:$G$49,MATCH(Orders!$G580,Products!$A$1:$A$49,0),MATCH(Orders!O$1,Products!$A$1:$G$1,0))</f>
        <v>4.4550000000000001</v>
      </c>
      <c r="P580" s="7">
        <f t="shared" si="9"/>
        <v>13.365</v>
      </c>
      <c r="Q580" t="str" cm="1">
        <f t="array" ref="Q580">_xlfn.IFS(L580="Rob","Robusta",L580="Exc", "Excelsa",L580="Ara", "Arabica",L580="Lib", "Liberica")</f>
        <v>Excelsa</v>
      </c>
      <c r="R580" t="str" cm="1">
        <f t="array" ref="R580">_xlfn.IFS(M580="M","Medium",M580="L","Light",M580="D","Dark")</f>
        <v>Light</v>
      </c>
    </row>
    <row r="581" spans="1:18">
      <c r="A581" s="2" t="s">
        <v>1179</v>
      </c>
      <c r="B581" s="3">
        <v>44720</v>
      </c>
      <c r="C581" s="9">
        <f>YEAR(Orders_Table[[#This Row],[Order Date]])</f>
        <v>2022</v>
      </c>
      <c r="D581" s="9">
        <f>MONTH(Orders_Table[[#This Row],[Order Date]])</f>
        <v>6</v>
      </c>
      <c r="E581" s="9" t="str" cm="1">
        <f t="array" ref="E5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581" s="2" t="s">
        <v>1180</v>
      </c>
      <c r="G581" t="s">
        <v>114</v>
      </c>
      <c r="H581" s="2">
        <v>5</v>
      </c>
      <c r="I581" s="2" t="str" cm="1">
        <f t="array" ref="I581">_xlfn.XLOOKUP(F581,Customers!A580:$A$1001,Customers!B580:$B$1001,"Not Found",0)</f>
        <v>Tymon Zanetti</v>
      </c>
      <c r="J581" s="2" t="str" cm="1">
        <f t="array" ref="J581">IF(_xlfn.XLOOKUP(F581,Customers!A580:$A$1001,Customers!C580:$C$1001,"Not Found",0)=0,"",_xlfn.XLOOKUP(F581,Customers!A580:$A$1001,Customers!C580:$C$1001,"Not Found",0))</f>
        <v>tzanettig2@gravatar.com</v>
      </c>
      <c r="K581" s="2" t="str" cm="1">
        <f t="array" ref="K581">_xlfn.XLOOKUP(F581,Customers!A580:$A$1001,Customers!G580:$G$1001,"Not Found",0)</f>
        <v>Ireland</v>
      </c>
      <c r="L581" t="str">
        <f>INDEX(Products!$A$1:$G$49,MATCH(Orders!$G581,Products!$A$1:$A$49,0),MATCH(Orders!L$1,Products!$A$1:$G$1,0))</f>
        <v>Ara</v>
      </c>
      <c r="M581" t="str">
        <f>INDEX(Products!$A$1:$G$49,MATCH(Orders!$G581,Products!$A$1:$A$49,0),MATCH(Orders!M$1,Products!$A$1:$G$1,0))</f>
        <v>M</v>
      </c>
      <c r="N581" s="4">
        <f>INDEX(Products!$A$1:$G$49,MATCH(Orders!$G581,Products!$A$1:$A$49,0),MATCH(Orders!N$1,Products!$A$1:$G$1,0))</f>
        <v>0.5</v>
      </c>
      <c r="O581" s="7">
        <f>INDEX(Products!$A$1:$G$49,MATCH(Orders!$G581,Products!$A$1:$A$49,0),MATCH(Orders!O$1,Products!$A$1:$G$1,0))</f>
        <v>6.75</v>
      </c>
      <c r="P581" s="7">
        <f t="shared" si="9"/>
        <v>33.75</v>
      </c>
      <c r="Q581" t="str" cm="1">
        <f t="array" ref="Q581">_xlfn.IFS(L581="Rob","Robusta",L581="Exc", "Excelsa",L581="Ara", "Arabica",L581="Lib", "Liberica")</f>
        <v>Arabica</v>
      </c>
      <c r="R581" t="str" cm="1">
        <f t="array" ref="R581">_xlfn.IFS(M581="M","Medium",M581="L","Light",M581="D","Dark")</f>
        <v>Medium</v>
      </c>
    </row>
    <row r="582" spans="1:18">
      <c r="A582" s="2" t="s">
        <v>1181</v>
      </c>
      <c r="B582" s="3">
        <v>43965</v>
      </c>
      <c r="C582" s="9">
        <f>YEAR(Orders_Table[[#This Row],[Order Date]])</f>
        <v>2020</v>
      </c>
      <c r="D582" s="9">
        <f>MONTH(Orders_Table[[#This Row],[Order Date]])</f>
        <v>5</v>
      </c>
      <c r="E582" s="9" t="str" cm="1">
        <f t="array" ref="E5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82" s="2" t="s">
        <v>1182</v>
      </c>
      <c r="G582" t="s">
        <v>184</v>
      </c>
      <c r="H582" s="2">
        <v>3</v>
      </c>
      <c r="I582" s="2" t="str" cm="1">
        <f t="array" ref="I582">_xlfn.XLOOKUP(F582,Customers!A581:$A$1001,Customers!B581:$B$1001,"Not Found",0)</f>
        <v>Reinaldos Kirtley</v>
      </c>
      <c r="J582" s="2" t="str" cm="1">
        <f t="array" ref="J582">IF(_xlfn.XLOOKUP(F582,Customers!A581:$A$1001,Customers!C581:$C$1001,"Not Found",0)=0,"",_xlfn.XLOOKUP(F582,Customers!A581:$A$1001,Customers!C581:$C$1001,"Not Found",0))</f>
        <v>rkirtleyg4@hatena.ne.jp</v>
      </c>
      <c r="K582" s="2" t="str" cm="1">
        <f t="array" ref="K582">_xlfn.XLOOKUP(F582,Customers!A581:$A$1001,Customers!G581:$G$1001,"Not Found",0)</f>
        <v>United States</v>
      </c>
      <c r="L582" t="str">
        <f>INDEX(Products!$A$1:$G$49,MATCH(Orders!$G582,Products!$A$1:$A$49,0),MATCH(Orders!L$1,Products!$A$1:$G$1,0))</f>
        <v>Exc</v>
      </c>
      <c r="M582" t="str">
        <f>INDEX(Products!$A$1:$G$49,MATCH(Orders!$G582,Products!$A$1:$A$49,0),MATCH(Orders!M$1,Products!$A$1:$G$1,0))</f>
        <v>L</v>
      </c>
      <c r="N582" s="4">
        <f>INDEX(Products!$A$1:$G$49,MATCH(Orders!$G582,Products!$A$1:$A$49,0),MATCH(Orders!N$1,Products!$A$1:$G$1,0))</f>
        <v>1</v>
      </c>
      <c r="O582" s="7">
        <f>INDEX(Products!$A$1:$G$49,MATCH(Orders!$G582,Products!$A$1:$A$49,0),MATCH(Orders!O$1,Products!$A$1:$G$1,0))</f>
        <v>14.85</v>
      </c>
      <c r="P582" s="7">
        <f t="shared" si="9"/>
        <v>44.55</v>
      </c>
      <c r="Q582" t="str" cm="1">
        <f t="array" ref="Q582">_xlfn.IFS(L582="Rob","Robusta",L582="Exc", "Excelsa",L582="Ara", "Arabica",L582="Lib", "Liberica")</f>
        <v>Excelsa</v>
      </c>
      <c r="R582" t="str" cm="1">
        <f t="array" ref="R582">_xlfn.IFS(M582="M","Medium",M582="L","Light",M582="D","Dark")</f>
        <v>Light</v>
      </c>
    </row>
    <row r="583" spans="1:18">
      <c r="A583" s="2" t="s">
        <v>1183</v>
      </c>
      <c r="B583" s="3">
        <v>44190</v>
      </c>
      <c r="C583" s="9">
        <f>YEAR(Orders_Table[[#This Row],[Order Date]])</f>
        <v>2020</v>
      </c>
      <c r="D583" s="9">
        <f>MONTH(Orders_Table[[#This Row],[Order Date]])</f>
        <v>12</v>
      </c>
      <c r="E583" s="9" t="str" cm="1">
        <f t="array" ref="E5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83" s="2" t="s">
        <v>1184</v>
      </c>
      <c r="G583" t="s">
        <v>223</v>
      </c>
      <c r="H583" s="2">
        <v>5</v>
      </c>
      <c r="I583" s="2" t="str" cm="1">
        <f t="array" ref="I583">_xlfn.XLOOKUP(F583,Customers!A582:$A$1001,Customers!B582:$B$1001,"Not Found",0)</f>
        <v>Carney Clemencet</v>
      </c>
      <c r="J583" s="2" t="str" cm="1">
        <f t="array" ref="J583">IF(_xlfn.XLOOKUP(F583,Customers!A582:$A$1001,Customers!C582:$C$1001,"Not Found",0)=0,"",_xlfn.XLOOKUP(F583,Customers!A582:$A$1001,Customers!C582:$C$1001,"Not Found",0))</f>
        <v>cclemencetg5@weather.com</v>
      </c>
      <c r="K583" s="2" t="str" cm="1">
        <f t="array" ref="K583">_xlfn.XLOOKUP(F583,Customers!A582:$A$1001,Customers!G582:$G$1001,"Not Found",0)</f>
        <v>United Kingdom</v>
      </c>
      <c r="L583" t="str">
        <f>INDEX(Products!$A$1:$G$49,MATCH(Orders!$G583,Products!$A$1:$A$49,0),MATCH(Orders!L$1,Products!$A$1:$G$1,0))</f>
        <v>Exc</v>
      </c>
      <c r="M583" t="str">
        <f>INDEX(Products!$A$1:$G$49,MATCH(Orders!$G583,Products!$A$1:$A$49,0),MATCH(Orders!M$1,Products!$A$1:$G$1,0))</f>
        <v>L</v>
      </c>
      <c r="N583" s="4">
        <f>INDEX(Products!$A$1:$G$49,MATCH(Orders!$G583,Products!$A$1:$A$49,0),MATCH(Orders!N$1,Products!$A$1:$G$1,0))</f>
        <v>0.5</v>
      </c>
      <c r="O583" s="7">
        <f>INDEX(Products!$A$1:$G$49,MATCH(Orders!$G583,Products!$A$1:$A$49,0),MATCH(Orders!O$1,Products!$A$1:$G$1,0))</f>
        <v>8.91</v>
      </c>
      <c r="P583" s="7">
        <f t="shared" si="9"/>
        <v>44.55</v>
      </c>
      <c r="Q583" t="str" cm="1">
        <f t="array" ref="Q583">_xlfn.IFS(L583="Rob","Robusta",L583="Exc", "Excelsa",L583="Ara", "Arabica",L583="Lib", "Liberica")</f>
        <v>Excelsa</v>
      </c>
      <c r="R583" t="str" cm="1">
        <f t="array" ref="R583">_xlfn.IFS(M583="M","Medium",M583="L","Light",M583="D","Dark")</f>
        <v>Light</v>
      </c>
    </row>
    <row r="584" spans="1:18">
      <c r="A584" s="2" t="s">
        <v>1185</v>
      </c>
      <c r="B584" s="3">
        <v>44382</v>
      </c>
      <c r="C584" s="9">
        <f>YEAR(Orders_Table[[#This Row],[Order Date]])</f>
        <v>2021</v>
      </c>
      <c r="D584" s="9">
        <f>MONTH(Orders_Table[[#This Row],[Order Date]])</f>
        <v>7</v>
      </c>
      <c r="E584" s="9" t="str" cm="1">
        <f t="array" ref="E5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84" s="2" t="s">
        <v>1186</v>
      </c>
      <c r="G584" t="s">
        <v>292</v>
      </c>
      <c r="H584" s="2">
        <v>5</v>
      </c>
      <c r="I584" s="2" t="str" cm="1">
        <f t="array" ref="I584">_xlfn.XLOOKUP(F584,Customers!A583:$A$1001,Customers!B583:$B$1001,"Not Found",0)</f>
        <v>Russell Donet</v>
      </c>
      <c r="J584" s="2" t="str" cm="1">
        <f t="array" ref="J584">IF(_xlfn.XLOOKUP(F584,Customers!A583:$A$1001,Customers!C583:$C$1001,"Not Found",0)=0,"",_xlfn.XLOOKUP(F584,Customers!A583:$A$1001,Customers!C583:$C$1001,"Not Found",0))</f>
        <v>rdonetg6@oakley.com</v>
      </c>
      <c r="K584" s="2" t="str" cm="1">
        <f t="array" ref="K584">_xlfn.XLOOKUP(F584,Customers!A583:$A$1001,Customers!G583:$G$1001,"Not Found",0)</f>
        <v>United States</v>
      </c>
      <c r="L584" t="str">
        <f>INDEX(Products!$A$1:$G$49,MATCH(Orders!$G584,Products!$A$1:$A$49,0),MATCH(Orders!L$1,Products!$A$1:$G$1,0))</f>
        <v>Exc</v>
      </c>
      <c r="M584" t="str">
        <f>INDEX(Products!$A$1:$G$49,MATCH(Orders!$G584,Products!$A$1:$A$49,0),MATCH(Orders!M$1,Products!$A$1:$G$1,0))</f>
        <v>D</v>
      </c>
      <c r="N584" s="4">
        <f>INDEX(Products!$A$1:$G$49,MATCH(Orders!$G584,Products!$A$1:$A$49,0),MATCH(Orders!N$1,Products!$A$1:$G$1,0))</f>
        <v>1</v>
      </c>
      <c r="O584" s="7">
        <f>INDEX(Products!$A$1:$G$49,MATCH(Orders!$G584,Products!$A$1:$A$49,0),MATCH(Orders!O$1,Products!$A$1:$G$1,0))</f>
        <v>12.15</v>
      </c>
      <c r="P584" s="7">
        <f t="shared" si="9"/>
        <v>60.75</v>
      </c>
      <c r="Q584" t="str" cm="1">
        <f t="array" ref="Q584">_xlfn.IFS(L584="Rob","Robusta",L584="Exc", "Excelsa",L584="Ara", "Arabica",L584="Lib", "Liberica")</f>
        <v>Excelsa</v>
      </c>
      <c r="R584" t="str" cm="1">
        <f t="array" ref="R584">_xlfn.IFS(M584="M","Medium",M584="L","Light",M584="D","Dark")</f>
        <v>Dark</v>
      </c>
    </row>
    <row r="585" spans="1:18">
      <c r="A585" s="2" t="s">
        <v>1187</v>
      </c>
      <c r="B585" s="3">
        <v>43538</v>
      </c>
      <c r="C585" s="9">
        <f>YEAR(Orders_Table[[#This Row],[Order Date]])</f>
        <v>2019</v>
      </c>
      <c r="D585" s="9">
        <f>MONTH(Orders_Table[[#This Row],[Order Date]])</f>
        <v>3</v>
      </c>
      <c r="E585" s="9" t="str" cm="1">
        <f t="array" ref="E5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85" s="2" t="s">
        <v>1188</v>
      </c>
      <c r="G585" t="s">
        <v>229</v>
      </c>
      <c r="H585" s="2">
        <v>1</v>
      </c>
      <c r="I585" s="2" t="str" cm="1">
        <f t="array" ref="I585">_xlfn.XLOOKUP(F585,Customers!A584:$A$1001,Customers!B584:$B$1001,"Not Found",0)</f>
        <v>Sidney Gawen</v>
      </c>
      <c r="J585" s="2" t="str" cm="1">
        <f t="array" ref="J585">IF(_xlfn.XLOOKUP(F585,Customers!A584:$A$1001,Customers!C584:$C$1001,"Not Found",0)=0,"",_xlfn.XLOOKUP(F585,Customers!A584:$A$1001,Customers!C584:$C$1001,"Not Found",0))</f>
        <v>sgaweng7@creativecommons.org</v>
      </c>
      <c r="K585" s="2" t="str" cm="1">
        <f t="array" ref="K585">_xlfn.XLOOKUP(F585,Customers!A584:$A$1001,Customers!G584:$G$1001,"Not Found",0)</f>
        <v>United States</v>
      </c>
      <c r="L585" t="str">
        <f>INDEX(Products!$A$1:$G$49,MATCH(Orders!$G585,Products!$A$1:$A$49,0),MATCH(Orders!L$1,Products!$A$1:$G$1,0))</f>
        <v>Rob</v>
      </c>
      <c r="M585" t="str">
        <f>INDEX(Products!$A$1:$G$49,MATCH(Orders!$G585,Products!$A$1:$A$49,0),MATCH(Orders!M$1,Products!$A$1:$G$1,0))</f>
        <v>L</v>
      </c>
      <c r="N585" s="4">
        <f>INDEX(Products!$A$1:$G$49,MATCH(Orders!$G585,Products!$A$1:$A$49,0),MATCH(Orders!N$1,Products!$A$1:$G$1,0))</f>
        <v>0.2</v>
      </c>
      <c r="O585" s="7">
        <f>INDEX(Products!$A$1:$G$49,MATCH(Orders!$G585,Products!$A$1:$A$49,0),MATCH(Orders!O$1,Products!$A$1:$G$1,0))</f>
        <v>3.5849999999999995</v>
      </c>
      <c r="P585" s="7">
        <f t="shared" si="9"/>
        <v>3.5849999999999995</v>
      </c>
      <c r="Q585" t="str" cm="1">
        <f t="array" ref="Q585">_xlfn.IFS(L585="Rob","Robusta",L585="Exc", "Excelsa",L585="Ara", "Arabica",L585="Lib", "Liberica")</f>
        <v>Robusta</v>
      </c>
      <c r="R585" t="str" cm="1">
        <f t="array" ref="R585">_xlfn.IFS(M585="M","Medium",M585="L","Light",M585="D","Dark")</f>
        <v>Light</v>
      </c>
    </row>
    <row r="586" spans="1:18">
      <c r="A586" s="2" t="s">
        <v>1189</v>
      </c>
      <c r="B586" s="3">
        <v>44262</v>
      </c>
      <c r="C586" s="9">
        <f>YEAR(Orders_Table[[#This Row],[Order Date]])</f>
        <v>2021</v>
      </c>
      <c r="D586" s="9">
        <f>MONTH(Orders_Table[[#This Row],[Order Date]])</f>
        <v>3</v>
      </c>
      <c r="E586" s="9" t="str" cm="1">
        <f t="array" ref="E5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86" s="2" t="s">
        <v>1190</v>
      </c>
      <c r="G586" t="s">
        <v>229</v>
      </c>
      <c r="H586" s="2">
        <v>6</v>
      </c>
      <c r="I586" s="2" t="str" cm="1">
        <f t="array" ref="I586">_xlfn.XLOOKUP(F586,Customers!A585:$A$1001,Customers!B585:$B$1001,"Not Found",0)</f>
        <v>Rickey Readie</v>
      </c>
      <c r="J586" s="2" t="str" cm="1">
        <f t="array" ref="J586">IF(_xlfn.XLOOKUP(F586,Customers!A585:$A$1001,Customers!C585:$C$1001,"Not Found",0)=0,"",_xlfn.XLOOKUP(F586,Customers!A585:$A$1001,Customers!C585:$C$1001,"Not Found",0))</f>
        <v>rreadieg8@guardian.co.uk</v>
      </c>
      <c r="K586" s="2" t="str" cm="1">
        <f t="array" ref="K586">_xlfn.XLOOKUP(F586,Customers!A585:$A$1001,Customers!G585:$G$1001,"Not Found",0)</f>
        <v>United States</v>
      </c>
      <c r="L586" t="str">
        <f>INDEX(Products!$A$1:$G$49,MATCH(Orders!$G586,Products!$A$1:$A$49,0),MATCH(Orders!L$1,Products!$A$1:$G$1,0))</f>
        <v>Rob</v>
      </c>
      <c r="M586" t="str">
        <f>INDEX(Products!$A$1:$G$49,MATCH(Orders!$G586,Products!$A$1:$A$49,0),MATCH(Orders!M$1,Products!$A$1:$G$1,0))</f>
        <v>L</v>
      </c>
      <c r="N586" s="4">
        <f>INDEX(Products!$A$1:$G$49,MATCH(Orders!$G586,Products!$A$1:$A$49,0),MATCH(Orders!N$1,Products!$A$1:$G$1,0))</f>
        <v>0.2</v>
      </c>
      <c r="O586" s="7">
        <f>INDEX(Products!$A$1:$G$49,MATCH(Orders!$G586,Products!$A$1:$A$49,0),MATCH(Orders!O$1,Products!$A$1:$G$1,0))</f>
        <v>3.5849999999999995</v>
      </c>
      <c r="P586" s="7">
        <f t="shared" si="9"/>
        <v>21.509999999999998</v>
      </c>
      <c r="Q586" t="str" cm="1">
        <f t="array" ref="Q586">_xlfn.IFS(L586="Rob","Robusta",L586="Exc", "Excelsa",L586="Ara", "Arabica",L586="Lib", "Liberica")</f>
        <v>Robusta</v>
      </c>
      <c r="R586" t="str" cm="1">
        <f t="array" ref="R586">_xlfn.IFS(M586="M","Medium",M586="L","Light",M586="D","Dark")</f>
        <v>Light</v>
      </c>
    </row>
    <row r="587" spans="1:18">
      <c r="A587" s="2" t="s">
        <v>1191</v>
      </c>
      <c r="B587" s="3">
        <v>44505</v>
      </c>
      <c r="C587" s="9">
        <f>YEAR(Orders_Table[[#This Row],[Order Date]])</f>
        <v>2021</v>
      </c>
      <c r="D587" s="9">
        <f>MONTH(Orders_Table[[#This Row],[Order Date]])</f>
        <v>11</v>
      </c>
      <c r="E587" s="9" t="str" cm="1">
        <f t="array" ref="E5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87" s="2" t="s">
        <v>1192</v>
      </c>
      <c r="G587" t="s">
        <v>50</v>
      </c>
      <c r="H587" s="2">
        <v>2</v>
      </c>
      <c r="I587" s="2" t="str" cm="1">
        <f t="array" ref="I587">_xlfn.XLOOKUP(F587,Customers!A586:$A$1001,Customers!B586:$B$1001,"Not Found",0)</f>
        <v>Cody Verissimo</v>
      </c>
      <c r="J587" s="2" t="str" cm="1">
        <f t="array" ref="J587">IF(_xlfn.XLOOKUP(F587,Customers!A586:$A$1001,Customers!C586:$C$1001,"Not Found",0)=0,"",_xlfn.XLOOKUP(F587,Customers!A586:$A$1001,Customers!C586:$C$1001,"Not Found",0))</f>
        <v>cverissimogh@theglobeandmail.com</v>
      </c>
      <c r="K587" s="2" t="str" cm="1">
        <f t="array" ref="K587">_xlfn.XLOOKUP(F587,Customers!A586:$A$1001,Customers!G586:$G$1001,"Not Found",0)</f>
        <v>United Kingdom</v>
      </c>
      <c r="L587" t="str">
        <f>INDEX(Products!$A$1:$G$49,MATCH(Orders!$G587,Products!$A$1:$A$49,0),MATCH(Orders!L$1,Products!$A$1:$G$1,0))</f>
        <v>Exc</v>
      </c>
      <c r="M587" t="str">
        <f>INDEX(Products!$A$1:$G$49,MATCH(Orders!$G587,Products!$A$1:$A$49,0),MATCH(Orders!M$1,Products!$A$1:$G$1,0))</f>
        <v>M</v>
      </c>
      <c r="N587" s="4">
        <f>INDEX(Products!$A$1:$G$49,MATCH(Orders!$G587,Products!$A$1:$A$49,0),MATCH(Orders!N$1,Products!$A$1:$G$1,0))</f>
        <v>0.5</v>
      </c>
      <c r="O587" s="7">
        <f>INDEX(Products!$A$1:$G$49,MATCH(Orders!$G587,Products!$A$1:$A$49,0),MATCH(Orders!O$1,Products!$A$1:$G$1,0))</f>
        <v>8.25</v>
      </c>
      <c r="P587" s="7">
        <f t="shared" si="9"/>
        <v>16.5</v>
      </c>
      <c r="Q587" t="str" cm="1">
        <f t="array" ref="Q587">_xlfn.IFS(L587="Rob","Robusta",L587="Exc", "Excelsa",L587="Ara", "Arabica",L587="Lib", "Liberica")</f>
        <v>Excelsa</v>
      </c>
      <c r="R587" t="str" cm="1">
        <f t="array" ref="R587">_xlfn.IFS(M587="M","Medium",M587="L","Light",M587="D","Dark")</f>
        <v>Medium</v>
      </c>
    </row>
    <row r="588" spans="1:18">
      <c r="A588" s="2" t="s">
        <v>1193</v>
      </c>
      <c r="B588" s="3">
        <v>43867</v>
      </c>
      <c r="C588" s="9">
        <f>YEAR(Orders_Table[[#This Row],[Order Date]])</f>
        <v>2020</v>
      </c>
      <c r="D588" s="9">
        <f>MONTH(Orders_Table[[#This Row],[Order Date]])</f>
        <v>2</v>
      </c>
      <c r="E588" s="9" t="str" cm="1">
        <f t="array" ref="E5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88" s="2" t="s">
        <v>1194</v>
      </c>
      <c r="G588" t="s">
        <v>57</v>
      </c>
      <c r="H588" s="2">
        <v>3</v>
      </c>
      <c r="I588" s="2" t="str" cm="1">
        <f t="array" ref="I588">_xlfn.XLOOKUP(F588,Customers!A587:$A$1001,Customers!B587:$B$1001,"Not Found",0)</f>
        <v>Zilvia Claisse</v>
      </c>
      <c r="J588" s="2" t="str" cm="1">
        <f t="array" ref="J588">IF(_xlfn.XLOOKUP(F588,Customers!A587:$A$1001,Customers!C587:$C$1001,"Not Found",0)=0,"",_xlfn.XLOOKUP(F588,Customers!A587:$A$1001,Customers!C587:$C$1001,"Not Found",0))</f>
        <v/>
      </c>
      <c r="K588" s="2" t="str" cm="1">
        <f t="array" ref="K588">_xlfn.XLOOKUP(F588,Customers!A587:$A$1001,Customers!G587:$G$1001,"Not Found",0)</f>
        <v>United States</v>
      </c>
      <c r="L588" t="str">
        <f>INDEX(Products!$A$1:$G$49,MATCH(Orders!$G588,Products!$A$1:$A$49,0),MATCH(Orders!L$1,Products!$A$1:$G$1,0))</f>
        <v>Rob</v>
      </c>
      <c r="M588" t="str">
        <f>INDEX(Products!$A$1:$G$49,MATCH(Orders!$G588,Products!$A$1:$A$49,0),MATCH(Orders!M$1,Products!$A$1:$G$1,0))</f>
        <v>L</v>
      </c>
      <c r="N588" s="4">
        <f>INDEX(Products!$A$1:$G$49,MATCH(Orders!$G588,Products!$A$1:$A$49,0),MATCH(Orders!N$1,Products!$A$1:$G$1,0))</f>
        <v>2.5</v>
      </c>
      <c r="O588" s="7">
        <f>INDEX(Products!$A$1:$G$49,MATCH(Orders!$G588,Products!$A$1:$A$49,0),MATCH(Orders!O$1,Products!$A$1:$G$1,0))</f>
        <v>27.484999999999996</v>
      </c>
      <c r="P588" s="7">
        <f t="shared" si="9"/>
        <v>82.454999999999984</v>
      </c>
      <c r="Q588" t="str" cm="1">
        <f t="array" ref="Q588">_xlfn.IFS(L588="Rob","Robusta",L588="Exc", "Excelsa",L588="Ara", "Arabica",L588="Lib", "Liberica")</f>
        <v>Robusta</v>
      </c>
      <c r="R588" t="str" cm="1">
        <f t="array" ref="R588">_xlfn.IFS(M588="M","Medium",M588="L","Light",M588="D","Dark")</f>
        <v>Light</v>
      </c>
    </row>
    <row r="589" spans="1:18">
      <c r="A589" s="2" t="s">
        <v>1195</v>
      </c>
      <c r="B589" s="3">
        <v>44267</v>
      </c>
      <c r="C589" s="9">
        <f>YEAR(Orders_Table[[#This Row],[Order Date]])</f>
        <v>2021</v>
      </c>
      <c r="D589" s="9">
        <f>MONTH(Orders_Table[[#This Row],[Order Date]])</f>
        <v>3</v>
      </c>
      <c r="E589" s="9" t="str" cm="1">
        <f t="array" ref="E5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89" s="2" t="s">
        <v>1196</v>
      </c>
      <c r="G589" t="s">
        <v>170</v>
      </c>
      <c r="H589" s="2">
        <v>1</v>
      </c>
      <c r="I589" s="2" t="str" cm="1">
        <f t="array" ref="I589">_xlfn.XLOOKUP(F589,Customers!A588:$A$1001,Customers!B588:$B$1001,"Not Found",0)</f>
        <v>Bar O' Mahony</v>
      </c>
      <c r="J589" s="2" t="str" cm="1">
        <f t="array" ref="J589">IF(_xlfn.XLOOKUP(F589,Customers!A588:$A$1001,Customers!C588:$C$1001,"Not Found",0)=0,"",_xlfn.XLOOKUP(F589,Customers!A588:$A$1001,Customers!C588:$C$1001,"Not Found",0))</f>
        <v>bogb@elpais.com</v>
      </c>
      <c r="K589" s="2" t="str" cm="1">
        <f t="array" ref="K589">_xlfn.XLOOKUP(F589,Customers!A588:$A$1001,Customers!G588:$G$1001,"Not Found",0)</f>
        <v>United States</v>
      </c>
      <c r="L589" t="str">
        <f>INDEX(Products!$A$1:$G$49,MATCH(Orders!$G589,Products!$A$1:$A$49,0),MATCH(Orders!L$1,Products!$A$1:$G$1,0))</f>
        <v>Lib</v>
      </c>
      <c r="M589" t="str">
        <f>INDEX(Products!$A$1:$G$49,MATCH(Orders!$G589,Products!$A$1:$A$49,0),MATCH(Orders!M$1,Products!$A$1:$G$1,0))</f>
        <v>D</v>
      </c>
      <c r="N589" s="4">
        <f>INDEX(Products!$A$1:$G$49,MATCH(Orders!$G589,Products!$A$1:$A$49,0),MATCH(Orders!N$1,Products!$A$1:$G$1,0))</f>
        <v>0.5</v>
      </c>
      <c r="O589" s="7">
        <f>INDEX(Products!$A$1:$G$49,MATCH(Orders!$G589,Products!$A$1:$A$49,0),MATCH(Orders!O$1,Products!$A$1:$G$1,0))</f>
        <v>7.77</v>
      </c>
      <c r="P589" s="7">
        <f t="shared" si="9"/>
        <v>7.77</v>
      </c>
      <c r="Q589" t="str" cm="1">
        <f t="array" ref="Q589">_xlfn.IFS(L589="Rob","Robusta",L589="Exc", "Excelsa",L589="Ara", "Arabica",L589="Lib", "Liberica")</f>
        <v>Liberica</v>
      </c>
      <c r="R589" t="str" cm="1">
        <f t="array" ref="R589">_xlfn.IFS(M589="M","Medium",M589="L","Light",M589="D","Dark")</f>
        <v>Dark</v>
      </c>
    </row>
    <row r="590" spans="1:18">
      <c r="A590" s="2" t="s">
        <v>1197</v>
      </c>
      <c r="B590" s="3">
        <v>44046</v>
      </c>
      <c r="C590" s="9">
        <f>YEAR(Orders_Table[[#This Row],[Order Date]])</f>
        <v>2020</v>
      </c>
      <c r="D590" s="9">
        <f>MONTH(Orders_Table[[#This Row],[Order Date]])</f>
        <v>8</v>
      </c>
      <c r="E590" s="9" t="str" cm="1">
        <f t="array" ref="E5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590" s="2" t="s">
        <v>1198</v>
      </c>
      <c r="G590" t="s">
        <v>69</v>
      </c>
      <c r="H590" s="2">
        <v>2</v>
      </c>
      <c r="I590" s="2" t="str" cm="1">
        <f t="array" ref="I590">_xlfn.XLOOKUP(F590,Customers!A589:$A$1001,Customers!B589:$B$1001,"Not Found",0)</f>
        <v>Valenka Stansbury</v>
      </c>
      <c r="J590" s="2" t="str" cm="1">
        <f t="array" ref="J590">IF(_xlfn.XLOOKUP(F590,Customers!A589:$A$1001,Customers!C589:$C$1001,"Not Found",0)=0,"",_xlfn.XLOOKUP(F590,Customers!A589:$A$1001,Customers!C589:$C$1001,"Not Found",0))</f>
        <v>vstansburygc@unblog.fr</v>
      </c>
      <c r="K590" s="2" t="str" cm="1">
        <f t="array" ref="K590">_xlfn.XLOOKUP(F590,Customers!A589:$A$1001,Customers!G589:$G$1001,"Not Found",0)</f>
        <v>United States</v>
      </c>
      <c r="L590" t="str">
        <f>INDEX(Products!$A$1:$G$49,MATCH(Orders!$G590,Products!$A$1:$A$49,0),MATCH(Orders!L$1,Products!$A$1:$G$1,0))</f>
        <v>Rob</v>
      </c>
      <c r="M590" t="str">
        <f>INDEX(Products!$A$1:$G$49,MATCH(Orders!$G590,Products!$A$1:$A$49,0),MATCH(Orders!M$1,Products!$A$1:$G$1,0))</f>
        <v>M</v>
      </c>
      <c r="N590" s="4">
        <f>INDEX(Products!$A$1:$G$49,MATCH(Orders!$G590,Products!$A$1:$A$49,0),MATCH(Orders!N$1,Products!$A$1:$G$1,0))</f>
        <v>0.5</v>
      </c>
      <c r="O590" s="7">
        <f>INDEX(Products!$A$1:$G$49,MATCH(Orders!$G590,Products!$A$1:$A$49,0),MATCH(Orders!O$1,Products!$A$1:$G$1,0))</f>
        <v>5.97</v>
      </c>
      <c r="P590" s="7">
        <f t="shared" si="9"/>
        <v>11.94</v>
      </c>
      <c r="Q590" t="str" cm="1">
        <f t="array" ref="Q590">_xlfn.IFS(L590="Rob","Robusta",L590="Exc", "Excelsa",L590="Ara", "Arabica",L590="Lib", "Liberica")</f>
        <v>Robusta</v>
      </c>
      <c r="R590" t="str" cm="1">
        <f t="array" ref="R590">_xlfn.IFS(M590="M","Medium",M590="L","Light",M590="D","Dark")</f>
        <v>Medium</v>
      </c>
    </row>
    <row r="591" spans="1:18">
      <c r="A591" s="2" t="s">
        <v>1199</v>
      </c>
      <c r="B591" s="3">
        <v>43671</v>
      </c>
      <c r="C591" s="9">
        <f>YEAR(Orders_Table[[#This Row],[Order Date]])</f>
        <v>2019</v>
      </c>
      <c r="D591" s="9">
        <f>MONTH(Orders_Table[[#This Row],[Order Date]])</f>
        <v>7</v>
      </c>
      <c r="E591" s="9" t="str" cm="1">
        <f t="array" ref="E5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591" s="2" t="s">
        <v>1200</v>
      </c>
      <c r="G591" t="s">
        <v>77</v>
      </c>
      <c r="H591" s="2">
        <v>6</v>
      </c>
      <c r="I591" s="2" t="str" cm="1">
        <f t="array" ref="I591">_xlfn.XLOOKUP(F591,Customers!A590:$A$1001,Customers!B590:$B$1001,"Not Found",0)</f>
        <v>Daniel Heinonen</v>
      </c>
      <c r="J591" s="2" t="str" cm="1">
        <f t="array" ref="J591">IF(_xlfn.XLOOKUP(F591,Customers!A590:$A$1001,Customers!C590:$C$1001,"Not Found",0)=0,"",_xlfn.XLOOKUP(F591,Customers!A590:$A$1001,Customers!C590:$C$1001,"Not Found",0))</f>
        <v>dheinonengd@printfriendly.com</v>
      </c>
      <c r="K591" s="2" t="str" cm="1">
        <f t="array" ref="K591">_xlfn.XLOOKUP(F591,Customers!A590:$A$1001,Customers!G590:$G$1001,"Not Found",0)</f>
        <v>United States</v>
      </c>
      <c r="L591" t="str">
        <f>INDEX(Products!$A$1:$G$49,MATCH(Orders!$G591,Products!$A$1:$A$49,0),MATCH(Orders!L$1,Products!$A$1:$G$1,0))</f>
        <v>Exc</v>
      </c>
      <c r="M591" t="str">
        <f>INDEX(Products!$A$1:$G$49,MATCH(Orders!$G591,Products!$A$1:$A$49,0),MATCH(Orders!M$1,Products!$A$1:$G$1,0))</f>
        <v>L</v>
      </c>
      <c r="N591" s="4">
        <f>INDEX(Products!$A$1:$G$49,MATCH(Orders!$G591,Products!$A$1:$A$49,0),MATCH(Orders!N$1,Products!$A$1:$G$1,0))</f>
        <v>2.5</v>
      </c>
      <c r="O591" s="7">
        <f>INDEX(Products!$A$1:$G$49,MATCH(Orders!$G591,Products!$A$1:$A$49,0),MATCH(Orders!O$1,Products!$A$1:$G$1,0))</f>
        <v>34.154999999999994</v>
      </c>
      <c r="P591" s="7">
        <f t="shared" si="9"/>
        <v>204.92999999999995</v>
      </c>
      <c r="Q591" t="str" cm="1">
        <f t="array" ref="Q591">_xlfn.IFS(L591="Rob","Robusta",L591="Exc", "Excelsa",L591="Ara", "Arabica",L591="Lib", "Liberica")</f>
        <v>Excelsa</v>
      </c>
      <c r="R591" t="str" cm="1">
        <f t="array" ref="R591">_xlfn.IFS(M591="M","Medium",M591="L","Light",M591="D","Dark")</f>
        <v>Light</v>
      </c>
    </row>
    <row r="592" spans="1:18">
      <c r="A592" s="2" t="s">
        <v>1201</v>
      </c>
      <c r="B592" s="3">
        <v>43950</v>
      </c>
      <c r="C592" s="9">
        <f>YEAR(Orders_Table[[#This Row],[Order Date]])</f>
        <v>2020</v>
      </c>
      <c r="D592" s="9">
        <f>MONTH(Orders_Table[[#This Row],[Order Date]])</f>
        <v>4</v>
      </c>
      <c r="E592" s="9" t="str" cm="1">
        <f t="array" ref="E5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592" s="2" t="s">
        <v>1202</v>
      </c>
      <c r="G592" t="s">
        <v>159</v>
      </c>
      <c r="H592" s="2">
        <v>2</v>
      </c>
      <c r="I592" s="2" t="str" cm="1">
        <f t="array" ref="I592">_xlfn.XLOOKUP(F592,Customers!A591:$A$1001,Customers!B591:$B$1001,"Not Found",0)</f>
        <v>Jewelle Shenton</v>
      </c>
      <c r="J592" s="2" t="str" cm="1">
        <f t="array" ref="J592">IF(_xlfn.XLOOKUP(F592,Customers!A591:$A$1001,Customers!C591:$C$1001,"Not Found",0)=0,"",_xlfn.XLOOKUP(F592,Customers!A591:$A$1001,Customers!C591:$C$1001,"Not Found",0))</f>
        <v>jshentonge@google.com.hk</v>
      </c>
      <c r="K592" s="2" t="str" cm="1">
        <f t="array" ref="K592">_xlfn.XLOOKUP(F592,Customers!A591:$A$1001,Customers!G591:$G$1001,"Not Found",0)</f>
        <v>United States</v>
      </c>
      <c r="L592" t="str">
        <f>INDEX(Products!$A$1:$G$49,MATCH(Orders!$G592,Products!$A$1:$A$49,0),MATCH(Orders!L$1,Products!$A$1:$G$1,0))</f>
        <v>Exc</v>
      </c>
      <c r="M592" t="str">
        <f>INDEX(Products!$A$1:$G$49,MATCH(Orders!$G592,Products!$A$1:$A$49,0),MATCH(Orders!M$1,Products!$A$1:$G$1,0))</f>
        <v>M</v>
      </c>
      <c r="N592" s="4">
        <f>INDEX(Products!$A$1:$G$49,MATCH(Orders!$G592,Products!$A$1:$A$49,0),MATCH(Orders!N$1,Products!$A$1:$G$1,0))</f>
        <v>2.5</v>
      </c>
      <c r="O592" s="7">
        <f>INDEX(Products!$A$1:$G$49,MATCH(Orders!$G592,Products!$A$1:$A$49,0),MATCH(Orders!O$1,Products!$A$1:$G$1,0))</f>
        <v>31.624999999999996</v>
      </c>
      <c r="P592" s="7">
        <f t="shared" si="9"/>
        <v>63.249999999999993</v>
      </c>
      <c r="Q592" t="str" cm="1">
        <f t="array" ref="Q592">_xlfn.IFS(L592="Rob","Robusta",L592="Exc", "Excelsa",L592="Ara", "Arabica",L592="Lib", "Liberica")</f>
        <v>Excelsa</v>
      </c>
      <c r="R592" t="str" cm="1">
        <f t="array" ref="R592">_xlfn.IFS(M592="M","Medium",M592="L","Light",M592="D","Dark")</f>
        <v>Medium</v>
      </c>
    </row>
    <row r="593" spans="1:18">
      <c r="A593" s="2" t="s">
        <v>1203</v>
      </c>
      <c r="B593" s="3">
        <v>43587</v>
      </c>
      <c r="C593" s="9">
        <f>YEAR(Orders_Table[[#This Row],[Order Date]])</f>
        <v>2019</v>
      </c>
      <c r="D593" s="9">
        <f>MONTH(Orders_Table[[#This Row],[Order Date]])</f>
        <v>5</v>
      </c>
      <c r="E593" s="9" t="str" cm="1">
        <f t="array" ref="E5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593" s="2" t="s">
        <v>1204</v>
      </c>
      <c r="G593" t="s">
        <v>148</v>
      </c>
      <c r="H593" s="2">
        <v>3</v>
      </c>
      <c r="I593" s="2" t="str" cm="1">
        <f t="array" ref="I593">_xlfn.XLOOKUP(F593,Customers!A592:$A$1001,Customers!B592:$B$1001,"Not Found",0)</f>
        <v>Jennifer Wilkisson</v>
      </c>
      <c r="J593" s="2" t="str" cm="1">
        <f t="array" ref="J593">IF(_xlfn.XLOOKUP(F593,Customers!A592:$A$1001,Customers!C592:$C$1001,"Not Found",0)=0,"",_xlfn.XLOOKUP(F593,Customers!A592:$A$1001,Customers!C592:$C$1001,"Not Found",0))</f>
        <v>jwilkissongf@nba.com</v>
      </c>
      <c r="K593" s="2" t="str" cm="1">
        <f t="array" ref="K593">_xlfn.XLOOKUP(F593,Customers!A592:$A$1001,Customers!G592:$G$1001,"Not Found",0)</f>
        <v>United States</v>
      </c>
      <c r="L593" t="str">
        <f>INDEX(Products!$A$1:$G$49,MATCH(Orders!$G593,Products!$A$1:$A$49,0),MATCH(Orders!L$1,Products!$A$1:$G$1,0))</f>
        <v>Rob</v>
      </c>
      <c r="M593" t="str">
        <f>INDEX(Products!$A$1:$G$49,MATCH(Orders!$G593,Products!$A$1:$A$49,0),MATCH(Orders!M$1,Products!$A$1:$G$1,0))</f>
        <v>D</v>
      </c>
      <c r="N593" s="4">
        <f>INDEX(Products!$A$1:$G$49,MATCH(Orders!$G593,Products!$A$1:$A$49,0),MATCH(Orders!N$1,Products!$A$1:$G$1,0))</f>
        <v>0.2</v>
      </c>
      <c r="O593" s="7">
        <f>INDEX(Products!$A$1:$G$49,MATCH(Orders!$G593,Products!$A$1:$A$49,0),MATCH(Orders!O$1,Products!$A$1:$G$1,0))</f>
        <v>2.6849999999999996</v>
      </c>
      <c r="P593" s="7">
        <f t="shared" si="9"/>
        <v>8.0549999999999997</v>
      </c>
      <c r="Q593" t="str" cm="1">
        <f t="array" ref="Q593">_xlfn.IFS(L593="Rob","Robusta",L593="Exc", "Excelsa",L593="Ara", "Arabica",L593="Lib", "Liberica")</f>
        <v>Robusta</v>
      </c>
      <c r="R593" t="str" cm="1">
        <f t="array" ref="R593">_xlfn.IFS(M593="M","Medium",M593="L","Light",M593="D","Dark")</f>
        <v>Dark</v>
      </c>
    </row>
    <row r="594" spans="1:18">
      <c r="A594" s="2" t="s">
        <v>1205</v>
      </c>
      <c r="B594" s="3">
        <v>44437</v>
      </c>
      <c r="C594" s="9">
        <f>YEAR(Orders_Table[[#This Row],[Order Date]])</f>
        <v>2021</v>
      </c>
      <c r="D594" s="9">
        <f>MONTH(Orders_Table[[#This Row],[Order Date]])</f>
        <v>8</v>
      </c>
      <c r="E594" s="9" t="str" cm="1">
        <f t="array" ref="E5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594" s="2" t="s">
        <v>1206</v>
      </c>
      <c r="G594" t="s">
        <v>218</v>
      </c>
      <c r="H594" s="2">
        <v>2</v>
      </c>
      <c r="I594" s="2" t="str" cm="1">
        <f t="array" ref="I594">_xlfn.XLOOKUP(F594,Customers!A593:$A$1001,Customers!B593:$B$1001,"Not Found",0)</f>
        <v>Kylie Mowat</v>
      </c>
      <c r="J594" s="2" t="str" cm="1">
        <f t="array" ref="J594">IF(_xlfn.XLOOKUP(F594,Customers!A593:$A$1001,Customers!C593:$C$1001,"Not Found",0)=0,"",_xlfn.XLOOKUP(F594,Customers!A593:$A$1001,Customers!C593:$C$1001,"Not Found",0))</f>
        <v/>
      </c>
      <c r="K594" s="2" t="str" cm="1">
        <f t="array" ref="K594">_xlfn.XLOOKUP(F594,Customers!A593:$A$1001,Customers!G593:$G$1001,"Not Found",0)</f>
        <v>United States</v>
      </c>
      <c r="L594" t="str">
        <f>INDEX(Products!$A$1:$G$49,MATCH(Orders!$G594,Products!$A$1:$A$49,0),MATCH(Orders!L$1,Products!$A$1:$G$1,0))</f>
        <v>Ara</v>
      </c>
      <c r="M594" t="str">
        <f>INDEX(Products!$A$1:$G$49,MATCH(Orders!$G594,Products!$A$1:$A$49,0),MATCH(Orders!M$1,Products!$A$1:$G$1,0))</f>
        <v>M</v>
      </c>
      <c r="N594" s="4">
        <f>INDEX(Products!$A$1:$G$49,MATCH(Orders!$G594,Products!$A$1:$A$49,0),MATCH(Orders!N$1,Products!$A$1:$G$1,0))</f>
        <v>2.5</v>
      </c>
      <c r="O594" s="7">
        <f>INDEX(Products!$A$1:$G$49,MATCH(Orders!$G594,Products!$A$1:$A$49,0),MATCH(Orders!O$1,Products!$A$1:$G$1,0))</f>
        <v>25.874999999999996</v>
      </c>
      <c r="P594" s="7">
        <f t="shared" si="9"/>
        <v>51.749999999999993</v>
      </c>
      <c r="Q594" t="str" cm="1">
        <f t="array" ref="Q594">_xlfn.IFS(L594="Rob","Robusta",L594="Exc", "Excelsa",L594="Ara", "Arabica",L594="Lib", "Liberica")</f>
        <v>Arabica</v>
      </c>
      <c r="R594" t="str" cm="1">
        <f t="array" ref="R594">_xlfn.IFS(M594="M","Medium",M594="L","Light",M594="D","Dark")</f>
        <v>Medium</v>
      </c>
    </row>
    <row r="595" spans="1:18">
      <c r="A595" s="2" t="s">
        <v>1207</v>
      </c>
      <c r="B595" s="3">
        <v>43903</v>
      </c>
      <c r="C595" s="9">
        <f>YEAR(Orders_Table[[#This Row],[Order Date]])</f>
        <v>2020</v>
      </c>
      <c r="D595" s="9">
        <f>MONTH(Orders_Table[[#This Row],[Order Date]])</f>
        <v>3</v>
      </c>
      <c r="E595" s="9" t="str" cm="1">
        <f t="array" ref="E5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595" s="2" t="s">
        <v>1192</v>
      </c>
      <c r="G595" t="s">
        <v>577</v>
      </c>
      <c r="H595" s="2">
        <v>1</v>
      </c>
      <c r="I595" s="2" t="str" cm="1">
        <f t="array" ref="I595">_xlfn.XLOOKUP(F595,Customers!A594:$A$1001,Customers!B594:$B$1001,"Not Found",0)</f>
        <v>Cody Verissimo</v>
      </c>
      <c r="J595" s="2" t="str" cm="1">
        <f t="array" ref="J595">IF(_xlfn.XLOOKUP(F595,Customers!A594:$A$1001,Customers!C594:$C$1001,"Not Found",0)=0,"",_xlfn.XLOOKUP(F595,Customers!A594:$A$1001,Customers!C594:$C$1001,"Not Found",0))</f>
        <v>cverissimogh@theglobeandmail.com</v>
      </c>
      <c r="K595" s="2" t="str" cm="1">
        <f t="array" ref="K595">_xlfn.XLOOKUP(F595,Customers!A594:$A$1001,Customers!G594:$G$1001,"Not Found",0)</f>
        <v>United Kingdom</v>
      </c>
      <c r="L595" t="str">
        <f>INDEX(Products!$A$1:$G$49,MATCH(Orders!$G595,Products!$A$1:$A$49,0),MATCH(Orders!L$1,Products!$A$1:$G$1,0))</f>
        <v>Exc</v>
      </c>
      <c r="M595" t="str">
        <f>INDEX(Products!$A$1:$G$49,MATCH(Orders!$G595,Products!$A$1:$A$49,0),MATCH(Orders!M$1,Products!$A$1:$G$1,0))</f>
        <v>D</v>
      </c>
      <c r="N595" s="4">
        <f>INDEX(Products!$A$1:$G$49,MATCH(Orders!$G595,Products!$A$1:$A$49,0),MATCH(Orders!N$1,Products!$A$1:$G$1,0))</f>
        <v>2.5</v>
      </c>
      <c r="O595" s="7">
        <f>INDEX(Products!$A$1:$G$49,MATCH(Orders!$G595,Products!$A$1:$A$49,0),MATCH(Orders!O$1,Products!$A$1:$G$1,0))</f>
        <v>27.945</v>
      </c>
      <c r="P595" s="7">
        <f t="shared" si="9"/>
        <v>27.945</v>
      </c>
      <c r="Q595" t="str" cm="1">
        <f t="array" ref="Q595">_xlfn.IFS(L595="Rob","Robusta",L595="Exc", "Excelsa",L595="Ara", "Arabica",L595="Lib", "Liberica")</f>
        <v>Excelsa</v>
      </c>
      <c r="R595" t="str" cm="1">
        <f t="array" ref="R595">_xlfn.IFS(M595="M","Medium",M595="L","Light",M595="D","Dark")</f>
        <v>Dark</v>
      </c>
    </row>
    <row r="596" spans="1:18">
      <c r="A596" s="2" t="s">
        <v>1208</v>
      </c>
      <c r="B596" s="3">
        <v>43512</v>
      </c>
      <c r="C596" s="9">
        <f>YEAR(Orders_Table[[#This Row],[Order Date]])</f>
        <v>2019</v>
      </c>
      <c r="D596" s="9">
        <f>MONTH(Orders_Table[[#This Row],[Order Date]])</f>
        <v>2</v>
      </c>
      <c r="E596" s="9" t="str" cm="1">
        <f t="array" ref="E5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596" s="2" t="s">
        <v>1209</v>
      </c>
      <c r="G596" t="s">
        <v>251</v>
      </c>
      <c r="H596" s="2">
        <v>2</v>
      </c>
      <c r="I596" s="2" t="str" cm="1">
        <f t="array" ref="I596">_xlfn.XLOOKUP(F596,Customers!A595:$A$1001,Customers!B595:$B$1001,"Not Found",0)</f>
        <v>Gabriel Starcks</v>
      </c>
      <c r="J596" s="2" t="str" cm="1">
        <f t="array" ref="J596">IF(_xlfn.XLOOKUP(F596,Customers!A595:$A$1001,Customers!C595:$C$1001,"Not Found",0)=0,"",_xlfn.XLOOKUP(F596,Customers!A595:$A$1001,Customers!C595:$C$1001,"Not Found",0))</f>
        <v>gstarcksgi@abc.net.au</v>
      </c>
      <c r="K596" s="2" t="str" cm="1">
        <f t="array" ref="K596">_xlfn.XLOOKUP(F596,Customers!A595:$A$1001,Customers!G595:$G$1001,"Not Found",0)</f>
        <v>United States</v>
      </c>
      <c r="L596" t="str">
        <f>INDEX(Products!$A$1:$G$49,MATCH(Orders!$G596,Products!$A$1:$A$49,0),MATCH(Orders!L$1,Products!$A$1:$G$1,0))</f>
        <v>Ara</v>
      </c>
      <c r="M596" t="str">
        <f>INDEX(Products!$A$1:$G$49,MATCH(Orders!$G596,Products!$A$1:$A$49,0),MATCH(Orders!M$1,Products!$A$1:$G$1,0))</f>
        <v>L</v>
      </c>
      <c r="N596" s="4">
        <f>INDEX(Products!$A$1:$G$49,MATCH(Orders!$G596,Products!$A$1:$A$49,0),MATCH(Orders!N$1,Products!$A$1:$G$1,0))</f>
        <v>2.5</v>
      </c>
      <c r="O596" s="7">
        <f>INDEX(Products!$A$1:$G$49,MATCH(Orders!$G596,Products!$A$1:$A$49,0),MATCH(Orders!O$1,Products!$A$1:$G$1,0))</f>
        <v>29.784999999999997</v>
      </c>
      <c r="P596" s="7">
        <f t="shared" si="9"/>
        <v>59.569999999999993</v>
      </c>
      <c r="Q596" t="str" cm="1">
        <f t="array" ref="Q596">_xlfn.IFS(L596="Rob","Robusta",L596="Exc", "Excelsa",L596="Ara", "Arabica",L596="Lib", "Liberica")</f>
        <v>Arabica</v>
      </c>
      <c r="R596" t="str" cm="1">
        <f t="array" ref="R596">_xlfn.IFS(M596="M","Medium",M596="L","Light",M596="D","Dark")</f>
        <v>Light</v>
      </c>
    </row>
    <row r="597" spans="1:18">
      <c r="A597" s="2" t="s">
        <v>1210</v>
      </c>
      <c r="B597" s="3">
        <v>44527</v>
      </c>
      <c r="C597" s="9">
        <f>YEAR(Orders_Table[[#This Row],[Order Date]])</f>
        <v>2021</v>
      </c>
      <c r="D597" s="9">
        <f>MONTH(Orders_Table[[#This Row],[Order Date]])</f>
        <v>11</v>
      </c>
      <c r="E597" s="9" t="str" cm="1">
        <f t="array" ref="E5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97" s="2" t="s">
        <v>1211</v>
      </c>
      <c r="G597" t="s">
        <v>184</v>
      </c>
      <c r="H597" s="2">
        <v>1</v>
      </c>
      <c r="I597" s="2" t="str" cm="1">
        <f t="array" ref="I597">_xlfn.XLOOKUP(F597,Customers!A596:$A$1001,Customers!B596:$B$1001,"Not Found",0)</f>
        <v>Darby Dummer</v>
      </c>
      <c r="J597" s="2" t="str" cm="1">
        <f t="array" ref="J597">IF(_xlfn.XLOOKUP(F597,Customers!A596:$A$1001,Customers!C596:$C$1001,"Not Found",0)=0,"",_xlfn.XLOOKUP(F597,Customers!A596:$A$1001,Customers!C596:$C$1001,"Not Found",0))</f>
        <v/>
      </c>
      <c r="K597" s="2" t="str" cm="1">
        <f t="array" ref="K597">_xlfn.XLOOKUP(F597,Customers!A596:$A$1001,Customers!G596:$G$1001,"Not Found",0)</f>
        <v>United Kingdom</v>
      </c>
      <c r="L597" t="str">
        <f>INDEX(Products!$A$1:$G$49,MATCH(Orders!$G597,Products!$A$1:$A$49,0),MATCH(Orders!L$1,Products!$A$1:$G$1,0))</f>
        <v>Exc</v>
      </c>
      <c r="M597" t="str">
        <f>INDEX(Products!$A$1:$G$49,MATCH(Orders!$G597,Products!$A$1:$A$49,0),MATCH(Orders!M$1,Products!$A$1:$G$1,0))</f>
        <v>L</v>
      </c>
      <c r="N597" s="4">
        <f>INDEX(Products!$A$1:$G$49,MATCH(Orders!$G597,Products!$A$1:$A$49,0),MATCH(Orders!N$1,Products!$A$1:$G$1,0))</f>
        <v>1</v>
      </c>
      <c r="O597" s="7">
        <f>INDEX(Products!$A$1:$G$49,MATCH(Orders!$G597,Products!$A$1:$A$49,0),MATCH(Orders!O$1,Products!$A$1:$G$1,0))</f>
        <v>14.85</v>
      </c>
      <c r="P597" s="7">
        <f t="shared" si="9"/>
        <v>14.85</v>
      </c>
      <c r="Q597" t="str" cm="1">
        <f t="array" ref="Q597">_xlfn.IFS(L597="Rob","Robusta",L597="Exc", "Excelsa",L597="Ara", "Arabica",L597="Lib", "Liberica")</f>
        <v>Excelsa</v>
      </c>
      <c r="R597" t="str" cm="1">
        <f t="array" ref="R597">_xlfn.IFS(M597="M","Medium",M597="L","Light",M597="D","Dark")</f>
        <v>Light</v>
      </c>
    </row>
    <row r="598" spans="1:18">
      <c r="A598" s="2" t="s">
        <v>1212</v>
      </c>
      <c r="B598" s="3">
        <v>44523</v>
      </c>
      <c r="C598" s="9">
        <f>YEAR(Orders_Table[[#This Row],[Order Date]])</f>
        <v>2021</v>
      </c>
      <c r="D598" s="9">
        <f>MONTH(Orders_Table[[#This Row],[Order Date]])</f>
        <v>11</v>
      </c>
      <c r="E598" s="9" t="str" cm="1">
        <f t="array" ref="E5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598" s="2" t="s">
        <v>1213</v>
      </c>
      <c r="G598" t="s">
        <v>114</v>
      </c>
      <c r="H598" s="2">
        <v>5</v>
      </c>
      <c r="I598" s="2" t="str" cm="1">
        <f t="array" ref="I598">_xlfn.XLOOKUP(F598,Customers!A597:$A$1001,Customers!B597:$B$1001,"Not Found",0)</f>
        <v>Kienan Scholard</v>
      </c>
      <c r="J598" s="2" t="str" cm="1">
        <f t="array" ref="J598">IF(_xlfn.XLOOKUP(F598,Customers!A597:$A$1001,Customers!C597:$C$1001,"Not Found",0)=0,"",_xlfn.XLOOKUP(F598,Customers!A597:$A$1001,Customers!C597:$C$1001,"Not Found",0))</f>
        <v>kscholardgk@sbwire.com</v>
      </c>
      <c r="K598" s="2" t="str" cm="1">
        <f t="array" ref="K598">_xlfn.XLOOKUP(F598,Customers!A597:$A$1001,Customers!G597:$G$1001,"Not Found",0)</f>
        <v>United States</v>
      </c>
      <c r="L598" t="str">
        <f>INDEX(Products!$A$1:$G$49,MATCH(Orders!$G598,Products!$A$1:$A$49,0),MATCH(Orders!L$1,Products!$A$1:$G$1,0))</f>
        <v>Ara</v>
      </c>
      <c r="M598" t="str">
        <f>INDEX(Products!$A$1:$G$49,MATCH(Orders!$G598,Products!$A$1:$A$49,0),MATCH(Orders!M$1,Products!$A$1:$G$1,0))</f>
        <v>M</v>
      </c>
      <c r="N598" s="4">
        <f>INDEX(Products!$A$1:$G$49,MATCH(Orders!$G598,Products!$A$1:$A$49,0),MATCH(Orders!N$1,Products!$A$1:$G$1,0))</f>
        <v>0.5</v>
      </c>
      <c r="O598" s="7">
        <f>INDEX(Products!$A$1:$G$49,MATCH(Orders!$G598,Products!$A$1:$A$49,0),MATCH(Orders!O$1,Products!$A$1:$G$1,0))</f>
        <v>6.75</v>
      </c>
      <c r="P598" s="7">
        <f t="shared" si="9"/>
        <v>33.75</v>
      </c>
      <c r="Q598" t="str" cm="1">
        <f t="array" ref="Q598">_xlfn.IFS(L598="Rob","Robusta",L598="Exc", "Excelsa",L598="Ara", "Arabica",L598="Lib", "Liberica")</f>
        <v>Arabica</v>
      </c>
      <c r="R598" t="str" cm="1">
        <f t="array" ref="R598">_xlfn.IFS(M598="M","Medium",M598="L","Light",M598="D","Dark")</f>
        <v>Medium</v>
      </c>
    </row>
    <row r="599" spans="1:18">
      <c r="A599" s="2" t="s">
        <v>1214</v>
      </c>
      <c r="B599" s="3">
        <v>44532</v>
      </c>
      <c r="C599" s="9">
        <f>YEAR(Orders_Table[[#This Row],[Order Date]])</f>
        <v>2021</v>
      </c>
      <c r="D599" s="9">
        <f>MONTH(Orders_Table[[#This Row],[Order Date]])</f>
        <v>12</v>
      </c>
      <c r="E599" s="9" t="str" cm="1">
        <f t="array" ref="E5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599" s="2" t="s">
        <v>1215</v>
      </c>
      <c r="G599" t="s">
        <v>151</v>
      </c>
      <c r="H599" s="2">
        <v>4</v>
      </c>
      <c r="I599" s="2" t="str" cm="1">
        <f t="array" ref="I599">_xlfn.XLOOKUP(F599,Customers!A598:$A$1001,Customers!B598:$B$1001,"Not Found",0)</f>
        <v>Bo Kindley</v>
      </c>
      <c r="J599" s="2" t="str" cm="1">
        <f t="array" ref="J599">IF(_xlfn.XLOOKUP(F599,Customers!A598:$A$1001,Customers!C598:$C$1001,"Not Found",0)=0,"",_xlfn.XLOOKUP(F599,Customers!A598:$A$1001,Customers!C598:$C$1001,"Not Found",0))</f>
        <v>bkindleygl@wikimedia.org</v>
      </c>
      <c r="K599" s="2" t="str" cm="1">
        <f t="array" ref="K599">_xlfn.XLOOKUP(F599,Customers!A598:$A$1001,Customers!G598:$G$1001,"Not Found",0)</f>
        <v>United States</v>
      </c>
      <c r="L599" t="str">
        <f>INDEX(Products!$A$1:$G$49,MATCH(Orders!$G599,Products!$A$1:$A$49,0),MATCH(Orders!L$1,Products!$A$1:$G$1,0))</f>
        <v>Lib</v>
      </c>
      <c r="M599" t="str">
        <f>INDEX(Products!$A$1:$G$49,MATCH(Orders!$G599,Products!$A$1:$A$49,0),MATCH(Orders!M$1,Products!$A$1:$G$1,0))</f>
        <v>L</v>
      </c>
      <c r="N599" s="4">
        <f>INDEX(Products!$A$1:$G$49,MATCH(Orders!$G599,Products!$A$1:$A$49,0),MATCH(Orders!N$1,Products!$A$1:$G$1,0))</f>
        <v>2.5</v>
      </c>
      <c r="O599" s="7">
        <f>INDEX(Products!$A$1:$G$49,MATCH(Orders!$G599,Products!$A$1:$A$49,0),MATCH(Orders!O$1,Products!$A$1:$G$1,0))</f>
        <v>36.454999999999998</v>
      </c>
      <c r="P599" s="7">
        <f t="shared" si="9"/>
        <v>145.82</v>
      </c>
      <c r="Q599" t="str" cm="1">
        <f t="array" ref="Q599">_xlfn.IFS(L599="Rob","Robusta",L599="Exc", "Excelsa",L599="Ara", "Arabica",L599="Lib", "Liberica")</f>
        <v>Liberica</v>
      </c>
      <c r="R599" t="str" cm="1">
        <f t="array" ref="R599">_xlfn.IFS(M599="M","Medium",M599="L","Light",M599="D","Dark")</f>
        <v>Light</v>
      </c>
    </row>
    <row r="600" spans="1:18">
      <c r="A600" s="2" t="s">
        <v>1216</v>
      </c>
      <c r="B600" s="3">
        <v>43471</v>
      </c>
      <c r="C600" s="9">
        <f>YEAR(Orders_Table[[#This Row],[Order Date]])</f>
        <v>2019</v>
      </c>
      <c r="D600" s="9">
        <f>MONTH(Orders_Table[[#This Row],[Order Date]])</f>
        <v>1</v>
      </c>
      <c r="E600" s="9" t="str" cm="1">
        <f t="array" ref="E6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00" s="2" t="s">
        <v>1217</v>
      </c>
      <c r="G600" t="s">
        <v>209</v>
      </c>
      <c r="H600" s="2">
        <v>4</v>
      </c>
      <c r="I600" s="2" t="str" cm="1">
        <f t="array" ref="I600">_xlfn.XLOOKUP(F600,Customers!A599:$A$1001,Customers!B599:$B$1001,"Not Found",0)</f>
        <v>Krissie Hammett</v>
      </c>
      <c r="J600" s="2" t="str" cm="1">
        <f t="array" ref="J600">IF(_xlfn.XLOOKUP(F600,Customers!A599:$A$1001,Customers!C599:$C$1001,"Not Found",0)=0,"",_xlfn.XLOOKUP(F600,Customers!A599:$A$1001,Customers!C599:$C$1001,"Not Found",0))</f>
        <v>khammettgm@dmoz.org</v>
      </c>
      <c r="K600" s="2" t="str" cm="1">
        <f t="array" ref="K600">_xlfn.XLOOKUP(F600,Customers!A599:$A$1001,Customers!G599:$G$1001,"Not Found",0)</f>
        <v>United States</v>
      </c>
      <c r="L600" t="str">
        <f>INDEX(Products!$A$1:$G$49,MATCH(Orders!$G600,Products!$A$1:$A$49,0),MATCH(Orders!L$1,Products!$A$1:$G$1,0))</f>
        <v>Rob</v>
      </c>
      <c r="M600" t="str">
        <f>INDEX(Products!$A$1:$G$49,MATCH(Orders!$G600,Products!$A$1:$A$49,0),MATCH(Orders!M$1,Products!$A$1:$G$1,0))</f>
        <v>M</v>
      </c>
      <c r="N600" s="4">
        <f>INDEX(Products!$A$1:$G$49,MATCH(Orders!$G600,Products!$A$1:$A$49,0),MATCH(Orders!N$1,Products!$A$1:$G$1,0))</f>
        <v>0.2</v>
      </c>
      <c r="O600" s="7">
        <f>INDEX(Products!$A$1:$G$49,MATCH(Orders!$G600,Products!$A$1:$A$49,0),MATCH(Orders!O$1,Products!$A$1:$G$1,0))</f>
        <v>2.9849999999999999</v>
      </c>
      <c r="P600" s="7">
        <f t="shared" si="9"/>
        <v>11.94</v>
      </c>
      <c r="Q600" t="str" cm="1">
        <f t="array" ref="Q600">_xlfn.IFS(L600="Rob","Robusta",L600="Exc", "Excelsa",L600="Ara", "Arabica",L600="Lib", "Liberica")</f>
        <v>Robusta</v>
      </c>
      <c r="R600" t="str" cm="1">
        <f t="array" ref="R600">_xlfn.IFS(M600="M","Medium",M600="L","Light",M600="D","Dark")</f>
        <v>Medium</v>
      </c>
    </row>
    <row r="601" spans="1:18">
      <c r="A601" s="2" t="s">
        <v>1218</v>
      </c>
      <c r="B601" s="3">
        <v>44321</v>
      </c>
      <c r="C601" s="9">
        <f>YEAR(Orders_Table[[#This Row],[Order Date]])</f>
        <v>2021</v>
      </c>
      <c r="D601" s="9">
        <f>MONTH(Orders_Table[[#This Row],[Order Date]])</f>
        <v>5</v>
      </c>
      <c r="E601" s="9" t="str" cm="1">
        <f t="array" ref="E6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01" s="2" t="s">
        <v>1219</v>
      </c>
      <c r="G601" t="s">
        <v>101</v>
      </c>
      <c r="H601" s="2">
        <v>4</v>
      </c>
      <c r="I601" s="2" t="str" cm="1">
        <f t="array" ref="I601">_xlfn.XLOOKUP(F601,Customers!A600:$A$1001,Customers!B600:$B$1001,"Not Found",0)</f>
        <v>Alisha Hulburt</v>
      </c>
      <c r="J601" s="2" t="str" cm="1">
        <f t="array" ref="J601">IF(_xlfn.XLOOKUP(F601,Customers!A600:$A$1001,Customers!C600:$C$1001,"Not Found",0)=0,"",_xlfn.XLOOKUP(F601,Customers!A600:$A$1001,Customers!C600:$C$1001,"Not Found",0))</f>
        <v>ahulburtgn@fda.gov</v>
      </c>
      <c r="K601" s="2" t="str" cm="1">
        <f t="array" ref="K601">_xlfn.XLOOKUP(F601,Customers!A600:$A$1001,Customers!G600:$G$1001,"Not Found",0)</f>
        <v>United States</v>
      </c>
      <c r="L601" t="str">
        <f>INDEX(Products!$A$1:$G$49,MATCH(Orders!$G601,Products!$A$1:$A$49,0),MATCH(Orders!L$1,Products!$A$1:$G$1,0))</f>
        <v>Ara</v>
      </c>
      <c r="M601" t="str">
        <f>INDEX(Products!$A$1:$G$49,MATCH(Orders!$G601,Products!$A$1:$A$49,0),MATCH(Orders!M$1,Products!$A$1:$G$1,0))</f>
        <v>D</v>
      </c>
      <c r="N601" s="4">
        <f>INDEX(Products!$A$1:$G$49,MATCH(Orders!$G601,Products!$A$1:$A$49,0),MATCH(Orders!N$1,Products!$A$1:$G$1,0))</f>
        <v>0.2</v>
      </c>
      <c r="O601" s="7">
        <f>INDEX(Products!$A$1:$G$49,MATCH(Orders!$G601,Products!$A$1:$A$49,0),MATCH(Orders!O$1,Products!$A$1:$G$1,0))</f>
        <v>2.9849999999999999</v>
      </c>
      <c r="P601" s="7">
        <f t="shared" si="9"/>
        <v>11.94</v>
      </c>
      <c r="Q601" t="str" cm="1">
        <f t="array" ref="Q601">_xlfn.IFS(L601="Rob","Robusta",L601="Exc", "Excelsa",L601="Ara", "Arabica",L601="Lib", "Liberica")</f>
        <v>Arabica</v>
      </c>
      <c r="R601" t="str" cm="1">
        <f t="array" ref="R601">_xlfn.IFS(M601="M","Medium",M601="L","Light",M601="D","Dark")</f>
        <v>Dark</v>
      </c>
    </row>
    <row r="602" spans="1:18">
      <c r="A602" s="2" t="s">
        <v>1220</v>
      </c>
      <c r="B602" s="3">
        <v>44492</v>
      </c>
      <c r="C602" s="9">
        <f>YEAR(Orders_Table[[#This Row],[Order Date]])</f>
        <v>2021</v>
      </c>
      <c r="D602" s="9">
        <f>MONTH(Orders_Table[[#This Row],[Order Date]])</f>
        <v>10</v>
      </c>
      <c r="E602" s="9" t="str" cm="1">
        <f t="array" ref="E6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02" s="2" t="s">
        <v>1221</v>
      </c>
      <c r="G602" t="s">
        <v>170</v>
      </c>
      <c r="H602" s="2">
        <v>1</v>
      </c>
      <c r="I602" s="2" t="str" cm="1">
        <f t="array" ref="I602">_xlfn.XLOOKUP(F602,Customers!A601:$A$1001,Customers!B601:$B$1001,"Not Found",0)</f>
        <v>Peyter Lauritzen</v>
      </c>
      <c r="J602" s="2" t="str" cm="1">
        <f t="array" ref="J602">IF(_xlfn.XLOOKUP(F602,Customers!A601:$A$1001,Customers!C601:$C$1001,"Not Found",0)=0,"",_xlfn.XLOOKUP(F602,Customers!A601:$A$1001,Customers!C601:$C$1001,"Not Found",0))</f>
        <v>plauritzengo@photobucket.com</v>
      </c>
      <c r="K602" s="2" t="str" cm="1">
        <f t="array" ref="K602">_xlfn.XLOOKUP(F602,Customers!A601:$A$1001,Customers!G601:$G$1001,"Not Found",0)</f>
        <v>United States</v>
      </c>
      <c r="L602" t="str">
        <f>INDEX(Products!$A$1:$G$49,MATCH(Orders!$G602,Products!$A$1:$A$49,0),MATCH(Orders!L$1,Products!$A$1:$G$1,0))</f>
        <v>Lib</v>
      </c>
      <c r="M602" t="str">
        <f>INDEX(Products!$A$1:$G$49,MATCH(Orders!$G602,Products!$A$1:$A$49,0),MATCH(Orders!M$1,Products!$A$1:$G$1,0))</f>
        <v>D</v>
      </c>
      <c r="N602" s="4">
        <f>INDEX(Products!$A$1:$G$49,MATCH(Orders!$G602,Products!$A$1:$A$49,0),MATCH(Orders!N$1,Products!$A$1:$G$1,0))</f>
        <v>0.5</v>
      </c>
      <c r="O602" s="7">
        <f>INDEX(Products!$A$1:$G$49,MATCH(Orders!$G602,Products!$A$1:$A$49,0),MATCH(Orders!O$1,Products!$A$1:$G$1,0))</f>
        <v>7.77</v>
      </c>
      <c r="P602" s="7">
        <f t="shared" si="9"/>
        <v>7.77</v>
      </c>
      <c r="Q602" t="str" cm="1">
        <f t="array" ref="Q602">_xlfn.IFS(L602="Rob","Robusta",L602="Exc", "Excelsa",L602="Ara", "Arabica",L602="Lib", "Liberica")</f>
        <v>Liberica</v>
      </c>
      <c r="R602" t="str" cm="1">
        <f t="array" ref="R602">_xlfn.IFS(M602="M","Medium",M602="L","Light",M602="D","Dark")</f>
        <v>Dark</v>
      </c>
    </row>
    <row r="603" spans="1:18">
      <c r="A603" s="2" t="s">
        <v>1222</v>
      </c>
      <c r="B603" s="3">
        <v>43815</v>
      </c>
      <c r="C603" s="9">
        <f>YEAR(Orders_Table[[#This Row],[Order Date]])</f>
        <v>2019</v>
      </c>
      <c r="D603" s="9">
        <f>MONTH(Orders_Table[[#This Row],[Order Date]])</f>
        <v>12</v>
      </c>
      <c r="E603" s="9" t="str" cm="1">
        <f t="array" ref="E6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03" s="2" t="s">
        <v>1223</v>
      </c>
      <c r="G603" t="s">
        <v>57</v>
      </c>
      <c r="H603" s="2">
        <v>4</v>
      </c>
      <c r="I603" s="2" t="str" cm="1">
        <f t="array" ref="I603">_xlfn.XLOOKUP(F603,Customers!A602:$A$1001,Customers!B602:$B$1001,"Not Found",0)</f>
        <v>Aurelia Burgwin</v>
      </c>
      <c r="J603" s="2" t="str" cm="1">
        <f t="array" ref="J603">IF(_xlfn.XLOOKUP(F603,Customers!A602:$A$1001,Customers!C602:$C$1001,"Not Found",0)=0,"",_xlfn.XLOOKUP(F603,Customers!A602:$A$1001,Customers!C602:$C$1001,"Not Found",0))</f>
        <v>aburgwingp@redcross.org</v>
      </c>
      <c r="K603" s="2" t="str" cm="1">
        <f t="array" ref="K603">_xlfn.XLOOKUP(F603,Customers!A602:$A$1001,Customers!G602:$G$1001,"Not Found",0)</f>
        <v>United States</v>
      </c>
      <c r="L603" t="str">
        <f>INDEX(Products!$A$1:$G$49,MATCH(Orders!$G603,Products!$A$1:$A$49,0),MATCH(Orders!L$1,Products!$A$1:$G$1,0))</f>
        <v>Rob</v>
      </c>
      <c r="M603" t="str">
        <f>INDEX(Products!$A$1:$G$49,MATCH(Orders!$G603,Products!$A$1:$A$49,0),MATCH(Orders!M$1,Products!$A$1:$G$1,0))</f>
        <v>L</v>
      </c>
      <c r="N603" s="4">
        <f>INDEX(Products!$A$1:$G$49,MATCH(Orders!$G603,Products!$A$1:$A$49,0),MATCH(Orders!N$1,Products!$A$1:$G$1,0))</f>
        <v>2.5</v>
      </c>
      <c r="O603" s="7">
        <f>INDEX(Products!$A$1:$G$49,MATCH(Orders!$G603,Products!$A$1:$A$49,0),MATCH(Orders!O$1,Products!$A$1:$G$1,0))</f>
        <v>27.484999999999996</v>
      </c>
      <c r="P603" s="7">
        <f t="shared" si="9"/>
        <v>109.93999999999998</v>
      </c>
      <c r="Q603" t="str" cm="1">
        <f t="array" ref="Q603">_xlfn.IFS(L603="Rob","Robusta",L603="Exc", "Excelsa",L603="Ara", "Arabica",L603="Lib", "Liberica")</f>
        <v>Robusta</v>
      </c>
      <c r="R603" t="str" cm="1">
        <f t="array" ref="R603">_xlfn.IFS(M603="M","Medium",M603="L","Light",M603="D","Dark")</f>
        <v>Light</v>
      </c>
    </row>
    <row r="604" spans="1:18">
      <c r="A604" s="2" t="s">
        <v>1224</v>
      </c>
      <c r="B604" s="3">
        <v>43603</v>
      </c>
      <c r="C604" s="9">
        <f>YEAR(Orders_Table[[#This Row],[Order Date]])</f>
        <v>2019</v>
      </c>
      <c r="D604" s="9">
        <f>MONTH(Orders_Table[[#This Row],[Order Date]])</f>
        <v>5</v>
      </c>
      <c r="E604" s="9" t="str" cm="1">
        <f t="array" ref="E6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04" s="2" t="s">
        <v>1225</v>
      </c>
      <c r="G604" t="s">
        <v>301</v>
      </c>
      <c r="H604" s="2">
        <v>5</v>
      </c>
      <c r="I604" s="2" t="str" cm="1">
        <f t="array" ref="I604">_xlfn.XLOOKUP(F604,Customers!A603:$A$1001,Customers!B603:$B$1001,"Not Found",0)</f>
        <v>Emalee Rolin</v>
      </c>
      <c r="J604" s="2" t="str" cm="1">
        <f t="array" ref="J604">IF(_xlfn.XLOOKUP(F604,Customers!A603:$A$1001,Customers!C603:$C$1001,"Not Found",0)=0,"",_xlfn.XLOOKUP(F604,Customers!A603:$A$1001,Customers!C603:$C$1001,"Not Found",0))</f>
        <v>erolingq@google.fr</v>
      </c>
      <c r="K604" s="2" t="str" cm="1">
        <f t="array" ref="K604">_xlfn.XLOOKUP(F604,Customers!A603:$A$1001,Customers!G603:$G$1001,"Not Found",0)</f>
        <v>United States</v>
      </c>
      <c r="L604" t="str">
        <f>INDEX(Products!$A$1:$G$49,MATCH(Orders!$G604,Products!$A$1:$A$49,0),MATCH(Orders!L$1,Products!$A$1:$G$1,0))</f>
        <v>Exc</v>
      </c>
      <c r="M604" t="str">
        <f>INDEX(Products!$A$1:$G$49,MATCH(Orders!$G604,Products!$A$1:$A$49,0),MATCH(Orders!M$1,Products!$A$1:$G$1,0))</f>
        <v>L</v>
      </c>
      <c r="N604" s="4">
        <f>INDEX(Products!$A$1:$G$49,MATCH(Orders!$G604,Products!$A$1:$A$49,0),MATCH(Orders!N$1,Products!$A$1:$G$1,0))</f>
        <v>0.2</v>
      </c>
      <c r="O604" s="7">
        <f>INDEX(Products!$A$1:$G$49,MATCH(Orders!$G604,Products!$A$1:$A$49,0),MATCH(Orders!O$1,Products!$A$1:$G$1,0))</f>
        <v>4.4550000000000001</v>
      </c>
      <c r="P604" s="7">
        <f t="shared" si="9"/>
        <v>22.274999999999999</v>
      </c>
      <c r="Q604" t="str" cm="1">
        <f t="array" ref="Q604">_xlfn.IFS(L604="Rob","Robusta",L604="Exc", "Excelsa",L604="Ara", "Arabica",L604="Lib", "Liberica")</f>
        <v>Excelsa</v>
      </c>
      <c r="R604" t="str" cm="1">
        <f t="array" ref="R604">_xlfn.IFS(M604="M","Medium",M604="L","Light",M604="D","Dark")</f>
        <v>Light</v>
      </c>
    </row>
    <row r="605" spans="1:18">
      <c r="A605" s="2" t="s">
        <v>1226</v>
      </c>
      <c r="B605" s="3">
        <v>43660</v>
      </c>
      <c r="C605" s="9">
        <f>YEAR(Orders_Table[[#This Row],[Order Date]])</f>
        <v>2019</v>
      </c>
      <c r="D605" s="9">
        <f>MONTH(Orders_Table[[#This Row],[Order Date]])</f>
        <v>7</v>
      </c>
      <c r="E605" s="9" t="str" cm="1">
        <f t="array" ref="E6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05" s="2" t="s">
        <v>1227</v>
      </c>
      <c r="G605" t="s">
        <v>209</v>
      </c>
      <c r="H605" s="2">
        <v>3</v>
      </c>
      <c r="I605" s="2" t="str" cm="1">
        <f t="array" ref="I605">_xlfn.XLOOKUP(F605,Customers!A604:$A$1001,Customers!B604:$B$1001,"Not Found",0)</f>
        <v>Donavon Fowle</v>
      </c>
      <c r="J605" s="2" t="str" cm="1">
        <f t="array" ref="J605">IF(_xlfn.XLOOKUP(F605,Customers!A604:$A$1001,Customers!C604:$C$1001,"Not Found",0)=0,"",_xlfn.XLOOKUP(F605,Customers!A604:$A$1001,Customers!C604:$C$1001,"Not Found",0))</f>
        <v>dfowlegr@epa.gov</v>
      </c>
      <c r="K605" s="2" t="str" cm="1">
        <f t="array" ref="K605">_xlfn.XLOOKUP(F605,Customers!A604:$A$1001,Customers!G604:$G$1001,"Not Found",0)</f>
        <v>United States</v>
      </c>
      <c r="L605" t="str">
        <f>INDEX(Products!$A$1:$G$49,MATCH(Orders!$G605,Products!$A$1:$A$49,0),MATCH(Orders!L$1,Products!$A$1:$G$1,0))</f>
        <v>Rob</v>
      </c>
      <c r="M605" t="str">
        <f>INDEX(Products!$A$1:$G$49,MATCH(Orders!$G605,Products!$A$1:$A$49,0),MATCH(Orders!M$1,Products!$A$1:$G$1,0))</f>
        <v>M</v>
      </c>
      <c r="N605" s="4">
        <f>INDEX(Products!$A$1:$G$49,MATCH(Orders!$G605,Products!$A$1:$A$49,0),MATCH(Orders!N$1,Products!$A$1:$G$1,0))</f>
        <v>0.2</v>
      </c>
      <c r="O605" s="7">
        <f>INDEX(Products!$A$1:$G$49,MATCH(Orders!$G605,Products!$A$1:$A$49,0),MATCH(Orders!O$1,Products!$A$1:$G$1,0))</f>
        <v>2.9849999999999999</v>
      </c>
      <c r="P605" s="7">
        <f t="shared" si="9"/>
        <v>8.9550000000000001</v>
      </c>
      <c r="Q605" t="str" cm="1">
        <f t="array" ref="Q605">_xlfn.IFS(L605="Rob","Robusta",L605="Exc", "Excelsa",L605="Ara", "Arabica",L605="Lib", "Liberica")</f>
        <v>Robusta</v>
      </c>
      <c r="R605" t="str" cm="1">
        <f t="array" ref="R605">_xlfn.IFS(M605="M","Medium",M605="L","Light",M605="D","Dark")</f>
        <v>Medium</v>
      </c>
    </row>
    <row r="606" spans="1:18">
      <c r="A606" s="2" t="s">
        <v>1228</v>
      </c>
      <c r="B606" s="3">
        <v>44148</v>
      </c>
      <c r="C606" s="9">
        <f>YEAR(Orders_Table[[#This Row],[Order Date]])</f>
        <v>2020</v>
      </c>
      <c r="D606" s="9">
        <f>MONTH(Orders_Table[[#This Row],[Order Date]])</f>
        <v>11</v>
      </c>
      <c r="E606" s="9" t="str" cm="1">
        <f t="array" ref="E6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606" s="2" t="s">
        <v>1229</v>
      </c>
      <c r="G606" t="s">
        <v>156</v>
      </c>
      <c r="H606" s="2">
        <v>4</v>
      </c>
      <c r="I606" s="2" t="str" cm="1">
        <f t="array" ref="I606">_xlfn.XLOOKUP(F606,Customers!A605:$A$1001,Customers!B605:$B$1001,"Not Found",0)</f>
        <v>Jorge Bettison</v>
      </c>
      <c r="J606" s="2" t="str" cm="1">
        <f t="array" ref="J606">IF(_xlfn.XLOOKUP(F606,Customers!A605:$A$1001,Customers!C605:$C$1001,"Not Found",0)=0,"",_xlfn.XLOOKUP(F606,Customers!A605:$A$1001,Customers!C605:$C$1001,"Not Found",0))</f>
        <v/>
      </c>
      <c r="K606" s="2" t="str" cm="1">
        <f t="array" ref="K606">_xlfn.XLOOKUP(F606,Customers!A605:$A$1001,Customers!G605:$G$1001,"Not Found",0)</f>
        <v>Ireland</v>
      </c>
      <c r="L606" t="str">
        <f>INDEX(Products!$A$1:$G$49,MATCH(Orders!$G606,Products!$A$1:$A$49,0),MATCH(Orders!L$1,Products!$A$1:$G$1,0))</f>
        <v>Lib</v>
      </c>
      <c r="M606" t="str">
        <f>INDEX(Products!$A$1:$G$49,MATCH(Orders!$G606,Products!$A$1:$A$49,0),MATCH(Orders!M$1,Products!$A$1:$G$1,0))</f>
        <v>D</v>
      </c>
      <c r="N606" s="4">
        <f>INDEX(Products!$A$1:$G$49,MATCH(Orders!$G606,Products!$A$1:$A$49,0),MATCH(Orders!N$1,Products!$A$1:$G$1,0))</f>
        <v>2.5</v>
      </c>
      <c r="O606" s="7">
        <f>INDEX(Products!$A$1:$G$49,MATCH(Orders!$G606,Products!$A$1:$A$49,0),MATCH(Orders!O$1,Products!$A$1:$G$1,0))</f>
        <v>29.784999999999997</v>
      </c>
      <c r="P606" s="7">
        <f t="shared" si="9"/>
        <v>119.13999999999999</v>
      </c>
      <c r="Q606" t="str" cm="1">
        <f t="array" ref="Q606">_xlfn.IFS(L606="Rob","Robusta",L606="Exc", "Excelsa",L606="Ara", "Arabica",L606="Lib", "Liberica")</f>
        <v>Liberica</v>
      </c>
      <c r="R606" t="str" cm="1">
        <f t="array" ref="R606">_xlfn.IFS(M606="M","Medium",M606="L","Light",M606="D","Dark")</f>
        <v>Dark</v>
      </c>
    </row>
    <row r="607" spans="1:18">
      <c r="A607" s="2" t="s">
        <v>1230</v>
      </c>
      <c r="B607" s="3">
        <v>44028</v>
      </c>
      <c r="C607" s="9">
        <f>YEAR(Orders_Table[[#This Row],[Order Date]])</f>
        <v>2020</v>
      </c>
      <c r="D607" s="9">
        <f>MONTH(Orders_Table[[#This Row],[Order Date]])</f>
        <v>7</v>
      </c>
      <c r="E607" s="9" t="str" cm="1">
        <f t="array" ref="E6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07" s="2" t="s">
        <v>1231</v>
      </c>
      <c r="G607" t="s">
        <v>251</v>
      </c>
      <c r="H607" s="2">
        <v>5</v>
      </c>
      <c r="I607" s="2" t="str" cm="1">
        <f t="array" ref="I607">_xlfn.XLOOKUP(F607,Customers!A606:$A$1001,Customers!B606:$B$1001,"Not Found",0)</f>
        <v>Wang Powlesland</v>
      </c>
      <c r="J607" s="2" t="str" cm="1">
        <f t="array" ref="J607">IF(_xlfn.XLOOKUP(F607,Customers!A606:$A$1001,Customers!C606:$C$1001,"Not Found",0)=0,"",_xlfn.XLOOKUP(F607,Customers!A606:$A$1001,Customers!C606:$C$1001,"Not Found",0))</f>
        <v>wpowleslandgt@soundcloud.com</v>
      </c>
      <c r="K607" s="2" t="str" cm="1">
        <f t="array" ref="K607">_xlfn.XLOOKUP(F607,Customers!A606:$A$1001,Customers!G606:$G$1001,"Not Found",0)</f>
        <v>United States</v>
      </c>
      <c r="L607" t="str">
        <f>INDEX(Products!$A$1:$G$49,MATCH(Orders!$G607,Products!$A$1:$A$49,0),MATCH(Orders!L$1,Products!$A$1:$G$1,0))</f>
        <v>Ara</v>
      </c>
      <c r="M607" t="str">
        <f>INDEX(Products!$A$1:$G$49,MATCH(Orders!$G607,Products!$A$1:$A$49,0),MATCH(Orders!M$1,Products!$A$1:$G$1,0))</f>
        <v>L</v>
      </c>
      <c r="N607" s="4">
        <f>INDEX(Products!$A$1:$G$49,MATCH(Orders!$G607,Products!$A$1:$A$49,0),MATCH(Orders!N$1,Products!$A$1:$G$1,0))</f>
        <v>2.5</v>
      </c>
      <c r="O607" s="7">
        <f>INDEX(Products!$A$1:$G$49,MATCH(Orders!$G607,Products!$A$1:$A$49,0),MATCH(Orders!O$1,Products!$A$1:$G$1,0))</f>
        <v>29.784999999999997</v>
      </c>
      <c r="P607" s="7">
        <f t="shared" si="9"/>
        <v>148.92499999999998</v>
      </c>
      <c r="Q607" t="str" cm="1">
        <f t="array" ref="Q607">_xlfn.IFS(L607="Rob","Robusta",L607="Exc", "Excelsa",L607="Ara", "Arabica",L607="Lib", "Liberica")</f>
        <v>Arabica</v>
      </c>
      <c r="R607" t="str" cm="1">
        <f t="array" ref="R607">_xlfn.IFS(M607="M","Medium",M607="L","Light",M607="D","Dark")</f>
        <v>Light</v>
      </c>
    </row>
    <row r="608" spans="1:18">
      <c r="A608" s="2" t="s">
        <v>1232</v>
      </c>
      <c r="B608" s="3">
        <v>44138</v>
      </c>
      <c r="C608" s="9">
        <f>YEAR(Orders_Table[[#This Row],[Order Date]])</f>
        <v>2020</v>
      </c>
      <c r="D608" s="9">
        <f>MONTH(Orders_Table[[#This Row],[Order Date]])</f>
        <v>11</v>
      </c>
      <c r="E608" s="9" t="str" cm="1">
        <f t="array" ref="E6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608" s="2" t="s">
        <v>1192</v>
      </c>
      <c r="G608" t="s">
        <v>151</v>
      </c>
      <c r="H608" s="2">
        <v>3</v>
      </c>
      <c r="I608" s="2" t="str" cm="1">
        <f t="array" ref="I608">_xlfn.XLOOKUP(F608,Customers!A607:$A$1001,Customers!B607:$B$1001,"Not Found",0)</f>
        <v>Not Found</v>
      </c>
      <c r="J608" s="2" t="str" cm="1">
        <f t="array" ref="J608">IF(_xlfn.XLOOKUP(F608,Customers!A607:$A$1001,Customers!C607:$C$1001,"Not Found",0)=0,"",_xlfn.XLOOKUP(F608,Customers!A607:$A$1001,Customers!C607:$C$1001,"Not Found",0))</f>
        <v>Not Found</v>
      </c>
      <c r="K608" s="2" t="str" cm="1">
        <f t="array" ref="K608">_xlfn.XLOOKUP(F608,Customers!A607:$A$1001,Customers!G607:$G$1001,"Not Found",0)</f>
        <v>Not Found</v>
      </c>
      <c r="L608" t="str">
        <f>INDEX(Products!$A$1:$G$49,MATCH(Orders!$G608,Products!$A$1:$A$49,0),MATCH(Orders!L$1,Products!$A$1:$G$1,0))</f>
        <v>Lib</v>
      </c>
      <c r="M608" t="str">
        <f>INDEX(Products!$A$1:$G$49,MATCH(Orders!$G608,Products!$A$1:$A$49,0),MATCH(Orders!M$1,Products!$A$1:$G$1,0))</f>
        <v>L</v>
      </c>
      <c r="N608" s="4">
        <f>INDEX(Products!$A$1:$G$49,MATCH(Orders!$G608,Products!$A$1:$A$49,0),MATCH(Orders!N$1,Products!$A$1:$G$1,0))</f>
        <v>2.5</v>
      </c>
      <c r="O608" s="7">
        <f>INDEX(Products!$A$1:$G$49,MATCH(Orders!$G608,Products!$A$1:$A$49,0),MATCH(Orders!O$1,Products!$A$1:$G$1,0))</f>
        <v>36.454999999999998</v>
      </c>
      <c r="P608" s="7">
        <f t="shared" si="9"/>
        <v>109.36499999999999</v>
      </c>
      <c r="Q608" t="str" cm="1">
        <f t="array" ref="Q608">_xlfn.IFS(L608="Rob","Robusta",L608="Exc", "Excelsa",L608="Ara", "Arabica",L608="Lib", "Liberica")</f>
        <v>Liberica</v>
      </c>
      <c r="R608" t="str" cm="1">
        <f t="array" ref="R608">_xlfn.IFS(M608="M","Medium",M608="L","Light",M608="D","Dark")</f>
        <v>Light</v>
      </c>
    </row>
    <row r="609" spans="1:18">
      <c r="A609" s="2" t="s">
        <v>1233</v>
      </c>
      <c r="B609" s="3">
        <v>44640</v>
      </c>
      <c r="C609" s="9">
        <f>YEAR(Orders_Table[[#This Row],[Order Date]])</f>
        <v>2022</v>
      </c>
      <c r="D609" s="9">
        <f>MONTH(Orders_Table[[#This Row],[Order Date]])</f>
        <v>3</v>
      </c>
      <c r="E609" s="9" t="str" cm="1">
        <f t="array" ref="E6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09" s="2" t="s">
        <v>1234</v>
      </c>
      <c r="G609" t="s">
        <v>98</v>
      </c>
      <c r="H609" s="2">
        <v>1</v>
      </c>
      <c r="I609" s="2" t="str" cm="1">
        <f t="array" ref="I609">_xlfn.XLOOKUP(F609,Customers!A608:$A$1001,Customers!B608:$B$1001,"Not Found",0)</f>
        <v>Laurence Ellingham</v>
      </c>
      <c r="J609" s="2" t="str" cm="1">
        <f t="array" ref="J609">IF(_xlfn.XLOOKUP(F609,Customers!A608:$A$1001,Customers!C608:$C$1001,"Not Found",0)=0,"",_xlfn.XLOOKUP(F609,Customers!A608:$A$1001,Customers!C608:$C$1001,"Not Found",0))</f>
        <v>lellinghamgv@sciencedaily.com</v>
      </c>
      <c r="K609" s="2" t="str" cm="1">
        <f t="array" ref="K609">_xlfn.XLOOKUP(F609,Customers!A608:$A$1001,Customers!G608:$G$1001,"Not Found",0)</f>
        <v>United States</v>
      </c>
      <c r="L609" t="str">
        <f>INDEX(Products!$A$1:$G$49,MATCH(Orders!$G609,Products!$A$1:$A$49,0),MATCH(Orders!L$1,Products!$A$1:$G$1,0))</f>
        <v>Exc</v>
      </c>
      <c r="M609" t="str">
        <f>INDEX(Products!$A$1:$G$49,MATCH(Orders!$G609,Products!$A$1:$A$49,0),MATCH(Orders!M$1,Products!$A$1:$G$1,0))</f>
        <v>D</v>
      </c>
      <c r="N609" s="4">
        <f>INDEX(Products!$A$1:$G$49,MATCH(Orders!$G609,Products!$A$1:$A$49,0),MATCH(Orders!N$1,Products!$A$1:$G$1,0))</f>
        <v>0.2</v>
      </c>
      <c r="O609" s="7">
        <f>INDEX(Products!$A$1:$G$49,MATCH(Orders!$G609,Products!$A$1:$A$49,0),MATCH(Orders!O$1,Products!$A$1:$G$1,0))</f>
        <v>3.645</v>
      </c>
      <c r="P609" s="7">
        <f t="shared" si="9"/>
        <v>3.645</v>
      </c>
      <c r="Q609" t="str" cm="1">
        <f t="array" ref="Q609">_xlfn.IFS(L609="Rob","Robusta",L609="Exc", "Excelsa",L609="Ara", "Arabica",L609="Lib", "Liberica")</f>
        <v>Excelsa</v>
      </c>
      <c r="R609" t="str" cm="1">
        <f t="array" ref="R609">_xlfn.IFS(M609="M","Medium",M609="L","Light",M609="D","Dark")</f>
        <v>Dark</v>
      </c>
    </row>
    <row r="610" spans="1:18">
      <c r="A610" s="2" t="s">
        <v>1235</v>
      </c>
      <c r="B610" s="3">
        <v>44608</v>
      </c>
      <c r="C610" s="9">
        <f>YEAR(Orders_Table[[#This Row],[Order Date]])</f>
        <v>2022</v>
      </c>
      <c r="D610" s="9">
        <f>MONTH(Orders_Table[[#This Row],[Order Date]])</f>
        <v>2</v>
      </c>
      <c r="E610" s="9" t="str" cm="1">
        <f t="array" ref="E6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10" s="2" t="s">
        <v>1236</v>
      </c>
      <c r="G610" t="s">
        <v>577</v>
      </c>
      <c r="H610" s="2">
        <v>2</v>
      </c>
      <c r="I610" s="2" t="str" cm="1">
        <f t="array" ref="I610">_xlfn.XLOOKUP(F610,Customers!A609:$A$1001,Customers!B609:$B$1001,"Not Found",0)</f>
        <v>Billy Neiland</v>
      </c>
      <c r="J610" s="2" t="str" cm="1">
        <f t="array" ref="J610">IF(_xlfn.XLOOKUP(F610,Customers!A609:$A$1001,Customers!C609:$C$1001,"Not Found",0)=0,"",_xlfn.XLOOKUP(F610,Customers!A609:$A$1001,Customers!C609:$C$1001,"Not Found",0))</f>
        <v/>
      </c>
      <c r="K610" s="2" t="str" cm="1">
        <f t="array" ref="K610">_xlfn.XLOOKUP(F610,Customers!A609:$A$1001,Customers!G609:$G$1001,"Not Found",0)</f>
        <v>United States</v>
      </c>
      <c r="L610" t="str">
        <f>INDEX(Products!$A$1:$G$49,MATCH(Orders!$G610,Products!$A$1:$A$49,0),MATCH(Orders!L$1,Products!$A$1:$G$1,0))</f>
        <v>Exc</v>
      </c>
      <c r="M610" t="str">
        <f>INDEX(Products!$A$1:$G$49,MATCH(Orders!$G610,Products!$A$1:$A$49,0),MATCH(Orders!M$1,Products!$A$1:$G$1,0))</f>
        <v>D</v>
      </c>
      <c r="N610" s="4">
        <f>INDEX(Products!$A$1:$G$49,MATCH(Orders!$G610,Products!$A$1:$A$49,0),MATCH(Orders!N$1,Products!$A$1:$G$1,0))</f>
        <v>2.5</v>
      </c>
      <c r="O610" s="7">
        <f>INDEX(Products!$A$1:$G$49,MATCH(Orders!$G610,Products!$A$1:$A$49,0),MATCH(Orders!O$1,Products!$A$1:$G$1,0))</f>
        <v>27.945</v>
      </c>
      <c r="P610" s="7">
        <f t="shared" si="9"/>
        <v>55.89</v>
      </c>
      <c r="Q610" t="str" cm="1">
        <f t="array" ref="Q610">_xlfn.IFS(L610="Rob","Robusta",L610="Exc", "Excelsa",L610="Ara", "Arabica",L610="Lib", "Liberica")</f>
        <v>Excelsa</v>
      </c>
      <c r="R610" t="str" cm="1">
        <f t="array" ref="R610">_xlfn.IFS(M610="M","Medium",M610="L","Light",M610="D","Dark")</f>
        <v>Dark</v>
      </c>
    </row>
    <row r="611" spans="1:18">
      <c r="A611" s="2" t="s">
        <v>1237</v>
      </c>
      <c r="B611" s="3">
        <v>44147</v>
      </c>
      <c r="C611" s="9">
        <f>YEAR(Orders_Table[[#This Row],[Order Date]])</f>
        <v>2020</v>
      </c>
      <c r="D611" s="9">
        <f>MONTH(Orders_Table[[#This Row],[Order Date]])</f>
        <v>11</v>
      </c>
      <c r="E611" s="9" t="str" cm="1">
        <f t="array" ref="E6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611" s="2" t="s">
        <v>1238</v>
      </c>
      <c r="G611" t="s">
        <v>124</v>
      </c>
      <c r="H611" s="2">
        <v>6</v>
      </c>
      <c r="I611" s="2" t="str" cm="1">
        <f t="array" ref="I611">_xlfn.XLOOKUP(F611,Customers!A610:$A$1001,Customers!B610:$B$1001,"Not Found",0)</f>
        <v>Ancell Fendt</v>
      </c>
      <c r="J611" s="2" t="str" cm="1">
        <f t="array" ref="J611">IF(_xlfn.XLOOKUP(F611,Customers!A610:$A$1001,Customers!C610:$C$1001,"Not Found",0)=0,"",_xlfn.XLOOKUP(F611,Customers!A610:$A$1001,Customers!C610:$C$1001,"Not Found",0))</f>
        <v>afendtgx@forbes.com</v>
      </c>
      <c r="K611" s="2" t="str" cm="1">
        <f t="array" ref="K611">_xlfn.XLOOKUP(F611,Customers!A610:$A$1001,Customers!G610:$G$1001,"Not Found",0)</f>
        <v>United States</v>
      </c>
      <c r="L611" t="str">
        <f>INDEX(Products!$A$1:$G$49,MATCH(Orders!$G611,Products!$A$1:$A$49,0),MATCH(Orders!L$1,Products!$A$1:$G$1,0))</f>
        <v>Lib</v>
      </c>
      <c r="M611" t="str">
        <f>INDEX(Products!$A$1:$G$49,MATCH(Orders!$G611,Products!$A$1:$A$49,0),MATCH(Orders!M$1,Products!$A$1:$G$1,0))</f>
        <v>M</v>
      </c>
      <c r="N611" s="4">
        <f>INDEX(Products!$A$1:$G$49,MATCH(Orders!$G611,Products!$A$1:$A$49,0),MATCH(Orders!N$1,Products!$A$1:$G$1,0))</f>
        <v>0.2</v>
      </c>
      <c r="O611" s="7">
        <f>INDEX(Products!$A$1:$G$49,MATCH(Orders!$G611,Products!$A$1:$A$49,0),MATCH(Orders!O$1,Products!$A$1:$G$1,0))</f>
        <v>4.3650000000000002</v>
      </c>
      <c r="P611" s="7">
        <f t="shared" si="9"/>
        <v>26.19</v>
      </c>
      <c r="Q611" t="str" cm="1">
        <f t="array" ref="Q611">_xlfn.IFS(L611="Rob","Robusta",L611="Exc", "Excelsa",L611="Ara", "Arabica",L611="Lib", "Liberica")</f>
        <v>Liberica</v>
      </c>
      <c r="R611" t="str" cm="1">
        <f t="array" ref="R611">_xlfn.IFS(M611="M","Medium",M611="L","Light",M611="D","Dark")</f>
        <v>Medium</v>
      </c>
    </row>
    <row r="612" spans="1:18">
      <c r="A612" s="2" t="s">
        <v>1239</v>
      </c>
      <c r="B612" s="3">
        <v>43743</v>
      </c>
      <c r="C612" s="9">
        <f>YEAR(Orders_Table[[#This Row],[Order Date]])</f>
        <v>2019</v>
      </c>
      <c r="D612" s="9">
        <f>MONTH(Orders_Table[[#This Row],[Order Date]])</f>
        <v>10</v>
      </c>
      <c r="E612" s="9" t="str" cm="1">
        <f t="array" ref="E6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12" s="2" t="s">
        <v>1240</v>
      </c>
      <c r="G612" t="s">
        <v>49</v>
      </c>
      <c r="H612" s="2">
        <v>4</v>
      </c>
      <c r="I612" s="2" t="str" cm="1">
        <f t="array" ref="I612">_xlfn.XLOOKUP(F612,Customers!A611:$A$1001,Customers!B611:$B$1001,"Not Found",0)</f>
        <v>Angelia Cleyburn</v>
      </c>
      <c r="J612" s="2" t="str" cm="1">
        <f t="array" ref="J612">IF(_xlfn.XLOOKUP(F612,Customers!A611:$A$1001,Customers!C611:$C$1001,"Not Found",0)=0,"",_xlfn.XLOOKUP(F612,Customers!A611:$A$1001,Customers!C611:$C$1001,"Not Found",0))</f>
        <v>acleyburngy@lycos.com</v>
      </c>
      <c r="K612" s="2" t="str" cm="1">
        <f t="array" ref="K612">_xlfn.XLOOKUP(F612,Customers!A611:$A$1001,Customers!G611:$G$1001,"Not Found",0)</f>
        <v>United States</v>
      </c>
      <c r="L612" t="str">
        <f>INDEX(Products!$A$1:$G$49,MATCH(Orders!$G612,Products!$A$1:$A$49,0),MATCH(Orders!L$1,Products!$A$1:$G$1,0))</f>
        <v>Rob</v>
      </c>
      <c r="M612" t="str">
        <f>INDEX(Products!$A$1:$G$49,MATCH(Orders!$G612,Products!$A$1:$A$49,0),MATCH(Orders!M$1,Products!$A$1:$G$1,0))</f>
        <v>M</v>
      </c>
      <c r="N612" s="4">
        <f>INDEX(Products!$A$1:$G$49,MATCH(Orders!$G612,Products!$A$1:$A$49,0),MATCH(Orders!N$1,Products!$A$1:$G$1,0))</f>
        <v>1</v>
      </c>
      <c r="O612" s="7">
        <f>INDEX(Products!$A$1:$G$49,MATCH(Orders!$G612,Products!$A$1:$A$49,0),MATCH(Orders!O$1,Products!$A$1:$G$1,0))</f>
        <v>9.9499999999999993</v>
      </c>
      <c r="P612" s="7">
        <f t="shared" si="9"/>
        <v>39.799999999999997</v>
      </c>
      <c r="Q612" t="str" cm="1">
        <f t="array" ref="Q612">_xlfn.IFS(L612="Rob","Robusta",L612="Exc", "Excelsa",L612="Ara", "Arabica",L612="Lib", "Liberica")</f>
        <v>Robusta</v>
      </c>
      <c r="R612" t="str" cm="1">
        <f t="array" ref="R612">_xlfn.IFS(M612="M","Medium",M612="L","Light",M612="D","Dark")</f>
        <v>Medium</v>
      </c>
    </row>
    <row r="613" spans="1:18">
      <c r="A613" s="2" t="s">
        <v>1241</v>
      </c>
      <c r="B613" s="3">
        <v>43739</v>
      </c>
      <c r="C613" s="9">
        <f>YEAR(Orders_Table[[#This Row],[Order Date]])</f>
        <v>2019</v>
      </c>
      <c r="D613" s="9">
        <f>MONTH(Orders_Table[[#This Row],[Order Date]])</f>
        <v>10</v>
      </c>
      <c r="E613" s="9" t="str" cm="1">
        <f t="array" ref="E6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13" s="2" t="s">
        <v>1242</v>
      </c>
      <c r="G613" t="s">
        <v>77</v>
      </c>
      <c r="H613" s="2">
        <v>2</v>
      </c>
      <c r="I613" s="2" t="str" cm="1">
        <f t="array" ref="I613">_xlfn.XLOOKUP(F613,Customers!A612:$A$1001,Customers!B612:$B$1001,"Not Found",0)</f>
        <v>Temple Castiglione</v>
      </c>
      <c r="J613" s="2" t="str" cm="1">
        <f t="array" ref="J613">IF(_xlfn.XLOOKUP(F613,Customers!A612:$A$1001,Customers!C612:$C$1001,"Not Found",0)=0,"",_xlfn.XLOOKUP(F613,Customers!A612:$A$1001,Customers!C612:$C$1001,"Not Found",0))</f>
        <v>tcastiglionegz@xing.com</v>
      </c>
      <c r="K613" s="2" t="str" cm="1">
        <f t="array" ref="K613">_xlfn.XLOOKUP(F613,Customers!A612:$A$1001,Customers!G612:$G$1001,"Not Found",0)</f>
        <v>United States</v>
      </c>
      <c r="L613" t="str">
        <f>INDEX(Products!$A$1:$G$49,MATCH(Orders!$G613,Products!$A$1:$A$49,0),MATCH(Orders!L$1,Products!$A$1:$G$1,0))</f>
        <v>Exc</v>
      </c>
      <c r="M613" t="str">
        <f>INDEX(Products!$A$1:$G$49,MATCH(Orders!$G613,Products!$A$1:$A$49,0),MATCH(Orders!M$1,Products!$A$1:$G$1,0))</f>
        <v>L</v>
      </c>
      <c r="N613" s="4">
        <f>INDEX(Products!$A$1:$G$49,MATCH(Orders!$G613,Products!$A$1:$A$49,0),MATCH(Orders!N$1,Products!$A$1:$G$1,0))</f>
        <v>2.5</v>
      </c>
      <c r="O613" s="7">
        <f>INDEX(Products!$A$1:$G$49,MATCH(Orders!$G613,Products!$A$1:$A$49,0),MATCH(Orders!O$1,Products!$A$1:$G$1,0))</f>
        <v>34.154999999999994</v>
      </c>
      <c r="P613" s="7">
        <f t="shared" si="9"/>
        <v>68.309999999999988</v>
      </c>
      <c r="Q613" t="str" cm="1">
        <f t="array" ref="Q613">_xlfn.IFS(L613="Rob","Robusta",L613="Exc", "Excelsa",L613="Ara", "Arabica",L613="Lib", "Liberica")</f>
        <v>Excelsa</v>
      </c>
      <c r="R613" t="str" cm="1">
        <f t="array" ref="R613">_xlfn.IFS(M613="M","Medium",M613="L","Light",M613="D","Dark")</f>
        <v>Light</v>
      </c>
    </row>
    <row r="614" spans="1:18">
      <c r="A614" s="2" t="s">
        <v>1243</v>
      </c>
      <c r="B614" s="3">
        <v>43896</v>
      </c>
      <c r="C614" s="9">
        <f>YEAR(Orders_Table[[#This Row],[Order Date]])</f>
        <v>2020</v>
      </c>
      <c r="D614" s="9">
        <f>MONTH(Orders_Table[[#This Row],[Order Date]])</f>
        <v>3</v>
      </c>
      <c r="E614" s="9" t="str" cm="1">
        <f t="array" ref="E6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14" s="2" t="s">
        <v>1244</v>
      </c>
      <c r="G614" t="s">
        <v>91</v>
      </c>
      <c r="H614" s="2">
        <v>4</v>
      </c>
      <c r="I614" s="2" t="str" cm="1">
        <f t="array" ref="I614">_xlfn.XLOOKUP(F614,Customers!A613:$A$1001,Customers!B613:$B$1001,"Not Found",0)</f>
        <v>Betti Lacasa</v>
      </c>
      <c r="J614" s="2" t="str" cm="1">
        <f t="array" ref="J614">IF(_xlfn.XLOOKUP(F614,Customers!A613:$A$1001,Customers!C613:$C$1001,"Not Found",0)=0,"",_xlfn.XLOOKUP(F614,Customers!A613:$A$1001,Customers!C613:$C$1001,"Not Found",0))</f>
        <v/>
      </c>
      <c r="K614" s="2" t="str" cm="1">
        <f t="array" ref="K614">_xlfn.XLOOKUP(F614,Customers!A613:$A$1001,Customers!G613:$G$1001,"Not Found",0)</f>
        <v>Ireland</v>
      </c>
      <c r="L614" t="str">
        <f>INDEX(Products!$A$1:$G$49,MATCH(Orders!$G614,Products!$A$1:$A$49,0),MATCH(Orders!L$1,Products!$A$1:$G$1,0))</f>
        <v>Ara</v>
      </c>
      <c r="M614" t="str">
        <f>INDEX(Products!$A$1:$G$49,MATCH(Orders!$G614,Products!$A$1:$A$49,0),MATCH(Orders!M$1,Products!$A$1:$G$1,0))</f>
        <v>M</v>
      </c>
      <c r="N614" s="4">
        <f>INDEX(Products!$A$1:$G$49,MATCH(Orders!$G614,Products!$A$1:$A$49,0),MATCH(Orders!N$1,Products!$A$1:$G$1,0))</f>
        <v>0.2</v>
      </c>
      <c r="O614" s="7">
        <f>INDEX(Products!$A$1:$G$49,MATCH(Orders!$G614,Products!$A$1:$A$49,0),MATCH(Orders!O$1,Products!$A$1:$G$1,0))</f>
        <v>3.375</v>
      </c>
      <c r="P614" s="7">
        <f t="shared" si="9"/>
        <v>13.5</v>
      </c>
      <c r="Q614" t="str" cm="1">
        <f t="array" ref="Q614">_xlfn.IFS(L614="Rob","Robusta",L614="Exc", "Excelsa",L614="Ara", "Arabica",L614="Lib", "Liberica")</f>
        <v>Arabica</v>
      </c>
      <c r="R614" t="str" cm="1">
        <f t="array" ref="R614">_xlfn.IFS(M614="M","Medium",M614="L","Light",M614="D","Dark")</f>
        <v>Medium</v>
      </c>
    </row>
    <row r="615" spans="1:18">
      <c r="A615" s="2" t="s">
        <v>1245</v>
      </c>
      <c r="B615" s="3">
        <v>43761</v>
      </c>
      <c r="C615" s="9">
        <f>YEAR(Orders_Table[[#This Row],[Order Date]])</f>
        <v>2019</v>
      </c>
      <c r="D615" s="9">
        <f>MONTH(Orders_Table[[#This Row],[Order Date]])</f>
        <v>10</v>
      </c>
      <c r="E615" s="9" t="str" cm="1">
        <f t="array" ref="E6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15" s="2" t="s">
        <v>1246</v>
      </c>
      <c r="G615" t="s">
        <v>69</v>
      </c>
      <c r="H615" s="2">
        <v>1</v>
      </c>
      <c r="I615" s="2" t="str" cm="1">
        <f t="array" ref="I615">_xlfn.XLOOKUP(F615,Customers!A614:$A$1001,Customers!B614:$B$1001,"Not Found",0)</f>
        <v>Gunilla Lynch</v>
      </c>
      <c r="J615" s="2" t="str" cm="1">
        <f t="array" ref="J615">IF(_xlfn.XLOOKUP(F615,Customers!A614:$A$1001,Customers!C614:$C$1001,"Not Found",0)=0,"",_xlfn.XLOOKUP(F615,Customers!A614:$A$1001,Customers!C614:$C$1001,"Not Found",0))</f>
        <v/>
      </c>
      <c r="K615" s="2" t="str" cm="1">
        <f t="array" ref="K615">_xlfn.XLOOKUP(F615,Customers!A614:$A$1001,Customers!G614:$G$1001,"Not Found",0)</f>
        <v>United States</v>
      </c>
      <c r="L615" t="str">
        <f>INDEX(Products!$A$1:$G$49,MATCH(Orders!$G615,Products!$A$1:$A$49,0),MATCH(Orders!L$1,Products!$A$1:$G$1,0))</f>
        <v>Rob</v>
      </c>
      <c r="M615" t="str">
        <f>INDEX(Products!$A$1:$G$49,MATCH(Orders!$G615,Products!$A$1:$A$49,0),MATCH(Orders!M$1,Products!$A$1:$G$1,0))</f>
        <v>M</v>
      </c>
      <c r="N615" s="4">
        <f>INDEX(Products!$A$1:$G$49,MATCH(Orders!$G615,Products!$A$1:$A$49,0),MATCH(Orders!N$1,Products!$A$1:$G$1,0))</f>
        <v>0.5</v>
      </c>
      <c r="O615" s="7">
        <f>INDEX(Products!$A$1:$G$49,MATCH(Orders!$G615,Products!$A$1:$A$49,0),MATCH(Orders!O$1,Products!$A$1:$G$1,0))</f>
        <v>5.97</v>
      </c>
      <c r="P615" s="7">
        <f t="shared" si="9"/>
        <v>5.97</v>
      </c>
      <c r="Q615" t="str" cm="1">
        <f t="array" ref="Q615">_xlfn.IFS(L615="Rob","Robusta",L615="Exc", "Excelsa",L615="Ara", "Arabica",L615="Lib", "Liberica")</f>
        <v>Robusta</v>
      </c>
      <c r="R615" t="str" cm="1">
        <f t="array" ref="R615">_xlfn.IFS(M615="M","Medium",M615="L","Light",M615="D","Dark")</f>
        <v>Medium</v>
      </c>
    </row>
    <row r="616" spans="1:18">
      <c r="A616" s="2" t="s">
        <v>1247</v>
      </c>
      <c r="B616" s="3">
        <v>43944</v>
      </c>
      <c r="C616" s="9">
        <f>YEAR(Orders_Table[[#This Row],[Order Date]])</f>
        <v>2020</v>
      </c>
      <c r="D616" s="9">
        <f>MONTH(Orders_Table[[#This Row],[Order Date]])</f>
        <v>4</v>
      </c>
      <c r="E616" s="9" t="str" cm="1">
        <f t="array" ref="E6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16" s="2" t="s">
        <v>1192</v>
      </c>
      <c r="G616" t="s">
        <v>69</v>
      </c>
      <c r="H616" s="2">
        <v>5</v>
      </c>
      <c r="I616" s="2" t="str" cm="1">
        <f t="array" ref="I616">_xlfn.XLOOKUP(F616,Customers!A615:$A$1001,Customers!B615:$B$1001,"Not Found",0)</f>
        <v>Not Found</v>
      </c>
      <c r="J616" s="2" t="str" cm="1">
        <f t="array" ref="J616">IF(_xlfn.XLOOKUP(F616,Customers!A615:$A$1001,Customers!C615:$C$1001,"Not Found",0)=0,"",_xlfn.XLOOKUP(F616,Customers!A615:$A$1001,Customers!C615:$C$1001,"Not Found",0))</f>
        <v>Not Found</v>
      </c>
      <c r="K616" s="2" t="str" cm="1">
        <f t="array" ref="K616">_xlfn.XLOOKUP(F616,Customers!A615:$A$1001,Customers!G615:$G$1001,"Not Found",0)</f>
        <v>Not Found</v>
      </c>
      <c r="L616" t="str">
        <f>INDEX(Products!$A$1:$G$49,MATCH(Orders!$G616,Products!$A$1:$A$49,0),MATCH(Orders!L$1,Products!$A$1:$G$1,0))</f>
        <v>Rob</v>
      </c>
      <c r="M616" t="str">
        <f>INDEX(Products!$A$1:$G$49,MATCH(Orders!$G616,Products!$A$1:$A$49,0),MATCH(Orders!M$1,Products!$A$1:$G$1,0))</f>
        <v>M</v>
      </c>
      <c r="N616" s="4">
        <f>INDEX(Products!$A$1:$G$49,MATCH(Orders!$G616,Products!$A$1:$A$49,0),MATCH(Orders!N$1,Products!$A$1:$G$1,0))</f>
        <v>0.5</v>
      </c>
      <c r="O616" s="7">
        <f>INDEX(Products!$A$1:$G$49,MATCH(Orders!$G616,Products!$A$1:$A$49,0),MATCH(Orders!O$1,Products!$A$1:$G$1,0))</f>
        <v>5.97</v>
      </c>
      <c r="P616" s="7">
        <f t="shared" si="9"/>
        <v>29.849999999999998</v>
      </c>
      <c r="Q616" t="str" cm="1">
        <f t="array" ref="Q616">_xlfn.IFS(L616="Rob","Robusta",L616="Exc", "Excelsa",L616="Ara", "Arabica",L616="Lib", "Liberica")</f>
        <v>Robusta</v>
      </c>
      <c r="R616" t="str" cm="1">
        <f t="array" ref="R616">_xlfn.IFS(M616="M","Medium",M616="L","Light",M616="D","Dark")</f>
        <v>Medium</v>
      </c>
    </row>
    <row r="617" spans="1:18">
      <c r="A617" s="2" t="s">
        <v>1248</v>
      </c>
      <c r="B617" s="3">
        <v>44006</v>
      </c>
      <c r="C617" s="9">
        <f>YEAR(Orders_Table[[#This Row],[Order Date]])</f>
        <v>2020</v>
      </c>
      <c r="D617" s="9">
        <f>MONTH(Orders_Table[[#This Row],[Order Date]])</f>
        <v>6</v>
      </c>
      <c r="E617" s="9" t="str" cm="1">
        <f t="array" ref="E6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17" s="2" t="s">
        <v>1249</v>
      </c>
      <c r="G617" t="s">
        <v>151</v>
      </c>
      <c r="H617" s="2">
        <v>2</v>
      </c>
      <c r="I617" s="2" t="str" cm="1">
        <f t="array" ref="I617">_xlfn.XLOOKUP(F617,Customers!A616:$A$1001,Customers!B616:$B$1001,"Not Found",0)</f>
        <v>Shay Couronne</v>
      </c>
      <c r="J617" s="2" t="str" cm="1">
        <f t="array" ref="J617">IF(_xlfn.XLOOKUP(F617,Customers!A616:$A$1001,Customers!C616:$C$1001,"Not Found",0)=0,"",_xlfn.XLOOKUP(F617,Customers!A616:$A$1001,Customers!C616:$C$1001,"Not Found",0))</f>
        <v>scouronneh3@mozilla.org</v>
      </c>
      <c r="K617" s="2" t="str" cm="1">
        <f t="array" ref="K617">_xlfn.XLOOKUP(F617,Customers!A616:$A$1001,Customers!G616:$G$1001,"Not Found",0)</f>
        <v>United States</v>
      </c>
      <c r="L617" t="str">
        <f>INDEX(Products!$A$1:$G$49,MATCH(Orders!$G617,Products!$A$1:$A$49,0),MATCH(Orders!L$1,Products!$A$1:$G$1,0))</f>
        <v>Lib</v>
      </c>
      <c r="M617" t="str">
        <f>INDEX(Products!$A$1:$G$49,MATCH(Orders!$G617,Products!$A$1:$A$49,0),MATCH(Orders!M$1,Products!$A$1:$G$1,0))</f>
        <v>L</v>
      </c>
      <c r="N617" s="4">
        <f>INDEX(Products!$A$1:$G$49,MATCH(Orders!$G617,Products!$A$1:$A$49,0),MATCH(Orders!N$1,Products!$A$1:$G$1,0))</f>
        <v>2.5</v>
      </c>
      <c r="O617" s="7">
        <f>INDEX(Products!$A$1:$G$49,MATCH(Orders!$G617,Products!$A$1:$A$49,0),MATCH(Orders!O$1,Products!$A$1:$G$1,0))</f>
        <v>36.454999999999998</v>
      </c>
      <c r="P617" s="7">
        <f t="shared" si="9"/>
        <v>72.91</v>
      </c>
      <c r="Q617" t="str" cm="1">
        <f t="array" ref="Q617">_xlfn.IFS(L617="Rob","Robusta",L617="Exc", "Excelsa",L617="Ara", "Arabica",L617="Lib", "Liberica")</f>
        <v>Liberica</v>
      </c>
      <c r="R617" t="str" cm="1">
        <f t="array" ref="R617">_xlfn.IFS(M617="M","Medium",M617="L","Light",M617="D","Dark")</f>
        <v>Light</v>
      </c>
    </row>
    <row r="618" spans="1:18">
      <c r="A618" s="2" t="s">
        <v>1250</v>
      </c>
      <c r="B618" s="3">
        <v>44271</v>
      </c>
      <c r="C618" s="9">
        <f>YEAR(Orders_Table[[#This Row],[Order Date]])</f>
        <v>2021</v>
      </c>
      <c r="D618" s="9">
        <f>MONTH(Orders_Table[[#This Row],[Order Date]])</f>
        <v>3</v>
      </c>
      <c r="E618" s="9" t="str" cm="1">
        <f t="array" ref="E6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18" s="2" t="s">
        <v>1251</v>
      </c>
      <c r="G618" t="s">
        <v>159</v>
      </c>
      <c r="H618" s="2">
        <v>4</v>
      </c>
      <c r="I618" s="2" t="str" cm="1">
        <f t="array" ref="I618">_xlfn.XLOOKUP(F618,Customers!A617:$A$1001,Customers!B617:$B$1001,"Not Found",0)</f>
        <v>Linus Flippelli</v>
      </c>
      <c r="J618" s="2" t="str" cm="1">
        <f t="array" ref="J618">IF(_xlfn.XLOOKUP(F618,Customers!A617:$A$1001,Customers!C617:$C$1001,"Not Found",0)=0,"",_xlfn.XLOOKUP(F618,Customers!A617:$A$1001,Customers!C617:$C$1001,"Not Found",0))</f>
        <v>lflippellih4@github.io</v>
      </c>
      <c r="K618" s="2" t="str" cm="1">
        <f t="array" ref="K618">_xlfn.XLOOKUP(F618,Customers!A617:$A$1001,Customers!G617:$G$1001,"Not Found",0)</f>
        <v>United Kingdom</v>
      </c>
      <c r="L618" t="str">
        <f>INDEX(Products!$A$1:$G$49,MATCH(Orders!$G618,Products!$A$1:$A$49,0),MATCH(Orders!L$1,Products!$A$1:$G$1,0))</f>
        <v>Exc</v>
      </c>
      <c r="M618" t="str">
        <f>INDEX(Products!$A$1:$G$49,MATCH(Orders!$G618,Products!$A$1:$A$49,0),MATCH(Orders!M$1,Products!$A$1:$G$1,0))</f>
        <v>M</v>
      </c>
      <c r="N618" s="4">
        <f>INDEX(Products!$A$1:$G$49,MATCH(Orders!$G618,Products!$A$1:$A$49,0),MATCH(Orders!N$1,Products!$A$1:$G$1,0))</f>
        <v>2.5</v>
      </c>
      <c r="O618" s="7">
        <f>INDEX(Products!$A$1:$G$49,MATCH(Orders!$G618,Products!$A$1:$A$49,0),MATCH(Orders!O$1,Products!$A$1:$G$1,0))</f>
        <v>31.624999999999996</v>
      </c>
      <c r="P618" s="7">
        <f t="shared" si="9"/>
        <v>126.49999999999999</v>
      </c>
      <c r="Q618" t="str" cm="1">
        <f t="array" ref="Q618">_xlfn.IFS(L618="Rob","Robusta",L618="Exc", "Excelsa",L618="Ara", "Arabica",L618="Lib", "Liberica")</f>
        <v>Excelsa</v>
      </c>
      <c r="R618" t="str" cm="1">
        <f t="array" ref="R618">_xlfn.IFS(M618="M","Medium",M618="L","Light",M618="D","Dark")</f>
        <v>Medium</v>
      </c>
    </row>
    <row r="619" spans="1:18">
      <c r="A619" s="2" t="s">
        <v>1252</v>
      </c>
      <c r="B619" s="3">
        <v>43928</v>
      </c>
      <c r="C619" s="9">
        <f>YEAR(Orders_Table[[#This Row],[Order Date]])</f>
        <v>2020</v>
      </c>
      <c r="D619" s="9">
        <f>MONTH(Orders_Table[[#This Row],[Order Date]])</f>
        <v>4</v>
      </c>
      <c r="E619" s="9" t="str" cm="1">
        <f t="array" ref="E6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19" s="2" t="s">
        <v>1253</v>
      </c>
      <c r="G619" t="s">
        <v>244</v>
      </c>
      <c r="H619" s="2">
        <v>1</v>
      </c>
      <c r="I619" s="2" t="str" cm="1">
        <f t="array" ref="I619">_xlfn.XLOOKUP(F619,Customers!A618:$A$1001,Customers!B618:$B$1001,"Not Found",0)</f>
        <v>Rachelle Elizabeth</v>
      </c>
      <c r="J619" s="2" t="str" cm="1">
        <f t="array" ref="J619">IF(_xlfn.XLOOKUP(F619,Customers!A618:$A$1001,Customers!C618:$C$1001,"Not Found",0)=0,"",_xlfn.XLOOKUP(F619,Customers!A618:$A$1001,Customers!C618:$C$1001,"Not Found",0))</f>
        <v>relizabethh5@live.com</v>
      </c>
      <c r="K619" s="2" t="str" cm="1">
        <f t="array" ref="K619">_xlfn.XLOOKUP(F619,Customers!A618:$A$1001,Customers!G618:$G$1001,"Not Found",0)</f>
        <v>United States</v>
      </c>
      <c r="L619" t="str">
        <f>INDEX(Products!$A$1:$G$49,MATCH(Orders!$G619,Products!$A$1:$A$49,0),MATCH(Orders!L$1,Products!$A$1:$G$1,0))</f>
        <v>Lib</v>
      </c>
      <c r="M619" t="str">
        <f>INDEX(Products!$A$1:$G$49,MATCH(Orders!$G619,Products!$A$1:$A$49,0),MATCH(Orders!M$1,Products!$A$1:$G$1,0))</f>
        <v>M</v>
      </c>
      <c r="N619" s="4">
        <f>INDEX(Products!$A$1:$G$49,MATCH(Orders!$G619,Products!$A$1:$A$49,0),MATCH(Orders!N$1,Products!$A$1:$G$1,0))</f>
        <v>2.5</v>
      </c>
      <c r="O619" s="7">
        <f>INDEX(Products!$A$1:$G$49,MATCH(Orders!$G619,Products!$A$1:$A$49,0),MATCH(Orders!O$1,Products!$A$1:$G$1,0))</f>
        <v>33.464999999999996</v>
      </c>
      <c r="P619" s="7">
        <f t="shared" si="9"/>
        <v>33.464999999999996</v>
      </c>
      <c r="Q619" t="str" cm="1">
        <f t="array" ref="Q619">_xlfn.IFS(L619="Rob","Robusta",L619="Exc", "Excelsa",L619="Ara", "Arabica",L619="Lib", "Liberica")</f>
        <v>Liberica</v>
      </c>
      <c r="R619" t="str" cm="1">
        <f t="array" ref="R619">_xlfn.IFS(M619="M","Medium",M619="L","Light",M619="D","Dark")</f>
        <v>Medium</v>
      </c>
    </row>
    <row r="620" spans="1:18">
      <c r="A620" s="2" t="s">
        <v>1254</v>
      </c>
      <c r="B620" s="3">
        <v>44469</v>
      </c>
      <c r="C620" s="9">
        <f>YEAR(Orders_Table[[#This Row],[Order Date]])</f>
        <v>2021</v>
      </c>
      <c r="D620" s="9">
        <f>MONTH(Orders_Table[[#This Row],[Order Date]])</f>
        <v>9</v>
      </c>
      <c r="E620" s="9" t="str" cm="1">
        <f t="array" ref="E6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20" s="2" t="s">
        <v>1255</v>
      </c>
      <c r="G620" t="s">
        <v>292</v>
      </c>
      <c r="H620" s="2">
        <v>6</v>
      </c>
      <c r="I620" s="2" t="str" cm="1">
        <f t="array" ref="I620">_xlfn.XLOOKUP(F620,Customers!A619:$A$1001,Customers!B619:$B$1001,"Not Found",0)</f>
        <v>Innis Renhard</v>
      </c>
      <c r="J620" s="2" t="str" cm="1">
        <f t="array" ref="J620">IF(_xlfn.XLOOKUP(F620,Customers!A619:$A$1001,Customers!C619:$C$1001,"Not Found",0)=0,"",_xlfn.XLOOKUP(F620,Customers!A619:$A$1001,Customers!C619:$C$1001,"Not Found",0))</f>
        <v>irenhardh6@i2i.jp</v>
      </c>
      <c r="K620" s="2" t="str" cm="1">
        <f t="array" ref="K620">_xlfn.XLOOKUP(F620,Customers!A619:$A$1001,Customers!G619:$G$1001,"Not Found",0)</f>
        <v>United States</v>
      </c>
      <c r="L620" t="str">
        <f>INDEX(Products!$A$1:$G$49,MATCH(Orders!$G620,Products!$A$1:$A$49,0),MATCH(Orders!L$1,Products!$A$1:$G$1,0))</f>
        <v>Exc</v>
      </c>
      <c r="M620" t="str">
        <f>INDEX(Products!$A$1:$G$49,MATCH(Orders!$G620,Products!$A$1:$A$49,0),MATCH(Orders!M$1,Products!$A$1:$G$1,0))</f>
        <v>D</v>
      </c>
      <c r="N620" s="4">
        <f>INDEX(Products!$A$1:$G$49,MATCH(Orders!$G620,Products!$A$1:$A$49,0),MATCH(Orders!N$1,Products!$A$1:$G$1,0))</f>
        <v>1</v>
      </c>
      <c r="O620" s="7">
        <f>INDEX(Products!$A$1:$G$49,MATCH(Orders!$G620,Products!$A$1:$A$49,0),MATCH(Orders!O$1,Products!$A$1:$G$1,0))</f>
        <v>12.15</v>
      </c>
      <c r="P620" s="7">
        <f t="shared" si="9"/>
        <v>72.900000000000006</v>
      </c>
      <c r="Q620" t="str" cm="1">
        <f t="array" ref="Q620">_xlfn.IFS(L620="Rob","Robusta",L620="Exc", "Excelsa",L620="Ara", "Arabica",L620="Lib", "Liberica")</f>
        <v>Excelsa</v>
      </c>
      <c r="R620" t="str" cm="1">
        <f t="array" ref="R620">_xlfn.IFS(M620="M","Medium",M620="L","Light",M620="D","Dark")</f>
        <v>Dark</v>
      </c>
    </row>
    <row r="621" spans="1:18">
      <c r="A621" s="2" t="s">
        <v>1256</v>
      </c>
      <c r="B621" s="3">
        <v>44682</v>
      </c>
      <c r="C621" s="9">
        <f>YEAR(Orders_Table[[#This Row],[Order Date]])</f>
        <v>2022</v>
      </c>
      <c r="D621" s="9">
        <f>MONTH(Orders_Table[[#This Row],[Order Date]])</f>
        <v>5</v>
      </c>
      <c r="E621" s="9" t="str" cm="1">
        <f t="array" ref="E6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21" s="2" t="s">
        <v>1257</v>
      </c>
      <c r="G621" t="s">
        <v>170</v>
      </c>
      <c r="H621" s="2">
        <v>2</v>
      </c>
      <c r="I621" s="2" t="str" cm="1">
        <f t="array" ref="I621">_xlfn.XLOOKUP(F621,Customers!A620:$A$1001,Customers!B620:$B$1001,"Not Found",0)</f>
        <v>Winne Roche</v>
      </c>
      <c r="J621" s="2" t="str" cm="1">
        <f t="array" ref="J621">IF(_xlfn.XLOOKUP(F621,Customers!A620:$A$1001,Customers!C620:$C$1001,"Not Found",0)=0,"",_xlfn.XLOOKUP(F621,Customers!A620:$A$1001,Customers!C620:$C$1001,"Not Found",0))</f>
        <v>wrocheh7@xinhuanet.com</v>
      </c>
      <c r="K621" s="2" t="str" cm="1">
        <f t="array" ref="K621">_xlfn.XLOOKUP(F621,Customers!A620:$A$1001,Customers!G620:$G$1001,"Not Found",0)</f>
        <v>United States</v>
      </c>
      <c r="L621" t="str">
        <f>INDEX(Products!$A$1:$G$49,MATCH(Orders!$G621,Products!$A$1:$A$49,0),MATCH(Orders!L$1,Products!$A$1:$G$1,0))</f>
        <v>Lib</v>
      </c>
      <c r="M621" t="str">
        <f>INDEX(Products!$A$1:$G$49,MATCH(Orders!$G621,Products!$A$1:$A$49,0),MATCH(Orders!M$1,Products!$A$1:$G$1,0))</f>
        <v>D</v>
      </c>
      <c r="N621" s="4">
        <f>INDEX(Products!$A$1:$G$49,MATCH(Orders!$G621,Products!$A$1:$A$49,0),MATCH(Orders!N$1,Products!$A$1:$G$1,0))</f>
        <v>0.5</v>
      </c>
      <c r="O621" s="7">
        <f>INDEX(Products!$A$1:$G$49,MATCH(Orders!$G621,Products!$A$1:$A$49,0),MATCH(Orders!O$1,Products!$A$1:$G$1,0))</f>
        <v>7.77</v>
      </c>
      <c r="P621" s="7">
        <f t="shared" si="9"/>
        <v>15.54</v>
      </c>
      <c r="Q621" t="str" cm="1">
        <f t="array" ref="Q621">_xlfn.IFS(L621="Rob","Robusta",L621="Exc", "Excelsa",L621="Ara", "Arabica",L621="Lib", "Liberica")</f>
        <v>Liberica</v>
      </c>
      <c r="R621" t="str" cm="1">
        <f t="array" ref="R621">_xlfn.IFS(M621="M","Medium",M621="L","Light",M621="D","Dark")</f>
        <v>Dark</v>
      </c>
    </row>
    <row r="622" spans="1:18">
      <c r="A622" s="2" t="s">
        <v>1258</v>
      </c>
      <c r="B622" s="3">
        <v>44217</v>
      </c>
      <c r="C622" s="9">
        <f>YEAR(Orders_Table[[#This Row],[Order Date]])</f>
        <v>2021</v>
      </c>
      <c r="D622" s="9">
        <f>MONTH(Orders_Table[[#This Row],[Order Date]])</f>
        <v>1</v>
      </c>
      <c r="E622" s="9" t="str" cm="1">
        <f t="array" ref="E6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22" s="2" t="s">
        <v>1259</v>
      </c>
      <c r="G622" t="s">
        <v>91</v>
      </c>
      <c r="H622" s="2">
        <v>6</v>
      </c>
      <c r="I622" s="2" t="str" cm="1">
        <f t="array" ref="I622">_xlfn.XLOOKUP(F622,Customers!A621:$A$1001,Customers!B621:$B$1001,"Not Found",0)</f>
        <v>Linn Alaway</v>
      </c>
      <c r="J622" s="2" t="str" cm="1">
        <f t="array" ref="J622">IF(_xlfn.XLOOKUP(F622,Customers!A621:$A$1001,Customers!C621:$C$1001,"Not Found",0)=0,"",_xlfn.XLOOKUP(F622,Customers!A621:$A$1001,Customers!C621:$C$1001,"Not Found",0))</f>
        <v>lalawayhh@weather.com</v>
      </c>
      <c r="K622" s="2" t="str" cm="1">
        <f t="array" ref="K622">_xlfn.XLOOKUP(F622,Customers!A621:$A$1001,Customers!G621:$G$1001,"Not Found",0)</f>
        <v>United States</v>
      </c>
      <c r="L622" t="str">
        <f>INDEX(Products!$A$1:$G$49,MATCH(Orders!$G622,Products!$A$1:$A$49,0),MATCH(Orders!L$1,Products!$A$1:$G$1,0))</f>
        <v>Ara</v>
      </c>
      <c r="M622" t="str">
        <f>INDEX(Products!$A$1:$G$49,MATCH(Orders!$G622,Products!$A$1:$A$49,0),MATCH(Orders!M$1,Products!$A$1:$G$1,0))</f>
        <v>M</v>
      </c>
      <c r="N622" s="4">
        <f>INDEX(Products!$A$1:$G$49,MATCH(Orders!$G622,Products!$A$1:$A$49,0),MATCH(Orders!N$1,Products!$A$1:$G$1,0))</f>
        <v>0.2</v>
      </c>
      <c r="O622" s="7">
        <f>INDEX(Products!$A$1:$G$49,MATCH(Orders!$G622,Products!$A$1:$A$49,0),MATCH(Orders!O$1,Products!$A$1:$G$1,0))</f>
        <v>3.375</v>
      </c>
      <c r="P622" s="7">
        <f t="shared" si="9"/>
        <v>20.25</v>
      </c>
      <c r="Q622" t="str" cm="1">
        <f t="array" ref="Q622">_xlfn.IFS(L622="Rob","Robusta",L622="Exc", "Excelsa",L622="Ara", "Arabica",L622="Lib", "Liberica")</f>
        <v>Arabica</v>
      </c>
      <c r="R622" t="str" cm="1">
        <f t="array" ref="R622">_xlfn.IFS(M622="M","Medium",M622="L","Light",M622="D","Dark")</f>
        <v>Medium</v>
      </c>
    </row>
    <row r="623" spans="1:18">
      <c r="A623" s="2" t="s">
        <v>1260</v>
      </c>
      <c r="B623" s="3">
        <v>44006</v>
      </c>
      <c r="C623" s="9">
        <f>YEAR(Orders_Table[[#This Row],[Order Date]])</f>
        <v>2020</v>
      </c>
      <c r="D623" s="9">
        <f>MONTH(Orders_Table[[#This Row],[Order Date]])</f>
        <v>6</v>
      </c>
      <c r="E623" s="9" t="str" cm="1">
        <f t="array" ref="E6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23" s="2" t="s">
        <v>1261</v>
      </c>
      <c r="G623" t="s">
        <v>53</v>
      </c>
      <c r="H623" s="2">
        <v>6</v>
      </c>
      <c r="I623" s="2" t="str" cm="1">
        <f t="array" ref="I623">_xlfn.XLOOKUP(F623,Customers!A622:$A$1001,Customers!B622:$B$1001,"Not Found",0)</f>
        <v>Cordy Odgaard</v>
      </c>
      <c r="J623" s="2" t="str" cm="1">
        <f t="array" ref="J623">IF(_xlfn.XLOOKUP(F623,Customers!A622:$A$1001,Customers!C622:$C$1001,"Not Found",0)=0,"",_xlfn.XLOOKUP(F623,Customers!A622:$A$1001,Customers!C622:$C$1001,"Not Found",0))</f>
        <v>codgaardh9@nsw.gov.au</v>
      </c>
      <c r="K623" s="2" t="str" cm="1">
        <f t="array" ref="K623">_xlfn.XLOOKUP(F623,Customers!A622:$A$1001,Customers!G622:$G$1001,"Not Found",0)</f>
        <v>United States</v>
      </c>
      <c r="L623" t="str">
        <f>INDEX(Products!$A$1:$G$49,MATCH(Orders!$G623,Products!$A$1:$A$49,0),MATCH(Orders!L$1,Products!$A$1:$G$1,0))</f>
        <v>Ara</v>
      </c>
      <c r="M623" t="str">
        <f>INDEX(Products!$A$1:$G$49,MATCH(Orders!$G623,Products!$A$1:$A$49,0),MATCH(Orders!M$1,Products!$A$1:$G$1,0))</f>
        <v>L</v>
      </c>
      <c r="N623" s="4">
        <f>INDEX(Products!$A$1:$G$49,MATCH(Orders!$G623,Products!$A$1:$A$49,0),MATCH(Orders!N$1,Products!$A$1:$G$1,0))</f>
        <v>1</v>
      </c>
      <c r="O623" s="7">
        <f>INDEX(Products!$A$1:$G$49,MATCH(Orders!$G623,Products!$A$1:$A$49,0),MATCH(Orders!O$1,Products!$A$1:$G$1,0))</f>
        <v>12.95</v>
      </c>
      <c r="P623" s="7">
        <f t="shared" si="9"/>
        <v>77.699999999999989</v>
      </c>
      <c r="Q623" t="str" cm="1">
        <f t="array" ref="Q623">_xlfn.IFS(L623="Rob","Robusta",L623="Exc", "Excelsa",L623="Ara", "Arabica",L623="Lib", "Liberica")</f>
        <v>Arabica</v>
      </c>
      <c r="R623" t="str" cm="1">
        <f t="array" ref="R623">_xlfn.IFS(M623="M","Medium",M623="L","Light",M623="D","Dark")</f>
        <v>Light</v>
      </c>
    </row>
    <row r="624" spans="1:18">
      <c r="A624" s="2" t="s">
        <v>1262</v>
      </c>
      <c r="B624" s="3">
        <v>43527</v>
      </c>
      <c r="C624" s="9">
        <f>YEAR(Orders_Table[[#This Row],[Order Date]])</f>
        <v>2019</v>
      </c>
      <c r="D624" s="9">
        <f>MONTH(Orders_Table[[#This Row],[Order Date]])</f>
        <v>3</v>
      </c>
      <c r="E624" s="9" t="str" cm="1">
        <f t="array" ref="E6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24" s="2" t="s">
        <v>1263</v>
      </c>
      <c r="G624" t="s">
        <v>244</v>
      </c>
      <c r="H624" s="2">
        <v>4</v>
      </c>
      <c r="I624" s="2" t="str" cm="1">
        <f t="array" ref="I624">_xlfn.XLOOKUP(F624,Customers!A623:$A$1001,Customers!B623:$B$1001,"Not Found",0)</f>
        <v>Bertine Byrd</v>
      </c>
      <c r="J624" s="2" t="str" cm="1">
        <f t="array" ref="J624">IF(_xlfn.XLOOKUP(F624,Customers!A623:$A$1001,Customers!C623:$C$1001,"Not Found",0)=0,"",_xlfn.XLOOKUP(F624,Customers!A623:$A$1001,Customers!C623:$C$1001,"Not Found",0))</f>
        <v>bbyrdha@4shared.com</v>
      </c>
      <c r="K624" s="2" t="str" cm="1">
        <f t="array" ref="K624">_xlfn.XLOOKUP(F624,Customers!A623:$A$1001,Customers!G623:$G$1001,"Not Found",0)</f>
        <v>United States</v>
      </c>
      <c r="L624" t="str">
        <f>INDEX(Products!$A$1:$G$49,MATCH(Orders!$G624,Products!$A$1:$A$49,0),MATCH(Orders!L$1,Products!$A$1:$G$1,0))</f>
        <v>Lib</v>
      </c>
      <c r="M624" t="str">
        <f>INDEX(Products!$A$1:$G$49,MATCH(Orders!$G624,Products!$A$1:$A$49,0),MATCH(Orders!M$1,Products!$A$1:$G$1,0))</f>
        <v>M</v>
      </c>
      <c r="N624" s="4">
        <f>INDEX(Products!$A$1:$G$49,MATCH(Orders!$G624,Products!$A$1:$A$49,0),MATCH(Orders!N$1,Products!$A$1:$G$1,0))</f>
        <v>2.5</v>
      </c>
      <c r="O624" s="7">
        <f>INDEX(Products!$A$1:$G$49,MATCH(Orders!$G624,Products!$A$1:$A$49,0),MATCH(Orders!O$1,Products!$A$1:$G$1,0))</f>
        <v>33.464999999999996</v>
      </c>
      <c r="P624" s="7">
        <f t="shared" si="9"/>
        <v>133.85999999999999</v>
      </c>
      <c r="Q624" t="str" cm="1">
        <f t="array" ref="Q624">_xlfn.IFS(L624="Rob","Robusta",L624="Exc", "Excelsa",L624="Ara", "Arabica",L624="Lib", "Liberica")</f>
        <v>Liberica</v>
      </c>
      <c r="R624" t="str" cm="1">
        <f t="array" ref="R624">_xlfn.IFS(M624="M","Medium",M624="L","Light",M624="D","Dark")</f>
        <v>Medium</v>
      </c>
    </row>
    <row r="625" spans="1:18">
      <c r="A625" s="2" t="s">
        <v>1264</v>
      </c>
      <c r="B625" s="3">
        <v>44224</v>
      </c>
      <c r="C625" s="9">
        <f>YEAR(Orders_Table[[#This Row],[Order Date]])</f>
        <v>2021</v>
      </c>
      <c r="D625" s="9">
        <f>MONTH(Orders_Table[[#This Row],[Order Date]])</f>
        <v>1</v>
      </c>
      <c r="E625" s="9" t="str" cm="1">
        <f t="array" ref="E6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25" s="2" t="s">
        <v>1265</v>
      </c>
      <c r="G625" t="s">
        <v>292</v>
      </c>
      <c r="H625" s="2">
        <v>1</v>
      </c>
      <c r="I625" s="2" t="str" cm="1">
        <f t="array" ref="I625">_xlfn.XLOOKUP(F625,Customers!A624:$A$1001,Customers!B624:$B$1001,"Not Found",0)</f>
        <v>Nelie Garnson</v>
      </c>
      <c r="J625" s="2" t="str" cm="1">
        <f t="array" ref="J625">IF(_xlfn.XLOOKUP(F625,Customers!A624:$A$1001,Customers!C624:$C$1001,"Not Found",0)=0,"",_xlfn.XLOOKUP(F625,Customers!A624:$A$1001,Customers!C624:$C$1001,"Not Found",0))</f>
        <v/>
      </c>
      <c r="K625" s="2" t="str" cm="1">
        <f t="array" ref="K625">_xlfn.XLOOKUP(F625,Customers!A624:$A$1001,Customers!G624:$G$1001,"Not Found",0)</f>
        <v>United Kingdom</v>
      </c>
      <c r="L625" t="str">
        <f>INDEX(Products!$A$1:$G$49,MATCH(Orders!$G625,Products!$A$1:$A$49,0),MATCH(Orders!L$1,Products!$A$1:$G$1,0))</f>
        <v>Exc</v>
      </c>
      <c r="M625" t="str">
        <f>INDEX(Products!$A$1:$G$49,MATCH(Orders!$G625,Products!$A$1:$A$49,0),MATCH(Orders!M$1,Products!$A$1:$G$1,0))</f>
        <v>D</v>
      </c>
      <c r="N625" s="4">
        <f>INDEX(Products!$A$1:$G$49,MATCH(Orders!$G625,Products!$A$1:$A$49,0),MATCH(Orders!N$1,Products!$A$1:$G$1,0))</f>
        <v>1</v>
      </c>
      <c r="O625" s="7">
        <f>INDEX(Products!$A$1:$G$49,MATCH(Orders!$G625,Products!$A$1:$A$49,0),MATCH(Orders!O$1,Products!$A$1:$G$1,0))</f>
        <v>12.15</v>
      </c>
      <c r="P625" s="7">
        <f t="shared" si="9"/>
        <v>12.15</v>
      </c>
      <c r="Q625" t="str" cm="1">
        <f t="array" ref="Q625">_xlfn.IFS(L625="Rob","Robusta",L625="Exc", "Excelsa",L625="Ara", "Arabica",L625="Lib", "Liberica")</f>
        <v>Excelsa</v>
      </c>
      <c r="R625" t="str" cm="1">
        <f t="array" ref="R625">_xlfn.IFS(M625="M","Medium",M625="L","Light",M625="D","Dark")</f>
        <v>Dark</v>
      </c>
    </row>
    <row r="626" spans="1:18">
      <c r="A626" s="2" t="s">
        <v>1266</v>
      </c>
      <c r="B626" s="3">
        <v>44010</v>
      </c>
      <c r="C626" s="9">
        <f>YEAR(Orders_Table[[#This Row],[Order Date]])</f>
        <v>2020</v>
      </c>
      <c r="D626" s="9">
        <f>MONTH(Orders_Table[[#This Row],[Order Date]])</f>
        <v>6</v>
      </c>
      <c r="E626" s="9" t="str" cm="1">
        <f t="array" ref="E6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26" s="2" t="s">
        <v>1267</v>
      </c>
      <c r="G626" t="s">
        <v>159</v>
      </c>
      <c r="H626" s="2">
        <v>2</v>
      </c>
      <c r="I626" s="2" t="str" cm="1">
        <f t="array" ref="I626">_xlfn.XLOOKUP(F626,Customers!A625:$A$1001,Customers!B625:$B$1001,"Not Found",0)</f>
        <v>Dianne Chardin</v>
      </c>
      <c r="J626" s="2" t="str" cm="1">
        <f t="array" ref="J626">IF(_xlfn.XLOOKUP(F626,Customers!A625:$A$1001,Customers!C625:$C$1001,"Not Found",0)=0,"",_xlfn.XLOOKUP(F626,Customers!A625:$A$1001,Customers!C625:$C$1001,"Not Found",0))</f>
        <v>dchardinhc@nhs.uk</v>
      </c>
      <c r="K626" s="2" t="str" cm="1">
        <f t="array" ref="K626">_xlfn.XLOOKUP(F626,Customers!A625:$A$1001,Customers!G625:$G$1001,"Not Found",0)</f>
        <v>Ireland</v>
      </c>
      <c r="L626" t="str">
        <f>INDEX(Products!$A$1:$G$49,MATCH(Orders!$G626,Products!$A$1:$A$49,0),MATCH(Orders!L$1,Products!$A$1:$G$1,0))</f>
        <v>Exc</v>
      </c>
      <c r="M626" t="str">
        <f>INDEX(Products!$A$1:$G$49,MATCH(Orders!$G626,Products!$A$1:$A$49,0),MATCH(Orders!M$1,Products!$A$1:$G$1,0))</f>
        <v>M</v>
      </c>
      <c r="N626" s="4">
        <f>INDEX(Products!$A$1:$G$49,MATCH(Orders!$G626,Products!$A$1:$A$49,0),MATCH(Orders!N$1,Products!$A$1:$G$1,0))</f>
        <v>2.5</v>
      </c>
      <c r="O626" s="7">
        <f>INDEX(Products!$A$1:$G$49,MATCH(Orders!$G626,Products!$A$1:$A$49,0),MATCH(Orders!O$1,Products!$A$1:$G$1,0))</f>
        <v>31.624999999999996</v>
      </c>
      <c r="P626" s="7">
        <f t="shared" si="9"/>
        <v>63.249999999999993</v>
      </c>
      <c r="Q626" t="str" cm="1">
        <f t="array" ref="Q626">_xlfn.IFS(L626="Rob","Robusta",L626="Exc", "Excelsa",L626="Ara", "Arabica",L626="Lib", "Liberica")</f>
        <v>Excelsa</v>
      </c>
      <c r="R626" t="str" cm="1">
        <f t="array" ref="R626">_xlfn.IFS(M626="M","Medium",M626="L","Light",M626="D","Dark")</f>
        <v>Medium</v>
      </c>
    </row>
    <row r="627" spans="1:18">
      <c r="A627" s="2" t="s">
        <v>1268</v>
      </c>
      <c r="B627" s="3">
        <v>44017</v>
      </c>
      <c r="C627" s="9">
        <f>YEAR(Orders_Table[[#This Row],[Order Date]])</f>
        <v>2020</v>
      </c>
      <c r="D627" s="9">
        <f>MONTH(Orders_Table[[#This Row],[Order Date]])</f>
        <v>7</v>
      </c>
      <c r="E627" s="9" t="str" cm="1">
        <f t="array" ref="E6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27" s="2" t="s">
        <v>1269</v>
      </c>
      <c r="G627" t="s">
        <v>204</v>
      </c>
      <c r="H627" s="2">
        <v>5</v>
      </c>
      <c r="I627" s="2" t="str" cm="1">
        <f t="array" ref="I627">_xlfn.XLOOKUP(F627,Customers!A626:$A$1001,Customers!B626:$B$1001,"Not Found",0)</f>
        <v>Hailee Radbone</v>
      </c>
      <c r="J627" s="2" t="str" cm="1">
        <f t="array" ref="J627">IF(_xlfn.XLOOKUP(F627,Customers!A626:$A$1001,Customers!C626:$C$1001,"Not Found",0)=0,"",_xlfn.XLOOKUP(F627,Customers!A626:$A$1001,Customers!C626:$C$1001,"Not Found",0))</f>
        <v>hradbonehd@newsvine.com</v>
      </c>
      <c r="K627" s="2" t="str" cm="1">
        <f t="array" ref="K627">_xlfn.XLOOKUP(F627,Customers!A626:$A$1001,Customers!G626:$G$1001,"Not Found",0)</f>
        <v>United States</v>
      </c>
      <c r="L627" t="str">
        <f>INDEX(Products!$A$1:$G$49,MATCH(Orders!$G627,Products!$A$1:$A$49,0),MATCH(Orders!L$1,Products!$A$1:$G$1,0))</f>
        <v>Rob</v>
      </c>
      <c r="M627" t="str">
        <f>INDEX(Products!$A$1:$G$49,MATCH(Orders!$G627,Products!$A$1:$A$49,0),MATCH(Orders!M$1,Products!$A$1:$G$1,0))</f>
        <v>L</v>
      </c>
      <c r="N627" s="4">
        <f>INDEX(Products!$A$1:$G$49,MATCH(Orders!$G627,Products!$A$1:$A$49,0),MATCH(Orders!N$1,Products!$A$1:$G$1,0))</f>
        <v>0.5</v>
      </c>
      <c r="O627" s="7">
        <f>INDEX(Products!$A$1:$G$49,MATCH(Orders!$G627,Products!$A$1:$A$49,0),MATCH(Orders!O$1,Products!$A$1:$G$1,0))</f>
        <v>7.169999999999999</v>
      </c>
      <c r="P627" s="7">
        <f t="shared" si="9"/>
        <v>35.849999999999994</v>
      </c>
      <c r="Q627" t="str" cm="1">
        <f t="array" ref="Q627">_xlfn.IFS(L627="Rob","Robusta",L627="Exc", "Excelsa",L627="Ara", "Arabica",L627="Lib", "Liberica")</f>
        <v>Robusta</v>
      </c>
      <c r="R627" t="str" cm="1">
        <f t="array" ref="R627">_xlfn.IFS(M627="M","Medium",M627="L","Light",M627="D","Dark")</f>
        <v>Light</v>
      </c>
    </row>
    <row r="628" spans="1:18">
      <c r="A628" s="2" t="s">
        <v>1270</v>
      </c>
      <c r="B628" s="3">
        <v>43526</v>
      </c>
      <c r="C628" s="9">
        <f>YEAR(Orders_Table[[#This Row],[Order Date]])</f>
        <v>2019</v>
      </c>
      <c r="D628" s="9">
        <f>MONTH(Orders_Table[[#This Row],[Order Date]])</f>
        <v>3</v>
      </c>
      <c r="E628" s="9" t="str" cm="1">
        <f t="array" ref="E6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28" s="2" t="s">
        <v>1271</v>
      </c>
      <c r="G628" t="s">
        <v>218</v>
      </c>
      <c r="H628" s="2">
        <v>3</v>
      </c>
      <c r="I628" s="2" t="str" cm="1">
        <f t="array" ref="I628">_xlfn.XLOOKUP(F628,Customers!A627:$A$1001,Customers!B627:$B$1001,"Not Found",0)</f>
        <v>Wallis Bernth</v>
      </c>
      <c r="J628" s="2" t="str" cm="1">
        <f t="array" ref="J628">IF(_xlfn.XLOOKUP(F628,Customers!A627:$A$1001,Customers!C627:$C$1001,"Not Found",0)=0,"",_xlfn.XLOOKUP(F628,Customers!A627:$A$1001,Customers!C627:$C$1001,"Not Found",0))</f>
        <v>wbernthhe@miitbeian.gov.cn</v>
      </c>
      <c r="K628" s="2" t="str" cm="1">
        <f t="array" ref="K628">_xlfn.XLOOKUP(F628,Customers!A627:$A$1001,Customers!G627:$G$1001,"Not Found",0)</f>
        <v>United States</v>
      </c>
      <c r="L628" t="str">
        <f>INDEX(Products!$A$1:$G$49,MATCH(Orders!$G628,Products!$A$1:$A$49,0),MATCH(Orders!L$1,Products!$A$1:$G$1,0))</f>
        <v>Ara</v>
      </c>
      <c r="M628" t="str">
        <f>INDEX(Products!$A$1:$G$49,MATCH(Orders!$G628,Products!$A$1:$A$49,0),MATCH(Orders!M$1,Products!$A$1:$G$1,0))</f>
        <v>M</v>
      </c>
      <c r="N628" s="4">
        <f>INDEX(Products!$A$1:$G$49,MATCH(Orders!$G628,Products!$A$1:$A$49,0),MATCH(Orders!N$1,Products!$A$1:$G$1,0))</f>
        <v>2.5</v>
      </c>
      <c r="O628" s="7">
        <f>INDEX(Products!$A$1:$G$49,MATCH(Orders!$G628,Products!$A$1:$A$49,0),MATCH(Orders!O$1,Products!$A$1:$G$1,0))</f>
        <v>25.874999999999996</v>
      </c>
      <c r="P628" s="7">
        <f t="shared" si="9"/>
        <v>77.624999999999986</v>
      </c>
      <c r="Q628" t="str" cm="1">
        <f t="array" ref="Q628">_xlfn.IFS(L628="Rob","Robusta",L628="Exc", "Excelsa",L628="Ara", "Arabica",L628="Lib", "Liberica")</f>
        <v>Arabica</v>
      </c>
      <c r="R628" t="str" cm="1">
        <f t="array" ref="R628">_xlfn.IFS(M628="M","Medium",M628="L","Light",M628="D","Dark")</f>
        <v>Medium</v>
      </c>
    </row>
    <row r="629" spans="1:18">
      <c r="A629" s="2" t="s">
        <v>1272</v>
      </c>
      <c r="B629" s="3">
        <v>44682</v>
      </c>
      <c r="C629" s="9">
        <f>YEAR(Orders_Table[[#This Row],[Order Date]])</f>
        <v>2022</v>
      </c>
      <c r="D629" s="9">
        <f>MONTH(Orders_Table[[#This Row],[Order Date]])</f>
        <v>5</v>
      </c>
      <c r="E629" s="9" t="str" cm="1">
        <f t="array" ref="E6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29" s="2" t="s">
        <v>1273</v>
      </c>
      <c r="G629" t="s">
        <v>159</v>
      </c>
      <c r="H629" s="2">
        <v>2</v>
      </c>
      <c r="I629" s="2" t="str" cm="1">
        <f t="array" ref="I629">_xlfn.XLOOKUP(F629,Customers!A628:$A$1001,Customers!B628:$B$1001,"Not Found",0)</f>
        <v>Byron Acarson</v>
      </c>
      <c r="J629" s="2" t="str" cm="1">
        <f t="array" ref="J629">IF(_xlfn.XLOOKUP(F629,Customers!A628:$A$1001,Customers!C628:$C$1001,"Not Found",0)=0,"",_xlfn.XLOOKUP(F629,Customers!A628:$A$1001,Customers!C628:$C$1001,"Not Found",0))</f>
        <v>bacarsonhf@cnn.com</v>
      </c>
      <c r="K629" s="2" t="str" cm="1">
        <f t="array" ref="K629">_xlfn.XLOOKUP(F629,Customers!A628:$A$1001,Customers!G628:$G$1001,"Not Found",0)</f>
        <v>United States</v>
      </c>
      <c r="L629" t="str">
        <f>INDEX(Products!$A$1:$G$49,MATCH(Orders!$G629,Products!$A$1:$A$49,0),MATCH(Orders!L$1,Products!$A$1:$G$1,0))</f>
        <v>Exc</v>
      </c>
      <c r="M629" t="str">
        <f>INDEX(Products!$A$1:$G$49,MATCH(Orders!$G629,Products!$A$1:$A$49,0),MATCH(Orders!M$1,Products!$A$1:$G$1,0))</f>
        <v>M</v>
      </c>
      <c r="N629" s="4">
        <f>INDEX(Products!$A$1:$G$49,MATCH(Orders!$G629,Products!$A$1:$A$49,0),MATCH(Orders!N$1,Products!$A$1:$G$1,0))</f>
        <v>2.5</v>
      </c>
      <c r="O629" s="7">
        <f>INDEX(Products!$A$1:$G$49,MATCH(Orders!$G629,Products!$A$1:$A$49,0),MATCH(Orders!O$1,Products!$A$1:$G$1,0))</f>
        <v>31.624999999999996</v>
      </c>
      <c r="P629" s="7">
        <f t="shared" si="9"/>
        <v>63.249999999999993</v>
      </c>
      <c r="Q629" t="str" cm="1">
        <f t="array" ref="Q629">_xlfn.IFS(L629="Rob","Robusta",L629="Exc", "Excelsa",L629="Ara", "Arabica",L629="Lib", "Liberica")</f>
        <v>Excelsa</v>
      </c>
      <c r="R629" t="str" cm="1">
        <f t="array" ref="R629">_xlfn.IFS(M629="M","Medium",M629="L","Light",M629="D","Dark")</f>
        <v>Medium</v>
      </c>
    </row>
    <row r="630" spans="1:18">
      <c r="A630" s="2" t="s">
        <v>1274</v>
      </c>
      <c r="B630" s="3">
        <v>44680</v>
      </c>
      <c r="C630" s="9">
        <f>YEAR(Orders_Table[[#This Row],[Order Date]])</f>
        <v>2022</v>
      </c>
      <c r="D630" s="9">
        <f>MONTH(Orders_Table[[#This Row],[Order Date]])</f>
        <v>4</v>
      </c>
      <c r="E630" s="9" t="str" cm="1">
        <f t="array" ref="E6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30" s="2" t="s">
        <v>1275</v>
      </c>
      <c r="G630" t="s">
        <v>301</v>
      </c>
      <c r="H630" s="2">
        <v>6</v>
      </c>
      <c r="I630" s="2" t="str" cm="1">
        <f t="array" ref="I630">_xlfn.XLOOKUP(F630,Customers!A629:$A$1001,Customers!B629:$B$1001,"Not Found",0)</f>
        <v>Faunie Brigham</v>
      </c>
      <c r="J630" s="2" t="str" cm="1">
        <f t="array" ref="J630">IF(_xlfn.XLOOKUP(F630,Customers!A629:$A$1001,Customers!C629:$C$1001,"Not Found",0)=0,"",_xlfn.XLOOKUP(F630,Customers!A629:$A$1001,Customers!C629:$C$1001,"Not Found",0))</f>
        <v>fbrighamhg@blog.com</v>
      </c>
      <c r="K630" s="2" t="str" cm="1">
        <f t="array" ref="K630">_xlfn.XLOOKUP(F630,Customers!A629:$A$1001,Customers!G629:$G$1001,"Not Found",0)</f>
        <v>Ireland</v>
      </c>
      <c r="L630" t="str">
        <f>INDEX(Products!$A$1:$G$49,MATCH(Orders!$G630,Products!$A$1:$A$49,0),MATCH(Orders!L$1,Products!$A$1:$G$1,0))</f>
        <v>Exc</v>
      </c>
      <c r="M630" t="str">
        <f>INDEX(Products!$A$1:$G$49,MATCH(Orders!$G630,Products!$A$1:$A$49,0),MATCH(Orders!M$1,Products!$A$1:$G$1,0))</f>
        <v>L</v>
      </c>
      <c r="N630" s="4">
        <f>INDEX(Products!$A$1:$G$49,MATCH(Orders!$G630,Products!$A$1:$A$49,0),MATCH(Orders!N$1,Products!$A$1:$G$1,0))</f>
        <v>0.2</v>
      </c>
      <c r="O630" s="7">
        <f>INDEX(Products!$A$1:$G$49,MATCH(Orders!$G630,Products!$A$1:$A$49,0),MATCH(Orders!O$1,Products!$A$1:$G$1,0))</f>
        <v>4.4550000000000001</v>
      </c>
      <c r="P630" s="7">
        <f t="shared" si="9"/>
        <v>26.73</v>
      </c>
      <c r="Q630" t="str" cm="1">
        <f t="array" ref="Q630">_xlfn.IFS(L630="Rob","Robusta",L630="Exc", "Excelsa",L630="Ara", "Arabica",L630="Lib", "Liberica")</f>
        <v>Excelsa</v>
      </c>
      <c r="R630" t="str" cm="1">
        <f t="array" ref="R630">_xlfn.IFS(M630="M","Medium",M630="L","Light",M630="D","Dark")</f>
        <v>Light</v>
      </c>
    </row>
    <row r="631" spans="1:18">
      <c r="A631" s="2" t="s">
        <v>1274</v>
      </c>
      <c r="B631" s="3">
        <v>44680</v>
      </c>
      <c r="C631" s="9">
        <f>YEAR(Orders_Table[[#This Row],[Order Date]])</f>
        <v>2022</v>
      </c>
      <c r="D631" s="9">
        <f>MONTH(Orders_Table[[#This Row],[Order Date]])</f>
        <v>4</v>
      </c>
      <c r="E631" s="9" t="str" cm="1">
        <f t="array" ref="E6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31" s="2" t="s">
        <v>1275</v>
      </c>
      <c r="G631" t="s">
        <v>170</v>
      </c>
      <c r="H631" s="2">
        <v>4</v>
      </c>
      <c r="I631" s="2" t="str" cm="1">
        <f t="array" ref="I631">_xlfn.XLOOKUP(F631,Customers!A630:$A$1001,Customers!B630:$B$1001,"Not Found",0)</f>
        <v>Faunie Brigham</v>
      </c>
      <c r="J631" s="2" t="str" cm="1">
        <f t="array" ref="J631">IF(_xlfn.XLOOKUP(F631,Customers!A630:$A$1001,Customers!C630:$C$1001,"Not Found",0)=0,"",_xlfn.XLOOKUP(F631,Customers!A630:$A$1001,Customers!C630:$C$1001,"Not Found",0))</f>
        <v>fbrighamhg@blog.com</v>
      </c>
      <c r="K631" s="2" t="str" cm="1">
        <f t="array" ref="K631">_xlfn.XLOOKUP(F631,Customers!A630:$A$1001,Customers!G630:$G$1001,"Not Found",0)</f>
        <v>Ireland</v>
      </c>
      <c r="L631" t="str">
        <f>INDEX(Products!$A$1:$G$49,MATCH(Orders!$G631,Products!$A$1:$A$49,0),MATCH(Orders!L$1,Products!$A$1:$G$1,0))</f>
        <v>Lib</v>
      </c>
      <c r="M631" t="str">
        <f>INDEX(Products!$A$1:$G$49,MATCH(Orders!$G631,Products!$A$1:$A$49,0),MATCH(Orders!M$1,Products!$A$1:$G$1,0))</f>
        <v>D</v>
      </c>
      <c r="N631" s="4">
        <f>INDEX(Products!$A$1:$G$49,MATCH(Orders!$G631,Products!$A$1:$A$49,0),MATCH(Orders!N$1,Products!$A$1:$G$1,0))</f>
        <v>0.5</v>
      </c>
      <c r="O631" s="7">
        <f>INDEX(Products!$A$1:$G$49,MATCH(Orders!$G631,Products!$A$1:$A$49,0),MATCH(Orders!O$1,Products!$A$1:$G$1,0))</f>
        <v>7.77</v>
      </c>
      <c r="P631" s="7">
        <f t="shared" si="9"/>
        <v>31.08</v>
      </c>
      <c r="Q631" t="str" cm="1">
        <f t="array" ref="Q631">_xlfn.IFS(L631="Rob","Robusta",L631="Exc", "Excelsa",L631="Ara", "Arabica",L631="Lib", "Liberica")</f>
        <v>Liberica</v>
      </c>
      <c r="R631" t="str" cm="1">
        <f t="array" ref="R631">_xlfn.IFS(M631="M","Medium",M631="L","Light",M631="D","Dark")</f>
        <v>Dark</v>
      </c>
    </row>
    <row r="632" spans="1:18">
      <c r="A632" s="2" t="s">
        <v>1274</v>
      </c>
      <c r="B632" s="3">
        <v>44680</v>
      </c>
      <c r="C632" s="9">
        <f>YEAR(Orders_Table[[#This Row],[Order Date]])</f>
        <v>2022</v>
      </c>
      <c r="D632" s="9">
        <f>MONTH(Orders_Table[[#This Row],[Order Date]])</f>
        <v>4</v>
      </c>
      <c r="E632" s="9" t="str" cm="1">
        <f t="array" ref="E6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32" s="2" t="s">
        <v>1275</v>
      </c>
      <c r="G632" t="s">
        <v>101</v>
      </c>
      <c r="H632" s="2">
        <v>1</v>
      </c>
      <c r="I632" s="2" t="str" cm="1">
        <f t="array" ref="I632">_xlfn.XLOOKUP(F632,Customers!A631:$A$1001,Customers!B631:$B$1001,"Not Found",0)</f>
        <v>Not Found</v>
      </c>
      <c r="J632" s="2" t="str" cm="1">
        <f t="array" ref="J632">IF(_xlfn.XLOOKUP(F632,Customers!A631:$A$1001,Customers!C631:$C$1001,"Not Found",0)=0,"",_xlfn.XLOOKUP(F632,Customers!A631:$A$1001,Customers!C631:$C$1001,"Not Found",0))</f>
        <v>Not Found</v>
      </c>
      <c r="K632" s="2" t="str" cm="1">
        <f t="array" ref="K632">_xlfn.XLOOKUP(F632,Customers!A631:$A$1001,Customers!G631:$G$1001,"Not Found",0)</f>
        <v>Not Found</v>
      </c>
      <c r="L632" t="str">
        <f>INDEX(Products!$A$1:$G$49,MATCH(Orders!$G632,Products!$A$1:$A$49,0),MATCH(Orders!L$1,Products!$A$1:$G$1,0))</f>
        <v>Ara</v>
      </c>
      <c r="M632" t="str">
        <f>INDEX(Products!$A$1:$G$49,MATCH(Orders!$G632,Products!$A$1:$A$49,0),MATCH(Orders!M$1,Products!$A$1:$G$1,0))</f>
        <v>D</v>
      </c>
      <c r="N632" s="4">
        <f>INDEX(Products!$A$1:$G$49,MATCH(Orders!$G632,Products!$A$1:$A$49,0),MATCH(Orders!N$1,Products!$A$1:$G$1,0))</f>
        <v>0.2</v>
      </c>
      <c r="O632" s="7">
        <f>INDEX(Products!$A$1:$G$49,MATCH(Orders!$G632,Products!$A$1:$A$49,0),MATCH(Orders!O$1,Products!$A$1:$G$1,0))</f>
        <v>2.9849999999999999</v>
      </c>
      <c r="P632" s="7">
        <f t="shared" si="9"/>
        <v>2.9849999999999999</v>
      </c>
      <c r="Q632" t="str" cm="1">
        <f t="array" ref="Q632">_xlfn.IFS(L632="Rob","Robusta",L632="Exc", "Excelsa",L632="Ara", "Arabica",L632="Lib", "Liberica")</f>
        <v>Arabica</v>
      </c>
      <c r="R632" t="str" cm="1">
        <f t="array" ref="R632">_xlfn.IFS(M632="M","Medium",M632="L","Light",M632="D","Dark")</f>
        <v>Dark</v>
      </c>
    </row>
    <row r="633" spans="1:18">
      <c r="A633" s="2" t="s">
        <v>1274</v>
      </c>
      <c r="B633" s="3">
        <v>44680</v>
      </c>
      <c r="C633" s="9">
        <f>YEAR(Orders_Table[[#This Row],[Order Date]])</f>
        <v>2022</v>
      </c>
      <c r="D633" s="9">
        <f>MONTH(Orders_Table[[#This Row],[Order Date]])</f>
        <v>4</v>
      </c>
      <c r="E633" s="9" t="str" cm="1">
        <f t="array" ref="E6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33" s="2" t="s">
        <v>1275</v>
      </c>
      <c r="G633" t="s">
        <v>82</v>
      </c>
      <c r="H633" s="2">
        <v>5</v>
      </c>
      <c r="I633" s="2" t="str" cm="1">
        <f t="array" ref="I633">_xlfn.XLOOKUP(F633,Customers!A632:$A$1001,Customers!B632:$B$1001,"Not Found",0)</f>
        <v>Not Found</v>
      </c>
      <c r="J633" s="2" t="str" cm="1">
        <f t="array" ref="J633">IF(_xlfn.XLOOKUP(F633,Customers!A632:$A$1001,Customers!C632:$C$1001,"Not Found",0)=0,"",_xlfn.XLOOKUP(F633,Customers!A632:$A$1001,Customers!C632:$C$1001,"Not Found",0))</f>
        <v>Not Found</v>
      </c>
      <c r="K633" s="2" t="str" cm="1">
        <f t="array" ref="K633">_xlfn.XLOOKUP(F633,Customers!A632:$A$1001,Customers!G632:$G$1001,"Not Found",0)</f>
        <v>Not Found</v>
      </c>
      <c r="L633" t="str">
        <f>INDEX(Products!$A$1:$G$49,MATCH(Orders!$G633,Products!$A$1:$A$49,0),MATCH(Orders!L$1,Products!$A$1:$G$1,0))</f>
        <v>Rob</v>
      </c>
      <c r="M633" t="str">
        <f>INDEX(Products!$A$1:$G$49,MATCH(Orders!$G633,Products!$A$1:$A$49,0),MATCH(Orders!M$1,Products!$A$1:$G$1,0))</f>
        <v>D</v>
      </c>
      <c r="N633" s="4">
        <f>INDEX(Products!$A$1:$G$49,MATCH(Orders!$G633,Products!$A$1:$A$49,0),MATCH(Orders!N$1,Products!$A$1:$G$1,0))</f>
        <v>2.5</v>
      </c>
      <c r="O633" s="7">
        <f>INDEX(Products!$A$1:$G$49,MATCH(Orders!$G633,Products!$A$1:$A$49,0),MATCH(Orders!O$1,Products!$A$1:$G$1,0))</f>
        <v>20.584999999999997</v>
      </c>
      <c r="P633" s="7">
        <f t="shared" si="9"/>
        <v>102.92499999999998</v>
      </c>
      <c r="Q633" t="str" cm="1">
        <f t="array" ref="Q633">_xlfn.IFS(L633="Rob","Robusta",L633="Exc", "Excelsa",L633="Ara", "Arabica",L633="Lib", "Liberica")</f>
        <v>Robusta</v>
      </c>
      <c r="R633" t="str" cm="1">
        <f t="array" ref="R633">_xlfn.IFS(M633="M","Medium",M633="L","Light",M633="D","Dark")</f>
        <v>Dark</v>
      </c>
    </row>
    <row r="634" spans="1:18">
      <c r="A634" s="2" t="s">
        <v>1276</v>
      </c>
      <c r="B634" s="3">
        <v>44049</v>
      </c>
      <c r="C634" s="9">
        <f>YEAR(Orders_Table[[#This Row],[Order Date]])</f>
        <v>2020</v>
      </c>
      <c r="D634" s="9">
        <f>MONTH(Orders_Table[[#This Row],[Order Date]])</f>
        <v>8</v>
      </c>
      <c r="E634" s="9" t="str" cm="1">
        <f t="array" ref="E6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634" s="2" t="s">
        <v>1277</v>
      </c>
      <c r="G634" t="s">
        <v>223</v>
      </c>
      <c r="H634" s="2">
        <v>4</v>
      </c>
      <c r="I634" s="2" t="str" cm="1">
        <f t="array" ref="I634">_xlfn.XLOOKUP(F634,Customers!A633:$A$1001,Customers!B633:$B$1001,"Not Found",0)</f>
        <v>Marjorie Yoxen</v>
      </c>
      <c r="J634" s="2" t="str" cm="1">
        <f t="array" ref="J634">IF(_xlfn.XLOOKUP(F634,Customers!A633:$A$1001,Customers!C633:$C$1001,"Not Found",0)=0,"",_xlfn.XLOOKUP(F634,Customers!A633:$A$1001,Customers!C633:$C$1001,"Not Found",0))</f>
        <v>myoxenhk@google.com</v>
      </c>
      <c r="K634" s="2" t="str" cm="1">
        <f t="array" ref="K634">_xlfn.XLOOKUP(F634,Customers!A633:$A$1001,Customers!G633:$G$1001,"Not Found",0)</f>
        <v>United States</v>
      </c>
      <c r="L634" t="str">
        <f>INDEX(Products!$A$1:$G$49,MATCH(Orders!$G634,Products!$A$1:$A$49,0),MATCH(Orders!L$1,Products!$A$1:$G$1,0))</f>
        <v>Exc</v>
      </c>
      <c r="M634" t="str">
        <f>INDEX(Products!$A$1:$G$49,MATCH(Orders!$G634,Products!$A$1:$A$49,0),MATCH(Orders!M$1,Products!$A$1:$G$1,0))</f>
        <v>L</v>
      </c>
      <c r="N634" s="4">
        <f>INDEX(Products!$A$1:$G$49,MATCH(Orders!$G634,Products!$A$1:$A$49,0),MATCH(Orders!N$1,Products!$A$1:$G$1,0))</f>
        <v>0.5</v>
      </c>
      <c r="O634" s="7">
        <f>INDEX(Products!$A$1:$G$49,MATCH(Orders!$G634,Products!$A$1:$A$49,0),MATCH(Orders!O$1,Products!$A$1:$G$1,0))</f>
        <v>8.91</v>
      </c>
      <c r="P634" s="7">
        <f t="shared" si="9"/>
        <v>35.64</v>
      </c>
      <c r="Q634" t="str" cm="1">
        <f t="array" ref="Q634">_xlfn.IFS(L634="Rob","Robusta",L634="Exc", "Excelsa",L634="Ara", "Arabica",L634="Lib", "Liberica")</f>
        <v>Excelsa</v>
      </c>
      <c r="R634" t="str" cm="1">
        <f t="array" ref="R634">_xlfn.IFS(M634="M","Medium",M634="L","Light",M634="D","Dark")</f>
        <v>Light</v>
      </c>
    </row>
    <row r="635" spans="1:18">
      <c r="A635" s="2" t="s">
        <v>1278</v>
      </c>
      <c r="B635" s="3">
        <v>43820</v>
      </c>
      <c r="C635" s="9">
        <f>YEAR(Orders_Table[[#This Row],[Order Date]])</f>
        <v>2019</v>
      </c>
      <c r="D635" s="9">
        <f>MONTH(Orders_Table[[#This Row],[Order Date]])</f>
        <v>12</v>
      </c>
      <c r="E635" s="9" t="str" cm="1">
        <f t="array" ref="E6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35" s="2" t="s">
        <v>1279</v>
      </c>
      <c r="G635" t="s">
        <v>236</v>
      </c>
      <c r="H635" s="2">
        <v>4</v>
      </c>
      <c r="I635" s="2" t="str" cm="1">
        <f t="array" ref="I635">_xlfn.XLOOKUP(F635,Customers!A634:$A$1001,Customers!B634:$B$1001,"Not Found",0)</f>
        <v>Gaspar McGavin</v>
      </c>
      <c r="J635" s="2" t="str" cm="1">
        <f t="array" ref="J635">IF(_xlfn.XLOOKUP(F635,Customers!A634:$A$1001,Customers!C634:$C$1001,"Not Found",0)=0,"",_xlfn.XLOOKUP(F635,Customers!A634:$A$1001,Customers!C634:$C$1001,"Not Found",0))</f>
        <v>gmcgavinhl@histats.com</v>
      </c>
      <c r="K635" s="2" t="str" cm="1">
        <f t="array" ref="K635">_xlfn.XLOOKUP(F635,Customers!A634:$A$1001,Customers!G634:$G$1001,"Not Found",0)</f>
        <v>United States</v>
      </c>
      <c r="L635" t="str">
        <f>INDEX(Products!$A$1:$G$49,MATCH(Orders!$G635,Products!$A$1:$A$49,0),MATCH(Orders!L$1,Products!$A$1:$G$1,0))</f>
        <v>Rob</v>
      </c>
      <c r="M635" t="str">
        <f>INDEX(Products!$A$1:$G$49,MATCH(Orders!$G635,Products!$A$1:$A$49,0),MATCH(Orders!M$1,Products!$A$1:$G$1,0))</f>
        <v>L</v>
      </c>
      <c r="N635" s="4">
        <f>INDEX(Products!$A$1:$G$49,MATCH(Orders!$G635,Products!$A$1:$A$49,0),MATCH(Orders!N$1,Products!$A$1:$G$1,0))</f>
        <v>1</v>
      </c>
      <c r="O635" s="7">
        <f>INDEX(Products!$A$1:$G$49,MATCH(Orders!$G635,Products!$A$1:$A$49,0),MATCH(Orders!O$1,Products!$A$1:$G$1,0))</f>
        <v>11.95</v>
      </c>
      <c r="P635" s="7">
        <f t="shared" si="9"/>
        <v>47.8</v>
      </c>
      <c r="Q635" t="str" cm="1">
        <f t="array" ref="Q635">_xlfn.IFS(L635="Rob","Robusta",L635="Exc", "Excelsa",L635="Ara", "Arabica",L635="Lib", "Liberica")</f>
        <v>Robusta</v>
      </c>
      <c r="R635" t="str" cm="1">
        <f t="array" ref="R635">_xlfn.IFS(M635="M","Medium",M635="L","Light",M635="D","Dark")</f>
        <v>Light</v>
      </c>
    </row>
    <row r="636" spans="1:18">
      <c r="A636" s="2" t="s">
        <v>1280</v>
      </c>
      <c r="B636" s="3">
        <v>43940</v>
      </c>
      <c r="C636" s="9">
        <f>YEAR(Orders_Table[[#This Row],[Order Date]])</f>
        <v>2020</v>
      </c>
      <c r="D636" s="9">
        <f>MONTH(Orders_Table[[#This Row],[Order Date]])</f>
        <v>4</v>
      </c>
      <c r="E636" s="9" t="str" cm="1">
        <f t="array" ref="E6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36" s="2" t="s">
        <v>1281</v>
      </c>
      <c r="G636" t="s">
        <v>143</v>
      </c>
      <c r="H636" s="2">
        <v>3</v>
      </c>
      <c r="I636" s="2" t="str" cm="1">
        <f t="array" ref="I636">_xlfn.XLOOKUP(F636,Customers!A635:$A$1001,Customers!B635:$B$1001,"Not Found",0)</f>
        <v>Lindy Uttermare</v>
      </c>
      <c r="J636" s="2" t="str" cm="1">
        <f t="array" ref="J636">IF(_xlfn.XLOOKUP(F636,Customers!A635:$A$1001,Customers!C635:$C$1001,"Not Found",0)=0,"",_xlfn.XLOOKUP(F636,Customers!A635:$A$1001,Customers!C635:$C$1001,"Not Found",0))</f>
        <v>luttermarehm@engadget.com</v>
      </c>
      <c r="K636" s="2" t="str" cm="1">
        <f t="array" ref="K636">_xlfn.XLOOKUP(F636,Customers!A635:$A$1001,Customers!G635:$G$1001,"Not Found",0)</f>
        <v>United States</v>
      </c>
      <c r="L636" t="str">
        <f>INDEX(Products!$A$1:$G$49,MATCH(Orders!$G636,Products!$A$1:$A$49,0),MATCH(Orders!L$1,Products!$A$1:$G$1,0))</f>
        <v>Lib</v>
      </c>
      <c r="M636" t="str">
        <f>INDEX(Products!$A$1:$G$49,MATCH(Orders!$G636,Products!$A$1:$A$49,0),MATCH(Orders!M$1,Products!$A$1:$G$1,0))</f>
        <v>M</v>
      </c>
      <c r="N636" s="4">
        <f>INDEX(Products!$A$1:$G$49,MATCH(Orders!$G636,Products!$A$1:$A$49,0),MATCH(Orders!N$1,Products!$A$1:$G$1,0))</f>
        <v>1</v>
      </c>
      <c r="O636" s="7">
        <f>INDEX(Products!$A$1:$G$49,MATCH(Orders!$G636,Products!$A$1:$A$49,0),MATCH(Orders!O$1,Products!$A$1:$G$1,0))</f>
        <v>14.55</v>
      </c>
      <c r="P636" s="7">
        <f t="shared" si="9"/>
        <v>43.650000000000006</v>
      </c>
      <c r="Q636" t="str" cm="1">
        <f t="array" ref="Q636">_xlfn.IFS(L636="Rob","Robusta",L636="Exc", "Excelsa",L636="Ara", "Arabica",L636="Lib", "Liberica")</f>
        <v>Liberica</v>
      </c>
      <c r="R636" t="str" cm="1">
        <f t="array" ref="R636">_xlfn.IFS(M636="M","Medium",M636="L","Light",M636="D","Dark")</f>
        <v>Medium</v>
      </c>
    </row>
    <row r="637" spans="1:18">
      <c r="A637" s="2" t="s">
        <v>1282</v>
      </c>
      <c r="B637" s="3">
        <v>44578</v>
      </c>
      <c r="C637" s="9">
        <f>YEAR(Orders_Table[[#This Row],[Order Date]])</f>
        <v>2022</v>
      </c>
      <c r="D637" s="9">
        <f>MONTH(Orders_Table[[#This Row],[Order Date]])</f>
        <v>1</v>
      </c>
      <c r="E637" s="9" t="str" cm="1">
        <f t="array" ref="E6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37" s="2" t="s">
        <v>1283</v>
      </c>
      <c r="G637" t="s">
        <v>223</v>
      </c>
      <c r="H637" s="2">
        <v>4</v>
      </c>
      <c r="I637" s="2" t="str" cm="1">
        <f t="array" ref="I637">_xlfn.XLOOKUP(F637,Customers!A636:$A$1001,Customers!B636:$B$1001,"Not Found",0)</f>
        <v>Eal D'Ambrogio</v>
      </c>
      <c r="J637" s="2" t="str" cm="1">
        <f t="array" ref="J637">IF(_xlfn.XLOOKUP(F637,Customers!A636:$A$1001,Customers!C636:$C$1001,"Not Found",0)=0,"",_xlfn.XLOOKUP(F637,Customers!A636:$A$1001,Customers!C636:$C$1001,"Not Found",0))</f>
        <v>edambrogiohn@techcrunch.com</v>
      </c>
      <c r="K637" s="2" t="str" cm="1">
        <f t="array" ref="K637">_xlfn.XLOOKUP(F637,Customers!A636:$A$1001,Customers!G636:$G$1001,"Not Found",0)</f>
        <v>United States</v>
      </c>
      <c r="L637" t="str">
        <f>INDEX(Products!$A$1:$G$49,MATCH(Orders!$G637,Products!$A$1:$A$49,0),MATCH(Orders!L$1,Products!$A$1:$G$1,0))</f>
        <v>Exc</v>
      </c>
      <c r="M637" t="str">
        <f>INDEX(Products!$A$1:$G$49,MATCH(Orders!$G637,Products!$A$1:$A$49,0),MATCH(Orders!M$1,Products!$A$1:$G$1,0))</f>
        <v>L</v>
      </c>
      <c r="N637" s="4">
        <f>INDEX(Products!$A$1:$G$49,MATCH(Orders!$G637,Products!$A$1:$A$49,0),MATCH(Orders!N$1,Products!$A$1:$G$1,0))</f>
        <v>0.5</v>
      </c>
      <c r="O637" s="7">
        <f>INDEX(Products!$A$1:$G$49,MATCH(Orders!$G637,Products!$A$1:$A$49,0),MATCH(Orders!O$1,Products!$A$1:$G$1,0))</f>
        <v>8.91</v>
      </c>
      <c r="P637" s="7">
        <f t="shared" si="9"/>
        <v>35.64</v>
      </c>
      <c r="Q637" t="str" cm="1">
        <f t="array" ref="Q637">_xlfn.IFS(L637="Rob","Robusta",L637="Exc", "Excelsa",L637="Ara", "Arabica",L637="Lib", "Liberica")</f>
        <v>Excelsa</v>
      </c>
      <c r="R637" t="str" cm="1">
        <f t="array" ref="R637">_xlfn.IFS(M637="M","Medium",M637="L","Light",M637="D","Dark")</f>
        <v>Light</v>
      </c>
    </row>
    <row r="638" spans="1:18">
      <c r="A638" s="2" t="s">
        <v>1284</v>
      </c>
      <c r="B638" s="3">
        <v>43487</v>
      </c>
      <c r="C638" s="9">
        <f>YEAR(Orders_Table[[#This Row],[Order Date]])</f>
        <v>2019</v>
      </c>
      <c r="D638" s="9">
        <f>MONTH(Orders_Table[[#This Row],[Order Date]])</f>
        <v>1</v>
      </c>
      <c r="E638" s="9" t="str" cm="1">
        <f t="array" ref="E6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38" s="2" t="s">
        <v>1285</v>
      </c>
      <c r="G638" t="s">
        <v>179</v>
      </c>
      <c r="H638" s="2">
        <v>6</v>
      </c>
      <c r="I638" s="2" t="str" cm="1">
        <f t="array" ref="I638">_xlfn.XLOOKUP(F638,Customers!A637:$A$1001,Customers!B637:$B$1001,"Not Found",0)</f>
        <v>Carolee Winchcombe</v>
      </c>
      <c r="J638" s="2" t="str" cm="1">
        <f t="array" ref="J638">IF(_xlfn.XLOOKUP(F638,Customers!A637:$A$1001,Customers!C637:$C$1001,"Not Found",0)=0,"",_xlfn.XLOOKUP(F638,Customers!A637:$A$1001,Customers!C637:$C$1001,"Not Found",0))</f>
        <v>cwinchcombeho@jiathis.com</v>
      </c>
      <c r="K638" s="2" t="str" cm="1">
        <f t="array" ref="K638">_xlfn.XLOOKUP(F638,Customers!A637:$A$1001,Customers!G637:$G$1001,"Not Found",0)</f>
        <v>United States</v>
      </c>
      <c r="L638" t="str">
        <f>INDEX(Products!$A$1:$G$49,MATCH(Orders!$G638,Products!$A$1:$A$49,0),MATCH(Orders!L$1,Products!$A$1:$G$1,0))</f>
        <v>Lib</v>
      </c>
      <c r="M638" t="str">
        <f>INDEX(Products!$A$1:$G$49,MATCH(Orders!$G638,Products!$A$1:$A$49,0),MATCH(Orders!M$1,Products!$A$1:$G$1,0))</f>
        <v>L</v>
      </c>
      <c r="N638" s="4">
        <f>INDEX(Products!$A$1:$G$49,MATCH(Orders!$G638,Products!$A$1:$A$49,0),MATCH(Orders!N$1,Products!$A$1:$G$1,0))</f>
        <v>1</v>
      </c>
      <c r="O638" s="7">
        <f>INDEX(Products!$A$1:$G$49,MATCH(Orders!$G638,Products!$A$1:$A$49,0),MATCH(Orders!O$1,Products!$A$1:$G$1,0))</f>
        <v>15.85</v>
      </c>
      <c r="P638" s="7">
        <f t="shared" si="9"/>
        <v>95.1</v>
      </c>
      <c r="Q638" t="str" cm="1">
        <f t="array" ref="Q638">_xlfn.IFS(L638="Rob","Robusta",L638="Exc", "Excelsa",L638="Ara", "Arabica",L638="Lib", "Liberica")</f>
        <v>Liberica</v>
      </c>
      <c r="R638" t="str" cm="1">
        <f t="array" ref="R638">_xlfn.IFS(M638="M","Medium",M638="L","Light",M638="D","Dark")</f>
        <v>Light</v>
      </c>
    </row>
    <row r="639" spans="1:18">
      <c r="A639" s="2" t="s">
        <v>1286</v>
      </c>
      <c r="B639" s="3">
        <v>43889</v>
      </c>
      <c r="C639" s="9">
        <f>YEAR(Orders_Table[[#This Row],[Order Date]])</f>
        <v>2020</v>
      </c>
      <c r="D639" s="9">
        <f>MONTH(Orders_Table[[#This Row],[Order Date]])</f>
        <v>2</v>
      </c>
      <c r="E639" s="9" t="str" cm="1">
        <f t="array" ref="E6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39" s="2" t="s">
        <v>1287</v>
      </c>
      <c r="G639" t="s">
        <v>159</v>
      </c>
      <c r="H639" s="2">
        <v>1</v>
      </c>
      <c r="I639" s="2" t="str" cm="1">
        <f t="array" ref="I639">_xlfn.XLOOKUP(F639,Customers!A638:$A$1001,Customers!B638:$B$1001,"Not Found",0)</f>
        <v>Benedikta Paumier</v>
      </c>
      <c r="J639" s="2" t="str" cm="1">
        <f t="array" ref="J639">IF(_xlfn.XLOOKUP(F639,Customers!A638:$A$1001,Customers!C638:$C$1001,"Not Found",0)=0,"",_xlfn.XLOOKUP(F639,Customers!A638:$A$1001,Customers!C638:$C$1001,"Not Found",0))</f>
        <v>bpaumierhp@umn.edu</v>
      </c>
      <c r="K639" s="2" t="str" cm="1">
        <f t="array" ref="K639">_xlfn.XLOOKUP(F639,Customers!A638:$A$1001,Customers!G638:$G$1001,"Not Found",0)</f>
        <v>Ireland</v>
      </c>
      <c r="L639" t="str">
        <f>INDEX(Products!$A$1:$G$49,MATCH(Orders!$G639,Products!$A$1:$A$49,0),MATCH(Orders!L$1,Products!$A$1:$G$1,0))</f>
        <v>Exc</v>
      </c>
      <c r="M639" t="str">
        <f>INDEX(Products!$A$1:$G$49,MATCH(Orders!$G639,Products!$A$1:$A$49,0),MATCH(Orders!M$1,Products!$A$1:$G$1,0))</f>
        <v>M</v>
      </c>
      <c r="N639" s="4">
        <f>INDEX(Products!$A$1:$G$49,MATCH(Orders!$G639,Products!$A$1:$A$49,0),MATCH(Orders!N$1,Products!$A$1:$G$1,0))</f>
        <v>2.5</v>
      </c>
      <c r="O639" s="7">
        <f>INDEX(Products!$A$1:$G$49,MATCH(Orders!$G639,Products!$A$1:$A$49,0),MATCH(Orders!O$1,Products!$A$1:$G$1,0))</f>
        <v>31.624999999999996</v>
      </c>
      <c r="P639" s="7">
        <f t="shared" si="9"/>
        <v>31.624999999999996</v>
      </c>
      <c r="Q639" t="str" cm="1">
        <f t="array" ref="Q639">_xlfn.IFS(L639="Rob","Robusta",L639="Exc", "Excelsa",L639="Ara", "Arabica",L639="Lib", "Liberica")</f>
        <v>Excelsa</v>
      </c>
      <c r="R639" t="str" cm="1">
        <f t="array" ref="R639">_xlfn.IFS(M639="M","Medium",M639="L","Light",M639="D","Dark")</f>
        <v>Medium</v>
      </c>
    </row>
    <row r="640" spans="1:18">
      <c r="A640" s="2" t="s">
        <v>1288</v>
      </c>
      <c r="B640" s="3">
        <v>43684</v>
      </c>
      <c r="C640" s="9">
        <f>YEAR(Orders_Table[[#This Row],[Order Date]])</f>
        <v>2019</v>
      </c>
      <c r="D640" s="9">
        <f>MONTH(Orders_Table[[#This Row],[Order Date]])</f>
        <v>8</v>
      </c>
      <c r="E640" s="9" t="str" cm="1">
        <f t="array" ref="E6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640" s="2" t="s">
        <v>1289</v>
      </c>
      <c r="G640" t="s">
        <v>218</v>
      </c>
      <c r="H640" s="2">
        <v>3</v>
      </c>
      <c r="I640" s="2" t="str" cm="1">
        <f t="array" ref="I640">_xlfn.XLOOKUP(F640,Customers!A639:$A$1001,Customers!B639:$B$1001,"Not Found",0)</f>
        <v>Neville Piatto</v>
      </c>
      <c r="J640" s="2" t="str" cm="1">
        <f t="array" ref="J640">IF(_xlfn.XLOOKUP(F640,Customers!A639:$A$1001,Customers!C639:$C$1001,"Not Found",0)=0,"",_xlfn.XLOOKUP(F640,Customers!A639:$A$1001,Customers!C639:$C$1001,"Not Found",0))</f>
        <v/>
      </c>
      <c r="K640" s="2" t="str" cm="1">
        <f t="array" ref="K640">_xlfn.XLOOKUP(F640,Customers!A639:$A$1001,Customers!G639:$G$1001,"Not Found",0)</f>
        <v>Ireland</v>
      </c>
      <c r="L640" t="str">
        <f>INDEX(Products!$A$1:$G$49,MATCH(Orders!$G640,Products!$A$1:$A$49,0),MATCH(Orders!L$1,Products!$A$1:$G$1,0))</f>
        <v>Ara</v>
      </c>
      <c r="M640" t="str">
        <f>INDEX(Products!$A$1:$G$49,MATCH(Orders!$G640,Products!$A$1:$A$49,0),MATCH(Orders!M$1,Products!$A$1:$G$1,0))</f>
        <v>M</v>
      </c>
      <c r="N640" s="4">
        <f>INDEX(Products!$A$1:$G$49,MATCH(Orders!$G640,Products!$A$1:$A$49,0),MATCH(Orders!N$1,Products!$A$1:$G$1,0))</f>
        <v>2.5</v>
      </c>
      <c r="O640" s="7">
        <f>INDEX(Products!$A$1:$G$49,MATCH(Orders!$G640,Products!$A$1:$A$49,0),MATCH(Orders!O$1,Products!$A$1:$G$1,0))</f>
        <v>25.874999999999996</v>
      </c>
      <c r="P640" s="7">
        <f t="shared" si="9"/>
        <v>77.624999999999986</v>
      </c>
      <c r="Q640" t="str" cm="1">
        <f t="array" ref="Q640">_xlfn.IFS(L640="Rob","Robusta",L640="Exc", "Excelsa",L640="Ara", "Arabica",L640="Lib", "Liberica")</f>
        <v>Arabica</v>
      </c>
      <c r="R640" t="str" cm="1">
        <f t="array" ref="R640">_xlfn.IFS(M640="M","Medium",M640="L","Light",M640="D","Dark")</f>
        <v>Medium</v>
      </c>
    </row>
    <row r="641" spans="1:18">
      <c r="A641" s="2" t="s">
        <v>1290</v>
      </c>
      <c r="B641" s="3">
        <v>44331</v>
      </c>
      <c r="C641" s="9">
        <f>YEAR(Orders_Table[[#This Row],[Order Date]])</f>
        <v>2021</v>
      </c>
      <c r="D641" s="9">
        <f>MONTH(Orders_Table[[#This Row],[Order Date]])</f>
        <v>5</v>
      </c>
      <c r="E641" s="9" t="str" cm="1">
        <f t="array" ref="E6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41" s="2" t="s">
        <v>1291</v>
      </c>
      <c r="G641" t="s">
        <v>85</v>
      </c>
      <c r="H641" s="2">
        <v>1</v>
      </c>
      <c r="I641" s="2" t="str" cm="1">
        <f t="array" ref="I641">_xlfn.XLOOKUP(F641,Customers!A640:$A$1001,Customers!B640:$B$1001,"Not Found",0)</f>
        <v>Jeno Capey</v>
      </c>
      <c r="J641" s="2" t="str" cm="1">
        <f t="array" ref="J641">IF(_xlfn.XLOOKUP(F641,Customers!A640:$A$1001,Customers!C640:$C$1001,"Not Found",0)=0,"",_xlfn.XLOOKUP(F641,Customers!A640:$A$1001,Customers!C640:$C$1001,"Not Found",0))</f>
        <v>jcapeyhr@bravesites.com</v>
      </c>
      <c r="K641" s="2" t="str" cm="1">
        <f t="array" ref="K641">_xlfn.XLOOKUP(F641,Customers!A640:$A$1001,Customers!G640:$G$1001,"Not Found",0)</f>
        <v>United States</v>
      </c>
      <c r="L641" t="str">
        <f>INDEX(Products!$A$1:$G$49,MATCH(Orders!$G641,Products!$A$1:$A$49,0),MATCH(Orders!L$1,Products!$A$1:$G$1,0))</f>
        <v>Lib</v>
      </c>
      <c r="M641" t="str">
        <f>INDEX(Products!$A$1:$G$49,MATCH(Orders!$G641,Products!$A$1:$A$49,0),MATCH(Orders!M$1,Products!$A$1:$G$1,0))</f>
        <v>D</v>
      </c>
      <c r="N641" s="4">
        <f>INDEX(Products!$A$1:$G$49,MATCH(Orders!$G641,Products!$A$1:$A$49,0),MATCH(Orders!N$1,Products!$A$1:$G$1,0))</f>
        <v>0.2</v>
      </c>
      <c r="O641" s="7">
        <f>INDEX(Products!$A$1:$G$49,MATCH(Orders!$G641,Products!$A$1:$A$49,0),MATCH(Orders!O$1,Products!$A$1:$G$1,0))</f>
        <v>3.8849999999999998</v>
      </c>
      <c r="P641" s="7">
        <f t="shared" si="9"/>
        <v>3.8849999999999998</v>
      </c>
      <c r="Q641" t="str" cm="1">
        <f t="array" ref="Q641">_xlfn.IFS(L641="Rob","Robusta",L641="Exc", "Excelsa",L641="Ara", "Arabica",L641="Lib", "Liberica")</f>
        <v>Liberica</v>
      </c>
      <c r="R641" t="str" cm="1">
        <f t="array" ref="R641">_xlfn.IFS(M641="M","Medium",M641="L","Light",M641="D","Dark")</f>
        <v>Dark</v>
      </c>
    </row>
    <row r="642" spans="1:18">
      <c r="A642" s="2" t="s">
        <v>1292</v>
      </c>
      <c r="B642" s="3">
        <v>44547</v>
      </c>
      <c r="C642" s="9">
        <f>YEAR(Orders_Table[[#This Row],[Order Date]])</f>
        <v>2021</v>
      </c>
      <c r="D642" s="9">
        <f>MONTH(Orders_Table[[#This Row],[Order Date]])</f>
        <v>12</v>
      </c>
      <c r="E642" s="9" t="str" cm="1">
        <f t="array" ref="E6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42" s="2" t="s">
        <v>1293</v>
      </c>
      <c r="G642" t="s">
        <v>57</v>
      </c>
      <c r="H642" s="2">
        <v>5</v>
      </c>
      <c r="I642" s="2" t="str" cm="1">
        <f t="array" ref="I642">_xlfn.XLOOKUP(F642,Customers!A641:$A$1001,Customers!B641:$B$1001,"Not Found",0)</f>
        <v>Tuckie Mathonnet</v>
      </c>
      <c r="J642" s="2" t="str" cm="1">
        <f t="array" ref="J642">IF(_xlfn.XLOOKUP(F642,Customers!A641:$A$1001,Customers!C641:$C$1001,"Not Found",0)=0,"",_xlfn.XLOOKUP(F642,Customers!A641:$A$1001,Customers!C641:$C$1001,"Not Found",0))</f>
        <v>tmathonneti0@google.co.jp</v>
      </c>
      <c r="K642" s="2" t="str" cm="1">
        <f t="array" ref="K642">_xlfn.XLOOKUP(F642,Customers!A641:$A$1001,Customers!G641:$G$1001,"Not Found",0)</f>
        <v>United States</v>
      </c>
      <c r="L642" t="str">
        <f>INDEX(Products!$A$1:$G$49,MATCH(Orders!$G642,Products!$A$1:$A$49,0),MATCH(Orders!L$1,Products!$A$1:$G$1,0))</f>
        <v>Rob</v>
      </c>
      <c r="M642" t="str">
        <f>INDEX(Products!$A$1:$G$49,MATCH(Orders!$G642,Products!$A$1:$A$49,0),MATCH(Orders!M$1,Products!$A$1:$G$1,0))</f>
        <v>L</v>
      </c>
      <c r="N642" s="4">
        <f>INDEX(Products!$A$1:$G$49,MATCH(Orders!$G642,Products!$A$1:$A$49,0),MATCH(Orders!N$1,Products!$A$1:$G$1,0))</f>
        <v>2.5</v>
      </c>
      <c r="O642" s="7">
        <f>INDEX(Products!$A$1:$G$49,MATCH(Orders!$G642,Products!$A$1:$A$49,0),MATCH(Orders!O$1,Products!$A$1:$G$1,0))</f>
        <v>27.484999999999996</v>
      </c>
      <c r="P642" s="7">
        <f t="shared" si="9"/>
        <v>137.42499999999998</v>
      </c>
      <c r="Q642" t="str" cm="1">
        <f t="array" ref="Q642">_xlfn.IFS(L642="Rob","Robusta",L642="Exc", "Excelsa",L642="Ara", "Arabica",L642="Lib", "Liberica")</f>
        <v>Robusta</v>
      </c>
      <c r="R642" t="str" cm="1">
        <f t="array" ref="R642">_xlfn.IFS(M642="M","Medium",M642="L","Light",M642="D","Dark")</f>
        <v>Light</v>
      </c>
    </row>
    <row r="643" spans="1:18">
      <c r="A643" s="2" t="s">
        <v>1294</v>
      </c>
      <c r="B643" s="3">
        <v>44448</v>
      </c>
      <c r="C643" s="9">
        <f>YEAR(Orders_Table[[#This Row],[Order Date]])</f>
        <v>2021</v>
      </c>
      <c r="D643" s="9">
        <f>MONTH(Orders_Table[[#This Row],[Order Date]])</f>
        <v>9</v>
      </c>
      <c r="E643" s="9" t="str" cm="1">
        <f t="array" ref="E6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43" s="2" t="s">
        <v>1295</v>
      </c>
      <c r="G643" t="s">
        <v>236</v>
      </c>
      <c r="H643" s="2">
        <v>3</v>
      </c>
      <c r="I643" s="2" t="str" cm="1">
        <f t="array" ref="I643">_xlfn.XLOOKUP(F643,Customers!A642:$A$1001,Customers!B642:$B$1001,"Not Found",0)</f>
        <v>Yardley Basill</v>
      </c>
      <c r="J643" s="2" t="str" cm="1">
        <f t="array" ref="J643">IF(_xlfn.XLOOKUP(F643,Customers!A642:$A$1001,Customers!C642:$C$1001,"Not Found",0)=0,"",_xlfn.XLOOKUP(F643,Customers!A642:$A$1001,Customers!C642:$C$1001,"Not Found",0))</f>
        <v>ybasillht@theguardian.com</v>
      </c>
      <c r="K643" s="2" t="str" cm="1">
        <f t="array" ref="K643">_xlfn.XLOOKUP(F643,Customers!A642:$A$1001,Customers!G642:$G$1001,"Not Found",0)</f>
        <v>United States</v>
      </c>
      <c r="L643" t="str">
        <f>INDEX(Products!$A$1:$G$49,MATCH(Orders!$G643,Products!$A$1:$A$49,0),MATCH(Orders!L$1,Products!$A$1:$G$1,0))</f>
        <v>Rob</v>
      </c>
      <c r="M643" t="str">
        <f>INDEX(Products!$A$1:$G$49,MATCH(Orders!$G643,Products!$A$1:$A$49,0),MATCH(Orders!M$1,Products!$A$1:$G$1,0))</f>
        <v>L</v>
      </c>
      <c r="N643" s="4">
        <f>INDEX(Products!$A$1:$G$49,MATCH(Orders!$G643,Products!$A$1:$A$49,0),MATCH(Orders!N$1,Products!$A$1:$G$1,0))</f>
        <v>1</v>
      </c>
      <c r="O643" s="7">
        <f>INDEX(Products!$A$1:$G$49,MATCH(Orders!$G643,Products!$A$1:$A$49,0),MATCH(Orders!O$1,Products!$A$1:$G$1,0))</f>
        <v>11.95</v>
      </c>
      <c r="P643" s="7">
        <f t="shared" ref="P643:P706" si="10">O643*H643</f>
        <v>35.849999999999994</v>
      </c>
      <c r="Q643" t="str" cm="1">
        <f t="array" ref="Q643">_xlfn.IFS(L643="Rob","Robusta",L643="Exc", "Excelsa",L643="Ara", "Arabica",L643="Lib", "Liberica")</f>
        <v>Robusta</v>
      </c>
      <c r="R643" t="str" cm="1">
        <f t="array" ref="R643">_xlfn.IFS(M643="M","Medium",M643="L","Light",M643="D","Dark")</f>
        <v>Light</v>
      </c>
    </row>
    <row r="644" spans="1:18">
      <c r="A644" s="2" t="s">
        <v>1296</v>
      </c>
      <c r="B644" s="3">
        <v>43880</v>
      </c>
      <c r="C644" s="9">
        <f>YEAR(Orders_Table[[#This Row],[Order Date]])</f>
        <v>2020</v>
      </c>
      <c r="D644" s="9">
        <f>MONTH(Orders_Table[[#This Row],[Order Date]])</f>
        <v>2</v>
      </c>
      <c r="E644" s="9" t="str" cm="1">
        <f t="array" ref="E6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44" s="2" t="s">
        <v>1297</v>
      </c>
      <c r="G644" t="s">
        <v>111</v>
      </c>
      <c r="H644" s="2">
        <v>2</v>
      </c>
      <c r="I644" s="2" t="str" cm="1">
        <f t="array" ref="I644">_xlfn.XLOOKUP(F644,Customers!A643:$A$1001,Customers!B643:$B$1001,"Not Found",0)</f>
        <v>Maggy Baistow</v>
      </c>
      <c r="J644" s="2" t="str" cm="1">
        <f t="array" ref="J644">IF(_xlfn.XLOOKUP(F644,Customers!A643:$A$1001,Customers!C643:$C$1001,"Not Found",0)=0,"",_xlfn.XLOOKUP(F644,Customers!A643:$A$1001,Customers!C643:$C$1001,"Not Found",0))</f>
        <v>mbaistowhu@i2i.jp</v>
      </c>
      <c r="K644" s="2" t="str" cm="1">
        <f t="array" ref="K644">_xlfn.XLOOKUP(F644,Customers!A643:$A$1001,Customers!G643:$G$1001,"Not Found",0)</f>
        <v>United Kingdom</v>
      </c>
      <c r="L644" t="str">
        <f>INDEX(Products!$A$1:$G$49,MATCH(Orders!$G644,Products!$A$1:$A$49,0),MATCH(Orders!L$1,Products!$A$1:$G$1,0))</f>
        <v>Exc</v>
      </c>
      <c r="M644" t="str">
        <f>INDEX(Products!$A$1:$G$49,MATCH(Orders!$G644,Products!$A$1:$A$49,0),MATCH(Orders!M$1,Products!$A$1:$G$1,0))</f>
        <v>M</v>
      </c>
      <c r="N644" s="4">
        <f>INDEX(Products!$A$1:$G$49,MATCH(Orders!$G644,Products!$A$1:$A$49,0),MATCH(Orders!N$1,Products!$A$1:$G$1,0))</f>
        <v>0.2</v>
      </c>
      <c r="O644" s="7">
        <f>INDEX(Products!$A$1:$G$49,MATCH(Orders!$G644,Products!$A$1:$A$49,0),MATCH(Orders!O$1,Products!$A$1:$G$1,0))</f>
        <v>4.125</v>
      </c>
      <c r="P644" s="7">
        <f t="shared" si="10"/>
        <v>8.25</v>
      </c>
      <c r="Q644" t="str" cm="1">
        <f t="array" ref="Q644">_xlfn.IFS(L644="Rob","Robusta",L644="Exc", "Excelsa",L644="Ara", "Arabica",L644="Lib", "Liberica")</f>
        <v>Excelsa</v>
      </c>
      <c r="R644" t="str" cm="1">
        <f t="array" ref="R644">_xlfn.IFS(M644="M","Medium",M644="L","Light",M644="D","Dark")</f>
        <v>Medium</v>
      </c>
    </row>
    <row r="645" spans="1:18">
      <c r="A645" s="2" t="s">
        <v>1298</v>
      </c>
      <c r="B645" s="3">
        <v>44011</v>
      </c>
      <c r="C645" s="9">
        <f>YEAR(Orders_Table[[#This Row],[Order Date]])</f>
        <v>2020</v>
      </c>
      <c r="D645" s="9">
        <f>MONTH(Orders_Table[[#This Row],[Order Date]])</f>
        <v>6</v>
      </c>
      <c r="E645" s="9" t="str" cm="1">
        <f t="array" ref="E6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45" s="2" t="s">
        <v>1299</v>
      </c>
      <c r="G645" t="s">
        <v>77</v>
      </c>
      <c r="H645" s="2">
        <v>3</v>
      </c>
      <c r="I645" s="2" t="str" cm="1">
        <f t="array" ref="I645">_xlfn.XLOOKUP(F645,Customers!A644:$A$1001,Customers!B644:$B$1001,"Not Found",0)</f>
        <v>Courtney Pallant</v>
      </c>
      <c r="J645" s="2" t="str" cm="1">
        <f t="array" ref="J645">IF(_xlfn.XLOOKUP(F645,Customers!A644:$A$1001,Customers!C644:$C$1001,"Not Found",0)=0,"",_xlfn.XLOOKUP(F645,Customers!A644:$A$1001,Customers!C644:$C$1001,"Not Found",0))</f>
        <v>cpallanthv@typepad.com</v>
      </c>
      <c r="K645" s="2" t="str" cm="1">
        <f t="array" ref="K645">_xlfn.XLOOKUP(F645,Customers!A644:$A$1001,Customers!G644:$G$1001,"Not Found",0)</f>
        <v>United States</v>
      </c>
      <c r="L645" t="str">
        <f>INDEX(Products!$A$1:$G$49,MATCH(Orders!$G645,Products!$A$1:$A$49,0),MATCH(Orders!L$1,Products!$A$1:$G$1,0))</f>
        <v>Exc</v>
      </c>
      <c r="M645" t="str">
        <f>INDEX(Products!$A$1:$G$49,MATCH(Orders!$G645,Products!$A$1:$A$49,0),MATCH(Orders!M$1,Products!$A$1:$G$1,0))</f>
        <v>L</v>
      </c>
      <c r="N645" s="4">
        <f>INDEX(Products!$A$1:$G$49,MATCH(Orders!$G645,Products!$A$1:$A$49,0),MATCH(Orders!N$1,Products!$A$1:$G$1,0))</f>
        <v>2.5</v>
      </c>
      <c r="O645" s="7">
        <f>INDEX(Products!$A$1:$G$49,MATCH(Orders!$G645,Products!$A$1:$A$49,0),MATCH(Orders!O$1,Products!$A$1:$G$1,0))</f>
        <v>34.154999999999994</v>
      </c>
      <c r="P645" s="7">
        <f t="shared" si="10"/>
        <v>102.46499999999997</v>
      </c>
      <c r="Q645" t="str" cm="1">
        <f t="array" ref="Q645">_xlfn.IFS(L645="Rob","Robusta",L645="Exc", "Excelsa",L645="Ara", "Arabica",L645="Lib", "Liberica")</f>
        <v>Excelsa</v>
      </c>
      <c r="R645" t="str" cm="1">
        <f t="array" ref="R645">_xlfn.IFS(M645="M","Medium",M645="L","Light",M645="D","Dark")</f>
        <v>Light</v>
      </c>
    </row>
    <row r="646" spans="1:18">
      <c r="A646" s="2" t="s">
        <v>1300</v>
      </c>
      <c r="B646" s="3">
        <v>44694</v>
      </c>
      <c r="C646" s="9">
        <f>YEAR(Orders_Table[[#This Row],[Order Date]])</f>
        <v>2022</v>
      </c>
      <c r="D646" s="9">
        <f>MONTH(Orders_Table[[#This Row],[Order Date]])</f>
        <v>5</v>
      </c>
      <c r="E646" s="9" t="str" cm="1">
        <f t="array" ref="E6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46" s="2" t="s">
        <v>1301</v>
      </c>
      <c r="G646" t="s">
        <v>82</v>
      </c>
      <c r="H646" s="2">
        <v>2</v>
      </c>
      <c r="I646" s="2" t="str" cm="1">
        <f t="array" ref="I646">_xlfn.XLOOKUP(F646,Customers!A645:$A$1001,Customers!B645:$B$1001,"Not Found",0)</f>
        <v>Marne Mingey</v>
      </c>
      <c r="J646" s="2" t="str" cm="1">
        <f t="array" ref="J646">IF(_xlfn.XLOOKUP(F646,Customers!A645:$A$1001,Customers!C645:$C$1001,"Not Found",0)=0,"",_xlfn.XLOOKUP(F646,Customers!A645:$A$1001,Customers!C645:$C$1001,"Not Found",0))</f>
        <v/>
      </c>
      <c r="K646" s="2" t="str" cm="1">
        <f t="array" ref="K646">_xlfn.XLOOKUP(F646,Customers!A645:$A$1001,Customers!G645:$G$1001,"Not Found",0)</f>
        <v>United States</v>
      </c>
      <c r="L646" t="str">
        <f>INDEX(Products!$A$1:$G$49,MATCH(Orders!$G646,Products!$A$1:$A$49,0),MATCH(Orders!L$1,Products!$A$1:$G$1,0))</f>
        <v>Rob</v>
      </c>
      <c r="M646" t="str">
        <f>INDEX(Products!$A$1:$G$49,MATCH(Orders!$G646,Products!$A$1:$A$49,0),MATCH(Orders!M$1,Products!$A$1:$G$1,0))</f>
        <v>D</v>
      </c>
      <c r="N646" s="4">
        <f>INDEX(Products!$A$1:$G$49,MATCH(Orders!$G646,Products!$A$1:$A$49,0),MATCH(Orders!N$1,Products!$A$1:$G$1,0))</f>
        <v>2.5</v>
      </c>
      <c r="O646" s="7">
        <f>INDEX(Products!$A$1:$G$49,MATCH(Orders!$G646,Products!$A$1:$A$49,0),MATCH(Orders!O$1,Products!$A$1:$G$1,0))</f>
        <v>20.584999999999997</v>
      </c>
      <c r="P646" s="7">
        <f t="shared" si="10"/>
        <v>41.169999999999995</v>
      </c>
      <c r="Q646" t="str" cm="1">
        <f t="array" ref="Q646">_xlfn.IFS(L646="Rob","Robusta",L646="Exc", "Excelsa",L646="Ara", "Arabica",L646="Lib", "Liberica")</f>
        <v>Robusta</v>
      </c>
      <c r="R646" t="str" cm="1">
        <f t="array" ref="R646">_xlfn.IFS(M646="M","Medium",M646="L","Light",M646="D","Dark")</f>
        <v>Dark</v>
      </c>
    </row>
    <row r="647" spans="1:18">
      <c r="A647" s="2" t="s">
        <v>1302</v>
      </c>
      <c r="B647" s="3">
        <v>44106</v>
      </c>
      <c r="C647" s="9">
        <f>YEAR(Orders_Table[[#This Row],[Order Date]])</f>
        <v>2020</v>
      </c>
      <c r="D647" s="9">
        <f>MONTH(Orders_Table[[#This Row],[Order Date]])</f>
        <v>10</v>
      </c>
      <c r="E647" s="9" t="str" cm="1">
        <f t="array" ref="E6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47" s="2" t="s">
        <v>1303</v>
      </c>
      <c r="G647" t="s">
        <v>165</v>
      </c>
      <c r="H647" s="2">
        <v>3</v>
      </c>
      <c r="I647" s="2" t="str" cm="1">
        <f t="array" ref="I647">_xlfn.XLOOKUP(F647,Customers!A646:$A$1001,Customers!B646:$B$1001,"Not Found",0)</f>
        <v>Denny O' Ronan</v>
      </c>
      <c r="J647" s="2" t="str" cm="1">
        <f t="array" ref="J647">IF(_xlfn.XLOOKUP(F647,Customers!A646:$A$1001,Customers!C646:$C$1001,"Not Found",0)=0,"",_xlfn.XLOOKUP(F647,Customers!A646:$A$1001,Customers!C646:$C$1001,"Not Found",0))</f>
        <v>dohx@redcross.org</v>
      </c>
      <c r="K647" s="2" t="str" cm="1">
        <f t="array" ref="K647">_xlfn.XLOOKUP(F647,Customers!A646:$A$1001,Customers!G646:$G$1001,"Not Found",0)</f>
        <v>United States</v>
      </c>
      <c r="L647" t="str">
        <f>INDEX(Products!$A$1:$G$49,MATCH(Orders!$G647,Products!$A$1:$A$49,0),MATCH(Orders!L$1,Products!$A$1:$G$1,0))</f>
        <v>Ara</v>
      </c>
      <c r="M647" t="str">
        <f>INDEX(Products!$A$1:$G$49,MATCH(Orders!$G647,Products!$A$1:$A$49,0),MATCH(Orders!M$1,Products!$A$1:$G$1,0))</f>
        <v>D</v>
      </c>
      <c r="N647" s="4">
        <f>INDEX(Products!$A$1:$G$49,MATCH(Orders!$G647,Products!$A$1:$A$49,0),MATCH(Orders!N$1,Products!$A$1:$G$1,0))</f>
        <v>2.5</v>
      </c>
      <c r="O647" s="7">
        <f>INDEX(Products!$A$1:$G$49,MATCH(Orders!$G647,Products!$A$1:$A$49,0),MATCH(Orders!O$1,Products!$A$1:$G$1,0))</f>
        <v>22.884999999999998</v>
      </c>
      <c r="P647" s="7">
        <f t="shared" si="10"/>
        <v>68.655000000000001</v>
      </c>
      <c r="Q647" t="str" cm="1">
        <f t="array" ref="Q647">_xlfn.IFS(L647="Rob","Robusta",L647="Exc", "Excelsa",L647="Ara", "Arabica",L647="Lib", "Liberica")</f>
        <v>Arabica</v>
      </c>
      <c r="R647" t="str" cm="1">
        <f t="array" ref="R647">_xlfn.IFS(M647="M","Medium",M647="L","Light",M647="D","Dark")</f>
        <v>Dark</v>
      </c>
    </row>
    <row r="648" spans="1:18">
      <c r="A648" s="2" t="s">
        <v>1304</v>
      </c>
      <c r="B648" s="3">
        <v>44532</v>
      </c>
      <c r="C648" s="9">
        <f>YEAR(Orders_Table[[#This Row],[Order Date]])</f>
        <v>2021</v>
      </c>
      <c r="D648" s="9">
        <f>MONTH(Orders_Table[[#This Row],[Order Date]])</f>
        <v>12</v>
      </c>
      <c r="E648" s="9" t="str" cm="1">
        <f t="array" ref="E6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48" s="2" t="s">
        <v>1305</v>
      </c>
      <c r="G648" t="s">
        <v>74</v>
      </c>
      <c r="H648" s="2">
        <v>1</v>
      </c>
      <c r="I648" s="2" t="str" cm="1">
        <f t="array" ref="I648">_xlfn.XLOOKUP(F648,Customers!A647:$A$1001,Customers!B647:$B$1001,"Not Found",0)</f>
        <v>Dottie Rallin</v>
      </c>
      <c r="J648" s="2" t="str" cm="1">
        <f t="array" ref="J648">IF(_xlfn.XLOOKUP(F648,Customers!A647:$A$1001,Customers!C647:$C$1001,"Not Found",0)=0,"",_xlfn.XLOOKUP(F648,Customers!A647:$A$1001,Customers!C647:$C$1001,"Not Found",0))</f>
        <v>drallinhy@howstuffworks.com</v>
      </c>
      <c r="K648" s="2" t="str" cm="1">
        <f t="array" ref="K648">_xlfn.XLOOKUP(F648,Customers!A647:$A$1001,Customers!G647:$G$1001,"Not Found",0)</f>
        <v>United States</v>
      </c>
      <c r="L648" t="str">
        <f>INDEX(Products!$A$1:$G$49,MATCH(Orders!$G648,Products!$A$1:$A$49,0),MATCH(Orders!L$1,Products!$A$1:$G$1,0))</f>
        <v>Ara</v>
      </c>
      <c r="M648" t="str">
        <f>INDEX(Products!$A$1:$G$49,MATCH(Orders!$G648,Products!$A$1:$A$49,0),MATCH(Orders!M$1,Products!$A$1:$G$1,0))</f>
        <v>D</v>
      </c>
      <c r="N648" s="4">
        <f>INDEX(Products!$A$1:$G$49,MATCH(Orders!$G648,Products!$A$1:$A$49,0),MATCH(Orders!N$1,Products!$A$1:$G$1,0))</f>
        <v>1</v>
      </c>
      <c r="O648" s="7">
        <f>INDEX(Products!$A$1:$G$49,MATCH(Orders!$G648,Products!$A$1:$A$49,0),MATCH(Orders!O$1,Products!$A$1:$G$1,0))</f>
        <v>9.9499999999999993</v>
      </c>
      <c r="P648" s="7">
        <f t="shared" si="10"/>
        <v>9.9499999999999993</v>
      </c>
      <c r="Q648" t="str" cm="1">
        <f t="array" ref="Q648">_xlfn.IFS(L648="Rob","Robusta",L648="Exc", "Excelsa",L648="Ara", "Arabica",L648="Lib", "Liberica")</f>
        <v>Arabica</v>
      </c>
      <c r="R648" t="str" cm="1">
        <f t="array" ref="R648">_xlfn.IFS(M648="M","Medium",M648="L","Light",M648="D","Dark")</f>
        <v>Dark</v>
      </c>
    </row>
    <row r="649" spans="1:18">
      <c r="A649" s="2" t="s">
        <v>1306</v>
      </c>
      <c r="B649" s="3">
        <v>44502</v>
      </c>
      <c r="C649" s="9">
        <f>YEAR(Orders_Table[[#This Row],[Order Date]])</f>
        <v>2021</v>
      </c>
      <c r="D649" s="9">
        <f>MONTH(Orders_Table[[#This Row],[Order Date]])</f>
        <v>11</v>
      </c>
      <c r="E649" s="9" t="str" cm="1">
        <f t="array" ref="E6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649" s="2" t="s">
        <v>1307</v>
      </c>
      <c r="G649" t="s">
        <v>130</v>
      </c>
      <c r="H649" s="2">
        <v>3</v>
      </c>
      <c r="I649" s="2" t="str" cm="1">
        <f t="array" ref="I649">_xlfn.XLOOKUP(F649,Customers!A648:$A$1001,Customers!B648:$B$1001,"Not Found",0)</f>
        <v>Ardith Chill</v>
      </c>
      <c r="J649" s="2" t="str" cm="1">
        <f t="array" ref="J649">IF(_xlfn.XLOOKUP(F649,Customers!A648:$A$1001,Customers!C648:$C$1001,"Not Found",0)=0,"",_xlfn.XLOOKUP(F649,Customers!A648:$A$1001,Customers!C648:$C$1001,"Not Found",0))</f>
        <v>achillhz@epa.gov</v>
      </c>
      <c r="K649" s="2" t="str" cm="1">
        <f t="array" ref="K649">_xlfn.XLOOKUP(F649,Customers!A648:$A$1001,Customers!G648:$G$1001,"Not Found",0)</f>
        <v>United Kingdom</v>
      </c>
      <c r="L649" t="str">
        <f>INDEX(Products!$A$1:$G$49,MATCH(Orders!$G649,Products!$A$1:$A$49,0),MATCH(Orders!L$1,Products!$A$1:$G$1,0))</f>
        <v>Lib</v>
      </c>
      <c r="M649" t="str">
        <f>INDEX(Products!$A$1:$G$49,MATCH(Orders!$G649,Products!$A$1:$A$49,0),MATCH(Orders!M$1,Products!$A$1:$G$1,0))</f>
        <v>L</v>
      </c>
      <c r="N649" s="4">
        <f>INDEX(Products!$A$1:$G$49,MATCH(Orders!$G649,Products!$A$1:$A$49,0),MATCH(Orders!N$1,Products!$A$1:$G$1,0))</f>
        <v>0.5</v>
      </c>
      <c r="O649" s="7">
        <f>INDEX(Products!$A$1:$G$49,MATCH(Orders!$G649,Products!$A$1:$A$49,0),MATCH(Orders!O$1,Products!$A$1:$G$1,0))</f>
        <v>9.51</v>
      </c>
      <c r="P649" s="7">
        <f t="shared" si="10"/>
        <v>28.53</v>
      </c>
      <c r="Q649" t="str" cm="1">
        <f t="array" ref="Q649">_xlfn.IFS(L649="Rob","Robusta",L649="Exc", "Excelsa",L649="Ara", "Arabica",L649="Lib", "Liberica")</f>
        <v>Liberica</v>
      </c>
      <c r="R649" t="str" cm="1">
        <f t="array" ref="R649">_xlfn.IFS(M649="M","Medium",M649="L","Light",M649="D","Dark")</f>
        <v>Light</v>
      </c>
    </row>
    <row r="650" spans="1:18">
      <c r="A650" s="2" t="s">
        <v>1308</v>
      </c>
      <c r="B650" s="3">
        <v>43884</v>
      </c>
      <c r="C650" s="9">
        <f>YEAR(Orders_Table[[#This Row],[Order Date]])</f>
        <v>2020</v>
      </c>
      <c r="D650" s="9">
        <f>MONTH(Orders_Table[[#This Row],[Order Date]])</f>
        <v>2</v>
      </c>
      <c r="E650" s="9" t="str" cm="1">
        <f t="array" ref="E6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50" s="2" t="s">
        <v>1293</v>
      </c>
      <c r="G650" t="s">
        <v>148</v>
      </c>
      <c r="H650" s="2">
        <v>6</v>
      </c>
      <c r="I650" s="2" t="str" cm="1">
        <f t="array" ref="I650">_xlfn.XLOOKUP(F650,Customers!A649:$A$1001,Customers!B649:$B$1001,"Not Found",0)</f>
        <v>Tuckie Mathonnet</v>
      </c>
      <c r="J650" s="2" t="str" cm="1">
        <f t="array" ref="J650">IF(_xlfn.XLOOKUP(F650,Customers!A649:$A$1001,Customers!C649:$C$1001,"Not Found",0)=0,"",_xlfn.XLOOKUP(F650,Customers!A649:$A$1001,Customers!C649:$C$1001,"Not Found",0))</f>
        <v>tmathonneti0@google.co.jp</v>
      </c>
      <c r="K650" s="2" t="str" cm="1">
        <f t="array" ref="K650">_xlfn.XLOOKUP(F650,Customers!A649:$A$1001,Customers!G649:$G$1001,"Not Found",0)</f>
        <v>United States</v>
      </c>
      <c r="L650" t="str">
        <f>INDEX(Products!$A$1:$G$49,MATCH(Orders!$G650,Products!$A$1:$A$49,0),MATCH(Orders!L$1,Products!$A$1:$G$1,0))</f>
        <v>Rob</v>
      </c>
      <c r="M650" t="str">
        <f>INDEX(Products!$A$1:$G$49,MATCH(Orders!$G650,Products!$A$1:$A$49,0),MATCH(Orders!M$1,Products!$A$1:$G$1,0))</f>
        <v>D</v>
      </c>
      <c r="N650" s="4">
        <f>INDEX(Products!$A$1:$G$49,MATCH(Orders!$G650,Products!$A$1:$A$49,0),MATCH(Orders!N$1,Products!$A$1:$G$1,0))</f>
        <v>0.2</v>
      </c>
      <c r="O650" s="7">
        <f>INDEX(Products!$A$1:$G$49,MATCH(Orders!$G650,Products!$A$1:$A$49,0),MATCH(Orders!O$1,Products!$A$1:$G$1,0))</f>
        <v>2.6849999999999996</v>
      </c>
      <c r="P650" s="7">
        <f t="shared" si="10"/>
        <v>16.11</v>
      </c>
      <c r="Q650" t="str" cm="1">
        <f t="array" ref="Q650">_xlfn.IFS(L650="Rob","Robusta",L650="Exc", "Excelsa",L650="Ara", "Arabica",L650="Lib", "Liberica")</f>
        <v>Robusta</v>
      </c>
      <c r="R650" t="str" cm="1">
        <f t="array" ref="R650">_xlfn.IFS(M650="M","Medium",M650="L","Light",M650="D","Dark")</f>
        <v>Dark</v>
      </c>
    </row>
    <row r="651" spans="1:18">
      <c r="A651" s="2" t="s">
        <v>1309</v>
      </c>
      <c r="B651" s="3">
        <v>44015</v>
      </c>
      <c r="C651" s="9">
        <f>YEAR(Orders_Table[[#This Row],[Order Date]])</f>
        <v>2020</v>
      </c>
      <c r="D651" s="9">
        <f>MONTH(Orders_Table[[#This Row],[Order Date]])</f>
        <v>7</v>
      </c>
      <c r="E651" s="9" t="str" cm="1">
        <f t="array" ref="E6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51" s="2" t="s">
        <v>1310</v>
      </c>
      <c r="G651" t="s">
        <v>179</v>
      </c>
      <c r="H651" s="2">
        <v>6</v>
      </c>
      <c r="I651" s="2" t="str" cm="1">
        <f t="array" ref="I651">_xlfn.XLOOKUP(F651,Customers!A650:$A$1001,Customers!B650:$B$1001,"Not Found",0)</f>
        <v>Charmane Denys</v>
      </c>
      <c r="J651" s="2" t="str" cm="1">
        <f t="array" ref="J651">IF(_xlfn.XLOOKUP(F651,Customers!A650:$A$1001,Customers!C650:$C$1001,"Not Found",0)=0,"",_xlfn.XLOOKUP(F651,Customers!A650:$A$1001,Customers!C650:$C$1001,"Not Found",0))</f>
        <v>cdenysi1@is.gd</v>
      </c>
      <c r="K651" s="2" t="str" cm="1">
        <f t="array" ref="K651">_xlfn.XLOOKUP(F651,Customers!A650:$A$1001,Customers!G650:$G$1001,"Not Found",0)</f>
        <v>United Kingdom</v>
      </c>
      <c r="L651" t="str">
        <f>INDEX(Products!$A$1:$G$49,MATCH(Orders!$G651,Products!$A$1:$A$49,0),MATCH(Orders!L$1,Products!$A$1:$G$1,0))</f>
        <v>Lib</v>
      </c>
      <c r="M651" t="str">
        <f>INDEX(Products!$A$1:$G$49,MATCH(Orders!$G651,Products!$A$1:$A$49,0),MATCH(Orders!M$1,Products!$A$1:$G$1,0))</f>
        <v>L</v>
      </c>
      <c r="N651" s="4">
        <f>INDEX(Products!$A$1:$G$49,MATCH(Orders!$G651,Products!$A$1:$A$49,0),MATCH(Orders!N$1,Products!$A$1:$G$1,0))</f>
        <v>1</v>
      </c>
      <c r="O651" s="7">
        <f>INDEX(Products!$A$1:$G$49,MATCH(Orders!$G651,Products!$A$1:$A$49,0),MATCH(Orders!O$1,Products!$A$1:$G$1,0))</f>
        <v>15.85</v>
      </c>
      <c r="P651" s="7">
        <f t="shared" si="10"/>
        <v>95.1</v>
      </c>
      <c r="Q651" t="str" cm="1">
        <f t="array" ref="Q651">_xlfn.IFS(L651="Rob","Robusta",L651="Exc", "Excelsa",L651="Ara", "Arabica",L651="Lib", "Liberica")</f>
        <v>Liberica</v>
      </c>
      <c r="R651" t="str" cm="1">
        <f t="array" ref="R651">_xlfn.IFS(M651="M","Medium",M651="L","Light",M651="D","Dark")</f>
        <v>Light</v>
      </c>
    </row>
    <row r="652" spans="1:18">
      <c r="A652" s="2" t="s">
        <v>1311</v>
      </c>
      <c r="B652" s="3">
        <v>43507</v>
      </c>
      <c r="C652" s="9">
        <f>YEAR(Orders_Table[[#This Row],[Order Date]])</f>
        <v>2019</v>
      </c>
      <c r="D652" s="9">
        <f>MONTH(Orders_Table[[#This Row],[Order Date]])</f>
        <v>2</v>
      </c>
      <c r="E652" s="9" t="str" cm="1">
        <f t="array" ref="E6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52" s="2" t="s">
        <v>1312</v>
      </c>
      <c r="G652" t="s">
        <v>193</v>
      </c>
      <c r="H652" s="2">
        <v>1</v>
      </c>
      <c r="I652" s="2" t="str" cm="1">
        <f t="array" ref="I652">_xlfn.XLOOKUP(F652,Customers!A651:$A$1001,Customers!B651:$B$1001,"Not Found",0)</f>
        <v>Cecily Stebbings</v>
      </c>
      <c r="J652" s="2" t="str" cm="1">
        <f t="array" ref="J652">IF(_xlfn.XLOOKUP(F652,Customers!A651:$A$1001,Customers!C651:$C$1001,"Not Found",0)=0,"",_xlfn.XLOOKUP(F652,Customers!A651:$A$1001,Customers!C651:$C$1001,"Not Found",0))</f>
        <v>cstebbingsi2@drupal.org</v>
      </c>
      <c r="K652" s="2" t="str" cm="1">
        <f t="array" ref="K652">_xlfn.XLOOKUP(F652,Customers!A651:$A$1001,Customers!G651:$G$1001,"Not Found",0)</f>
        <v>United States</v>
      </c>
      <c r="L652" t="str">
        <f>INDEX(Products!$A$1:$G$49,MATCH(Orders!$G652,Products!$A$1:$A$49,0),MATCH(Orders!L$1,Products!$A$1:$G$1,0))</f>
        <v>Rob</v>
      </c>
      <c r="M652" t="str">
        <f>INDEX(Products!$A$1:$G$49,MATCH(Orders!$G652,Products!$A$1:$A$49,0),MATCH(Orders!M$1,Products!$A$1:$G$1,0))</f>
        <v>D</v>
      </c>
      <c r="N652" s="4">
        <f>INDEX(Products!$A$1:$G$49,MATCH(Orders!$G652,Products!$A$1:$A$49,0),MATCH(Orders!N$1,Products!$A$1:$G$1,0))</f>
        <v>0.5</v>
      </c>
      <c r="O652" s="7">
        <f>INDEX(Products!$A$1:$G$49,MATCH(Orders!$G652,Products!$A$1:$A$49,0),MATCH(Orders!O$1,Products!$A$1:$G$1,0))</f>
        <v>5.3699999999999992</v>
      </c>
      <c r="P652" s="7">
        <f t="shared" si="10"/>
        <v>5.3699999999999992</v>
      </c>
      <c r="Q652" t="str" cm="1">
        <f t="array" ref="Q652">_xlfn.IFS(L652="Rob","Robusta",L652="Exc", "Excelsa",L652="Ara", "Arabica",L652="Lib", "Liberica")</f>
        <v>Robusta</v>
      </c>
      <c r="R652" t="str" cm="1">
        <f t="array" ref="R652">_xlfn.IFS(M652="M","Medium",M652="L","Light",M652="D","Dark")</f>
        <v>Dark</v>
      </c>
    </row>
    <row r="653" spans="1:18">
      <c r="A653" s="2" t="s">
        <v>1313</v>
      </c>
      <c r="B653" s="3">
        <v>44084</v>
      </c>
      <c r="C653" s="9">
        <f>YEAR(Orders_Table[[#This Row],[Order Date]])</f>
        <v>2020</v>
      </c>
      <c r="D653" s="9">
        <f>MONTH(Orders_Table[[#This Row],[Order Date]])</f>
        <v>9</v>
      </c>
      <c r="E653" s="9" t="str" cm="1">
        <f t="array" ref="E6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53" s="2" t="s">
        <v>1314</v>
      </c>
      <c r="G653" t="s">
        <v>236</v>
      </c>
      <c r="H653" s="2">
        <v>4</v>
      </c>
      <c r="I653" s="2" t="str" cm="1">
        <f t="array" ref="I653">_xlfn.XLOOKUP(F653,Customers!A652:$A$1001,Customers!B652:$B$1001,"Not Found",0)</f>
        <v>Giana Tonnesen</v>
      </c>
      <c r="J653" s="2" t="str" cm="1">
        <f t="array" ref="J653">IF(_xlfn.XLOOKUP(F653,Customers!A652:$A$1001,Customers!C652:$C$1001,"Not Found",0)=0,"",_xlfn.XLOOKUP(F653,Customers!A652:$A$1001,Customers!C652:$C$1001,"Not Found",0))</f>
        <v/>
      </c>
      <c r="K653" s="2" t="str" cm="1">
        <f t="array" ref="K653">_xlfn.XLOOKUP(F653,Customers!A652:$A$1001,Customers!G652:$G$1001,"Not Found",0)</f>
        <v>United States</v>
      </c>
      <c r="L653" t="str">
        <f>INDEX(Products!$A$1:$G$49,MATCH(Orders!$G653,Products!$A$1:$A$49,0),MATCH(Orders!L$1,Products!$A$1:$G$1,0))</f>
        <v>Rob</v>
      </c>
      <c r="M653" t="str">
        <f>INDEX(Products!$A$1:$G$49,MATCH(Orders!$G653,Products!$A$1:$A$49,0),MATCH(Orders!M$1,Products!$A$1:$G$1,0))</f>
        <v>L</v>
      </c>
      <c r="N653" s="4">
        <f>INDEX(Products!$A$1:$G$49,MATCH(Orders!$G653,Products!$A$1:$A$49,0),MATCH(Orders!N$1,Products!$A$1:$G$1,0))</f>
        <v>1</v>
      </c>
      <c r="O653" s="7">
        <f>INDEX(Products!$A$1:$G$49,MATCH(Orders!$G653,Products!$A$1:$A$49,0),MATCH(Orders!O$1,Products!$A$1:$G$1,0))</f>
        <v>11.95</v>
      </c>
      <c r="P653" s="7">
        <f t="shared" si="10"/>
        <v>47.8</v>
      </c>
      <c r="Q653" t="str" cm="1">
        <f t="array" ref="Q653">_xlfn.IFS(L653="Rob","Robusta",L653="Exc", "Excelsa",L653="Ara", "Arabica",L653="Lib", "Liberica")</f>
        <v>Robusta</v>
      </c>
      <c r="R653" t="str" cm="1">
        <f t="array" ref="R653">_xlfn.IFS(M653="M","Medium",M653="L","Light",M653="D","Dark")</f>
        <v>Light</v>
      </c>
    </row>
    <row r="654" spans="1:18">
      <c r="A654" s="2" t="s">
        <v>1315</v>
      </c>
      <c r="B654" s="3">
        <v>43892</v>
      </c>
      <c r="C654" s="9">
        <f>YEAR(Orders_Table[[#This Row],[Order Date]])</f>
        <v>2020</v>
      </c>
      <c r="D654" s="9">
        <f>MONTH(Orders_Table[[#This Row],[Order Date]])</f>
        <v>3</v>
      </c>
      <c r="E654" s="9" t="str" cm="1">
        <f t="array" ref="E6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54" s="2" t="s">
        <v>1316</v>
      </c>
      <c r="G654" t="s">
        <v>179</v>
      </c>
      <c r="H654" s="2">
        <v>4</v>
      </c>
      <c r="I654" s="2" t="str" cm="1">
        <f t="array" ref="I654">_xlfn.XLOOKUP(F654,Customers!A653:$A$1001,Customers!B653:$B$1001,"Not Found",0)</f>
        <v>Rhetta Zywicki</v>
      </c>
      <c r="J654" s="2" t="str" cm="1">
        <f t="array" ref="J654">IF(_xlfn.XLOOKUP(F654,Customers!A653:$A$1001,Customers!C653:$C$1001,"Not Found",0)=0,"",_xlfn.XLOOKUP(F654,Customers!A653:$A$1001,Customers!C653:$C$1001,"Not Found",0))</f>
        <v>rzywickii4@ifeng.com</v>
      </c>
      <c r="K654" s="2" t="str" cm="1">
        <f t="array" ref="K654">_xlfn.XLOOKUP(F654,Customers!A653:$A$1001,Customers!G653:$G$1001,"Not Found",0)</f>
        <v>Ireland</v>
      </c>
      <c r="L654" t="str">
        <f>INDEX(Products!$A$1:$G$49,MATCH(Orders!$G654,Products!$A$1:$A$49,0),MATCH(Orders!L$1,Products!$A$1:$G$1,0))</f>
        <v>Lib</v>
      </c>
      <c r="M654" t="str">
        <f>INDEX(Products!$A$1:$G$49,MATCH(Orders!$G654,Products!$A$1:$A$49,0),MATCH(Orders!M$1,Products!$A$1:$G$1,0))</f>
        <v>L</v>
      </c>
      <c r="N654" s="4">
        <f>INDEX(Products!$A$1:$G$49,MATCH(Orders!$G654,Products!$A$1:$A$49,0),MATCH(Orders!N$1,Products!$A$1:$G$1,0))</f>
        <v>1</v>
      </c>
      <c r="O654" s="7">
        <f>INDEX(Products!$A$1:$G$49,MATCH(Orders!$G654,Products!$A$1:$A$49,0),MATCH(Orders!O$1,Products!$A$1:$G$1,0))</f>
        <v>15.85</v>
      </c>
      <c r="P654" s="7">
        <f t="shared" si="10"/>
        <v>63.4</v>
      </c>
      <c r="Q654" t="str" cm="1">
        <f t="array" ref="Q654">_xlfn.IFS(L654="Rob","Robusta",L654="Exc", "Excelsa",L654="Ara", "Arabica",L654="Lib", "Liberica")</f>
        <v>Liberica</v>
      </c>
      <c r="R654" t="str" cm="1">
        <f t="array" ref="R654">_xlfn.IFS(M654="M","Medium",M654="L","Light",M654="D","Dark")</f>
        <v>Light</v>
      </c>
    </row>
    <row r="655" spans="1:18">
      <c r="A655" s="2" t="s">
        <v>1317</v>
      </c>
      <c r="B655" s="3">
        <v>44375</v>
      </c>
      <c r="C655" s="9">
        <f>YEAR(Orders_Table[[#This Row],[Order Date]])</f>
        <v>2021</v>
      </c>
      <c r="D655" s="9">
        <f>MONTH(Orders_Table[[#This Row],[Order Date]])</f>
        <v>6</v>
      </c>
      <c r="E655" s="9" t="str" cm="1">
        <f t="array" ref="E6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55" s="2" t="s">
        <v>1318</v>
      </c>
      <c r="G655" t="s">
        <v>218</v>
      </c>
      <c r="H655" s="2">
        <v>4</v>
      </c>
      <c r="I655" s="2" t="str" cm="1">
        <f t="array" ref="I655">_xlfn.XLOOKUP(F655,Customers!A654:$A$1001,Customers!B654:$B$1001,"Not Found",0)</f>
        <v>Almeria Burgett</v>
      </c>
      <c r="J655" s="2" t="str" cm="1">
        <f t="array" ref="J655">IF(_xlfn.XLOOKUP(F655,Customers!A654:$A$1001,Customers!C654:$C$1001,"Not Found",0)=0,"",_xlfn.XLOOKUP(F655,Customers!A654:$A$1001,Customers!C654:$C$1001,"Not Found",0))</f>
        <v>aburgetti5@moonfruit.com</v>
      </c>
      <c r="K655" s="2" t="str" cm="1">
        <f t="array" ref="K655">_xlfn.XLOOKUP(F655,Customers!A654:$A$1001,Customers!G654:$G$1001,"Not Found",0)</f>
        <v>United States</v>
      </c>
      <c r="L655" t="str">
        <f>INDEX(Products!$A$1:$G$49,MATCH(Orders!$G655,Products!$A$1:$A$49,0),MATCH(Orders!L$1,Products!$A$1:$G$1,0))</f>
        <v>Ara</v>
      </c>
      <c r="M655" t="str">
        <f>INDEX(Products!$A$1:$G$49,MATCH(Orders!$G655,Products!$A$1:$A$49,0),MATCH(Orders!M$1,Products!$A$1:$G$1,0))</f>
        <v>M</v>
      </c>
      <c r="N655" s="4">
        <f>INDEX(Products!$A$1:$G$49,MATCH(Orders!$G655,Products!$A$1:$A$49,0),MATCH(Orders!N$1,Products!$A$1:$G$1,0))</f>
        <v>2.5</v>
      </c>
      <c r="O655" s="7">
        <f>INDEX(Products!$A$1:$G$49,MATCH(Orders!$G655,Products!$A$1:$A$49,0),MATCH(Orders!O$1,Products!$A$1:$G$1,0))</f>
        <v>25.874999999999996</v>
      </c>
      <c r="P655" s="7">
        <f t="shared" si="10"/>
        <v>103.49999999999999</v>
      </c>
      <c r="Q655" t="str" cm="1">
        <f t="array" ref="Q655">_xlfn.IFS(L655="Rob","Robusta",L655="Exc", "Excelsa",L655="Ara", "Arabica",L655="Lib", "Liberica")</f>
        <v>Arabica</v>
      </c>
      <c r="R655" t="str" cm="1">
        <f t="array" ref="R655">_xlfn.IFS(M655="M","Medium",M655="L","Light",M655="D","Dark")</f>
        <v>Medium</v>
      </c>
    </row>
    <row r="656" spans="1:18">
      <c r="A656" s="2" t="s">
        <v>1319</v>
      </c>
      <c r="B656" s="3">
        <v>43476</v>
      </c>
      <c r="C656" s="9">
        <f>YEAR(Orders_Table[[#This Row],[Order Date]])</f>
        <v>2019</v>
      </c>
      <c r="D656" s="9">
        <f>MONTH(Orders_Table[[#This Row],[Order Date]])</f>
        <v>1</v>
      </c>
      <c r="E656" s="9" t="str" cm="1">
        <f t="array" ref="E6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56" s="2" t="s">
        <v>1320</v>
      </c>
      <c r="G656" t="s">
        <v>165</v>
      </c>
      <c r="H656" s="2">
        <v>3</v>
      </c>
      <c r="I656" s="2" t="str" cm="1">
        <f t="array" ref="I656">_xlfn.XLOOKUP(F656,Customers!A655:$A$1001,Customers!B655:$B$1001,"Not Found",0)</f>
        <v>Marvin Malloy</v>
      </c>
      <c r="J656" s="2" t="str" cm="1">
        <f t="array" ref="J656">IF(_xlfn.XLOOKUP(F656,Customers!A655:$A$1001,Customers!C655:$C$1001,"Not Found",0)=0,"",_xlfn.XLOOKUP(F656,Customers!A655:$A$1001,Customers!C655:$C$1001,"Not Found",0))</f>
        <v>mmalloyi6@seattletimes.com</v>
      </c>
      <c r="K656" s="2" t="str" cm="1">
        <f t="array" ref="K656">_xlfn.XLOOKUP(F656,Customers!A655:$A$1001,Customers!G655:$G$1001,"Not Found",0)</f>
        <v>United States</v>
      </c>
      <c r="L656" t="str">
        <f>INDEX(Products!$A$1:$G$49,MATCH(Orders!$G656,Products!$A$1:$A$49,0),MATCH(Orders!L$1,Products!$A$1:$G$1,0))</f>
        <v>Ara</v>
      </c>
      <c r="M656" t="str">
        <f>INDEX(Products!$A$1:$G$49,MATCH(Orders!$G656,Products!$A$1:$A$49,0),MATCH(Orders!M$1,Products!$A$1:$G$1,0))</f>
        <v>D</v>
      </c>
      <c r="N656" s="4">
        <f>INDEX(Products!$A$1:$G$49,MATCH(Orders!$G656,Products!$A$1:$A$49,0),MATCH(Orders!N$1,Products!$A$1:$G$1,0))</f>
        <v>2.5</v>
      </c>
      <c r="O656" s="7">
        <f>INDEX(Products!$A$1:$G$49,MATCH(Orders!$G656,Products!$A$1:$A$49,0),MATCH(Orders!O$1,Products!$A$1:$G$1,0))</f>
        <v>22.884999999999998</v>
      </c>
      <c r="P656" s="7">
        <f t="shared" si="10"/>
        <v>68.655000000000001</v>
      </c>
      <c r="Q656" t="str" cm="1">
        <f t="array" ref="Q656">_xlfn.IFS(L656="Rob","Robusta",L656="Exc", "Excelsa",L656="Ara", "Arabica",L656="Lib", "Liberica")</f>
        <v>Arabica</v>
      </c>
      <c r="R656" t="str" cm="1">
        <f t="array" ref="R656">_xlfn.IFS(M656="M","Medium",M656="L","Light",M656="D","Dark")</f>
        <v>Dark</v>
      </c>
    </row>
    <row r="657" spans="1:18">
      <c r="A657" s="2" t="s">
        <v>1321</v>
      </c>
      <c r="B657" s="3">
        <v>43728</v>
      </c>
      <c r="C657" s="9">
        <f>YEAR(Orders_Table[[#This Row],[Order Date]])</f>
        <v>2019</v>
      </c>
      <c r="D657" s="9">
        <f>MONTH(Orders_Table[[#This Row],[Order Date]])</f>
        <v>9</v>
      </c>
      <c r="E657" s="9" t="str" cm="1">
        <f t="array" ref="E6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57" s="2" t="s">
        <v>1322</v>
      </c>
      <c r="G657" t="s">
        <v>88</v>
      </c>
      <c r="H657" s="2">
        <v>2</v>
      </c>
      <c r="I657" s="2" t="str" cm="1">
        <f t="array" ref="I657">_xlfn.XLOOKUP(F657,Customers!A656:$A$1001,Customers!B656:$B$1001,"Not Found",0)</f>
        <v>Maxim McParland</v>
      </c>
      <c r="J657" s="2" t="str" cm="1">
        <f t="array" ref="J657">IF(_xlfn.XLOOKUP(F657,Customers!A656:$A$1001,Customers!C656:$C$1001,"Not Found",0)=0,"",_xlfn.XLOOKUP(F657,Customers!A656:$A$1001,Customers!C656:$C$1001,"Not Found",0))</f>
        <v>mmcparlandi7@w3.org</v>
      </c>
      <c r="K657" s="2" t="str" cm="1">
        <f t="array" ref="K657">_xlfn.XLOOKUP(F657,Customers!A656:$A$1001,Customers!G656:$G$1001,"Not Found",0)</f>
        <v>United States</v>
      </c>
      <c r="L657" t="str">
        <f>INDEX(Products!$A$1:$G$49,MATCH(Orders!$G657,Products!$A$1:$A$49,0),MATCH(Orders!L$1,Products!$A$1:$G$1,0))</f>
        <v>Rob</v>
      </c>
      <c r="M657" t="str">
        <f>INDEX(Products!$A$1:$G$49,MATCH(Orders!$G657,Products!$A$1:$A$49,0),MATCH(Orders!M$1,Products!$A$1:$G$1,0))</f>
        <v>M</v>
      </c>
      <c r="N657" s="4">
        <f>INDEX(Products!$A$1:$G$49,MATCH(Orders!$G657,Products!$A$1:$A$49,0),MATCH(Orders!N$1,Products!$A$1:$G$1,0))</f>
        <v>2.5</v>
      </c>
      <c r="O657" s="7">
        <f>INDEX(Products!$A$1:$G$49,MATCH(Orders!$G657,Products!$A$1:$A$49,0),MATCH(Orders!O$1,Products!$A$1:$G$1,0))</f>
        <v>22.884999999999998</v>
      </c>
      <c r="P657" s="7">
        <f t="shared" si="10"/>
        <v>45.769999999999996</v>
      </c>
      <c r="Q657" t="str" cm="1">
        <f t="array" ref="Q657">_xlfn.IFS(L657="Rob","Robusta",L657="Exc", "Excelsa",L657="Ara", "Arabica",L657="Lib", "Liberica")</f>
        <v>Robusta</v>
      </c>
      <c r="R657" t="str" cm="1">
        <f t="array" ref="R657">_xlfn.IFS(M657="M","Medium",M657="L","Light",M657="D","Dark")</f>
        <v>Medium</v>
      </c>
    </row>
    <row r="658" spans="1:18">
      <c r="A658" s="2" t="s">
        <v>1323</v>
      </c>
      <c r="B658" s="3">
        <v>44485</v>
      </c>
      <c r="C658" s="9">
        <f>YEAR(Orders_Table[[#This Row],[Order Date]])</f>
        <v>2021</v>
      </c>
      <c r="D658" s="9">
        <f>MONTH(Orders_Table[[#This Row],[Order Date]])</f>
        <v>10</v>
      </c>
      <c r="E658" s="9" t="str" cm="1">
        <f t="array" ref="E6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58" s="2" t="s">
        <v>1324</v>
      </c>
      <c r="G658" t="s">
        <v>60</v>
      </c>
      <c r="H658" s="2">
        <v>4</v>
      </c>
      <c r="I658" s="2" t="str" cm="1">
        <f t="array" ref="I658">_xlfn.XLOOKUP(F658,Customers!A657:$A$1001,Customers!B657:$B$1001,"Not Found",0)</f>
        <v>Sylas Jennaroy</v>
      </c>
      <c r="J658" s="2" t="str" cm="1">
        <f t="array" ref="J658">IF(_xlfn.XLOOKUP(F658,Customers!A657:$A$1001,Customers!C657:$C$1001,"Not Found",0)=0,"",_xlfn.XLOOKUP(F658,Customers!A657:$A$1001,Customers!C657:$C$1001,"Not Found",0))</f>
        <v>sjennaroyi8@purevolume.com</v>
      </c>
      <c r="K658" s="2" t="str" cm="1">
        <f t="array" ref="K658">_xlfn.XLOOKUP(F658,Customers!A657:$A$1001,Customers!G657:$G$1001,"Not Found",0)</f>
        <v>United States</v>
      </c>
      <c r="L658" t="str">
        <f>INDEX(Products!$A$1:$G$49,MATCH(Orders!$G658,Products!$A$1:$A$49,0),MATCH(Orders!L$1,Products!$A$1:$G$1,0))</f>
        <v>Lib</v>
      </c>
      <c r="M658" t="str">
        <f>INDEX(Products!$A$1:$G$49,MATCH(Orders!$G658,Products!$A$1:$A$49,0),MATCH(Orders!M$1,Products!$A$1:$G$1,0))</f>
        <v>D</v>
      </c>
      <c r="N658" s="4">
        <f>INDEX(Products!$A$1:$G$49,MATCH(Orders!$G658,Products!$A$1:$A$49,0),MATCH(Orders!N$1,Products!$A$1:$G$1,0))</f>
        <v>1</v>
      </c>
      <c r="O658" s="7">
        <f>INDEX(Products!$A$1:$G$49,MATCH(Orders!$G658,Products!$A$1:$A$49,0),MATCH(Orders!O$1,Products!$A$1:$G$1,0))</f>
        <v>12.95</v>
      </c>
      <c r="P658" s="7">
        <f t="shared" si="10"/>
        <v>51.8</v>
      </c>
      <c r="Q658" t="str" cm="1">
        <f t="array" ref="Q658">_xlfn.IFS(L658="Rob","Robusta",L658="Exc", "Excelsa",L658="Ara", "Arabica",L658="Lib", "Liberica")</f>
        <v>Liberica</v>
      </c>
      <c r="R658" t="str" cm="1">
        <f t="array" ref="R658">_xlfn.IFS(M658="M","Medium",M658="L","Light",M658="D","Dark")</f>
        <v>Dark</v>
      </c>
    </row>
    <row r="659" spans="1:18">
      <c r="A659" s="2" t="s">
        <v>1325</v>
      </c>
      <c r="B659" s="3">
        <v>43831</v>
      </c>
      <c r="C659" s="9">
        <f>YEAR(Orders_Table[[#This Row],[Order Date]])</f>
        <v>2020</v>
      </c>
      <c r="D659" s="9">
        <f>MONTH(Orders_Table[[#This Row],[Order Date]])</f>
        <v>1</v>
      </c>
      <c r="E659" s="9" t="str" cm="1">
        <f t="array" ref="E6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59" s="2" t="s">
        <v>1326</v>
      </c>
      <c r="G659" t="s">
        <v>114</v>
      </c>
      <c r="H659" s="2">
        <v>2</v>
      </c>
      <c r="I659" s="2" t="str" cm="1">
        <f t="array" ref="I659">_xlfn.XLOOKUP(F659,Customers!A658:$A$1001,Customers!B658:$B$1001,"Not Found",0)</f>
        <v>Wren Place</v>
      </c>
      <c r="J659" s="2" t="str" cm="1">
        <f t="array" ref="J659">IF(_xlfn.XLOOKUP(F659,Customers!A658:$A$1001,Customers!C658:$C$1001,"Not Found",0)=0,"",_xlfn.XLOOKUP(F659,Customers!A658:$A$1001,Customers!C658:$C$1001,"Not Found",0))</f>
        <v>wplacei9@wsj.com</v>
      </c>
      <c r="K659" s="2" t="str" cm="1">
        <f t="array" ref="K659">_xlfn.XLOOKUP(F659,Customers!A658:$A$1001,Customers!G658:$G$1001,"Not Found",0)</f>
        <v>United States</v>
      </c>
      <c r="L659" t="str">
        <f>INDEX(Products!$A$1:$G$49,MATCH(Orders!$G659,Products!$A$1:$A$49,0),MATCH(Orders!L$1,Products!$A$1:$G$1,0))</f>
        <v>Ara</v>
      </c>
      <c r="M659" t="str">
        <f>INDEX(Products!$A$1:$G$49,MATCH(Orders!$G659,Products!$A$1:$A$49,0),MATCH(Orders!M$1,Products!$A$1:$G$1,0))</f>
        <v>M</v>
      </c>
      <c r="N659" s="4">
        <f>INDEX(Products!$A$1:$G$49,MATCH(Orders!$G659,Products!$A$1:$A$49,0),MATCH(Orders!N$1,Products!$A$1:$G$1,0))</f>
        <v>0.5</v>
      </c>
      <c r="O659" s="7">
        <f>INDEX(Products!$A$1:$G$49,MATCH(Orders!$G659,Products!$A$1:$A$49,0),MATCH(Orders!O$1,Products!$A$1:$G$1,0))</f>
        <v>6.75</v>
      </c>
      <c r="P659" s="7">
        <f t="shared" si="10"/>
        <v>13.5</v>
      </c>
      <c r="Q659" t="str" cm="1">
        <f t="array" ref="Q659">_xlfn.IFS(L659="Rob","Robusta",L659="Exc", "Excelsa",L659="Ara", "Arabica",L659="Lib", "Liberica")</f>
        <v>Arabica</v>
      </c>
      <c r="R659" t="str" cm="1">
        <f t="array" ref="R659">_xlfn.IFS(M659="M","Medium",M659="L","Light",M659="D","Dark")</f>
        <v>Medium</v>
      </c>
    </row>
    <row r="660" spans="1:18">
      <c r="A660" s="2" t="s">
        <v>1327</v>
      </c>
      <c r="B660" s="3">
        <v>44630</v>
      </c>
      <c r="C660" s="9">
        <f>YEAR(Orders_Table[[#This Row],[Order Date]])</f>
        <v>2022</v>
      </c>
      <c r="D660" s="9">
        <f>MONTH(Orders_Table[[#This Row],[Order Date]])</f>
        <v>3</v>
      </c>
      <c r="E660" s="9" t="str" cm="1">
        <f t="array" ref="E6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60" s="2" t="s">
        <v>1328</v>
      </c>
      <c r="G660" t="s">
        <v>50</v>
      </c>
      <c r="H660" s="2">
        <v>3</v>
      </c>
      <c r="I660" s="2" t="str" cm="1">
        <f t="array" ref="I660">_xlfn.XLOOKUP(F660,Customers!A659:$A$1001,Customers!B659:$B$1001,"Not Found",0)</f>
        <v>Janella Millett</v>
      </c>
      <c r="J660" s="2" t="str" cm="1">
        <f t="array" ref="J660">IF(_xlfn.XLOOKUP(F660,Customers!A659:$A$1001,Customers!C659:$C$1001,"Not Found",0)=0,"",_xlfn.XLOOKUP(F660,Customers!A659:$A$1001,Customers!C659:$C$1001,"Not Found",0))</f>
        <v>jmillettik@addtoany.com</v>
      </c>
      <c r="K660" s="2" t="str" cm="1">
        <f t="array" ref="K660">_xlfn.XLOOKUP(F660,Customers!A659:$A$1001,Customers!G659:$G$1001,"Not Found",0)</f>
        <v>United States</v>
      </c>
      <c r="L660" t="str">
        <f>INDEX(Products!$A$1:$G$49,MATCH(Orders!$G660,Products!$A$1:$A$49,0),MATCH(Orders!L$1,Products!$A$1:$G$1,0))</f>
        <v>Exc</v>
      </c>
      <c r="M660" t="str">
        <f>INDEX(Products!$A$1:$G$49,MATCH(Orders!$G660,Products!$A$1:$A$49,0),MATCH(Orders!M$1,Products!$A$1:$G$1,0))</f>
        <v>M</v>
      </c>
      <c r="N660" s="4">
        <f>INDEX(Products!$A$1:$G$49,MATCH(Orders!$G660,Products!$A$1:$A$49,0),MATCH(Orders!N$1,Products!$A$1:$G$1,0))</f>
        <v>0.5</v>
      </c>
      <c r="O660" s="7">
        <f>INDEX(Products!$A$1:$G$49,MATCH(Orders!$G660,Products!$A$1:$A$49,0),MATCH(Orders!O$1,Products!$A$1:$G$1,0))</f>
        <v>8.25</v>
      </c>
      <c r="P660" s="7">
        <f t="shared" si="10"/>
        <v>24.75</v>
      </c>
      <c r="Q660" t="str" cm="1">
        <f t="array" ref="Q660">_xlfn.IFS(L660="Rob","Robusta",L660="Exc", "Excelsa",L660="Ara", "Arabica",L660="Lib", "Liberica")</f>
        <v>Excelsa</v>
      </c>
      <c r="R660" t="str" cm="1">
        <f t="array" ref="R660">_xlfn.IFS(M660="M","Medium",M660="L","Light",M660="D","Dark")</f>
        <v>Medium</v>
      </c>
    </row>
    <row r="661" spans="1:18">
      <c r="A661" s="2" t="s">
        <v>1329</v>
      </c>
      <c r="B661" s="3">
        <v>44693</v>
      </c>
      <c r="C661" s="9">
        <f>YEAR(Orders_Table[[#This Row],[Order Date]])</f>
        <v>2022</v>
      </c>
      <c r="D661" s="9">
        <f>MONTH(Orders_Table[[#This Row],[Order Date]])</f>
        <v>5</v>
      </c>
      <c r="E661" s="9" t="str" cm="1">
        <f t="array" ref="E6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61" s="2" t="s">
        <v>1330</v>
      </c>
      <c r="G661" t="s">
        <v>165</v>
      </c>
      <c r="H661" s="2">
        <v>2</v>
      </c>
      <c r="I661" s="2" t="str" cm="1">
        <f t="array" ref="I661">_xlfn.XLOOKUP(F661,Customers!A660:$A$1001,Customers!B660:$B$1001,"Not Found",0)</f>
        <v>Dollie Gadsden</v>
      </c>
      <c r="J661" s="2" t="str" cm="1">
        <f t="array" ref="J661">IF(_xlfn.XLOOKUP(F661,Customers!A660:$A$1001,Customers!C660:$C$1001,"Not Found",0)=0,"",_xlfn.XLOOKUP(F661,Customers!A660:$A$1001,Customers!C660:$C$1001,"Not Found",0))</f>
        <v>dgadsdenib@google.com.hk</v>
      </c>
      <c r="K661" s="2" t="str" cm="1">
        <f t="array" ref="K661">_xlfn.XLOOKUP(F661,Customers!A660:$A$1001,Customers!G660:$G$1001,"Not Found",0)</f>
        <v>Ireland</v>
      </c>
      <c r="L661" t="str">
        <f>INDEX(Products!$A$1:$G$49,MATCH(Orders!$G661,Products!$A$1:$A$49,0),MATCH(Orders!L$1,Products!$A$1:$G$1,0))</f>
        <v>Ara</v>
      </c>
      <c r="M661" t="str">
        <f>INDEX(Products!$A$1:$G$49,MATCH(Orders!$G661,Products!$A$1:$A$49,0),MATCH(Orders!M$1,Products!$A$1:$G$1,0))</f>
        <v>D</v>
      </c>
      <c r="N661" s="4">
        <f>INDEX(Products!$A$1:$G$49,MATCH(Orders!$G661,Products!$A$1:$A$49,0),MATCH(Orders!N$1,Products!$A$1:$G$1,0))</f>
        <v>2.5</v>
      </c>
      <c r="O661" s="7">
        <f>INDEX(Products!$A$1:$G$49,MATCH(Orders!$G661,Products!$A$1:$A$49,0),MATCH(Orders!O$1,Products!$A$1:$G$1,0))</f>
        <v>22.884999999999998</v>
      </c>
      <c r="P661" s="7">
        <f t="shared" si="10"/>
        <v>45.769999999999996</v>
      </c>
      <c r="Q661" t="str" cm="1">
        <f t="array" ref="Q661">_xlfn.IFS(L661="Rob","Robusta",L661="Exc", "Excelsa",L661="Ara", "Arabica",L661="Lib", "Liberica")</f>
        <v>Arabica</v>
      </c>
      <c r="R661" t="str" cm="1">
        <f t="array" ref="R661">_xlfn.IFS(M661="M","Medium",M661="L","Light",M661="D","Dark")</f>
        <v>Dark</v>
      </c>
    </row>
    <row r="662" spans="1:18">
      <c r="A662" s="2" t="s">
        <v>1331</v>
      </c>
      <c r="B662" s="3">
        <v>44084</v>
      </c>
      <c r="C662" s="9">
        <f>YEAR(Orders_Table[[#This Row],[Order Date]])</f>
        <v>2020</v>
      </c>
      <c r="D662" s="9">
        <f>MONTH(Orders_Table[[#This Row],[Order Date]])</f>
        <v>9</v>
      </c>
      <c r="E662" s="9" t="str" cm="1">
        <f t="array" ref="E6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62" s="2" t="s">
        <v>1332</v>
      </c>
      <c r="G662" t="s">
        <v>223</v>
      </c>
      <c r="H662" s="2">
        <v>6</v>
      </c>
      <c r="I662" s="2" t="str" cm="1">
        <f t="array" ref="I662">_xlfn.XLOOKUP(F662,Customers!A661:$A$1001,Customers!B661:$B$1001,"Not Found",0)</f>
        <v>Val Wakelin</v>
      </c>
      <c r="J662" s="2" t="str" cm="1">
        <f t="array" ref="J662">IF(_xlfn.XLOOKUP(F662,Customers!A661:$A$1001,Customers!C661:$C$1001,"Not Found",0)=0,"",_xlfn.XLOOKUP(F662,Customers!A661:$A$1001,Customers!C661:$C$1001,"Not Found",0))</f>
        <v>vwakelinic@unesco.org</v>
      </c>
      <c r="K662" s="2" t="str" cm="1">
        <f t="array" ref="K662">_xlfn.XLOOKUP(F662,Customers!A661:$A$1001,Customers!G661:$G$1001,"Not Found",0)</f>
        <v>United States</v>
      </c>
      <c r="L662" t="str">
        <f>INDEX(Products!$A$1:$G$49,MATCH(Orders!$G662,Products!$A$1:$A$49,0),MATCH(Orders!L$1,Products!$A$1:$G$1,0))</f>
        <v>Exc</v>
      </c>
      <c r="M662" t="str">
        <f>INDEX(Products!$A$1:$G$49,MATCH(Orders!$G662,Products!$A$1:$A$49,0),MATCH(Orders!M$1,Products!$A$1:$G$1,0))</f>
        <v>L</v>
      </c>
      <c r="N662" s="4">
        <f>INDEX(Products!$A$1:$G$49,MATCH(Orders!$G662,Products!$A$1:$A$49,0),MATCH(Orders!N$1,Products!$A$1:$G$1,0))</f>
        <v>0.5</v>
      </c>
      <c r="O662" s="7">
        <f>INDEX(Products!$A$1:$G$49,MATCH(Orders!$G662,Products!$A$1:$A$49,0),MATCH(Orders!O$1,Products!$A$1:$G$1,0))</f>
        <v>8.91</v>
      </c>
      <c r="P662" s="7">
        <f t="shared" si="10"/>
        <v>53.46</v>
      </c>
      <c r="Q662" t="str" cm="1">
        <f t="array" ref="Q662">_xlfn.IFS(L662="Rob","Robusta",L662="Exc", "Excelsa",L662="Ara", "Arabica",L662="Lib", "Liberica")</f>
        <v>Excelsa</v>
      </c>
      <c r="R662" t="str" cm="1">
        <f t="array" ref="R662">_xlfn.IFS(M662="M","Medium",M662="L","Light",M662="D","Dark")</f>
        <v>Light</v>
      </c>
    </row>
    <row r="663" spans="1:18">
      <c r="A663" s="2" t="s">
        <v>1333</v>
      </c>
      <c r="B663" s="3">
        <v>44485</v>
      </c>
      <c r="C663" s="9">
        <f>YEAR(Orders_Table[[#This Row],[Order Date]])</f>
        <v>2021</v>
      </c>
      <c r="D663" s="9">
        <f>MONTH(Orders_Table[[#This Row],[Order Date]])</f>
        <v>10</v>
      </c>
      <c r="E663" s="9" t="str" cm="1">
        <f t="array" ref="E6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63" s="2" t="s">
        <v>1334</v>
      </c>
      <c r="G663" t="s">
        <v>91</v>
      </c>
      <c r="H663" s="2">
        <v>6</v>
      </c>
      <c r="I663" s="2" t="str" cm="1">
        <f t="array" ref="I663">_xlfn.XLOOKUP(F663,Customers!A662:$A$1001,Customers!B662:$B$1001,"Not Found",0)</f>
        <v>Annie Campsall</v>
      </c>
      <c r="J663" s="2" t="str" cm="1">
        <f t="array" ref="J663">IF(_xlfn.XLOOKUP(F663,Customers!A662:$A$1001,Customers!C662:$C$1001,"Not Found",0)=0,"",_xlfn.XLOOKUP(F663,Customers!A662:$A$1001,Customers!C662:$C$1001,"Not Found",0))</f>
        <v>acampsallid@zimbio.com</v>
      </c>
      <c r="K663" s="2" t="str" cm="1">
        <f t="array" ref="K663">_xlfn.XLOOKUP(F663,Customers!A662:$A$1001,Customers!G662:$G$1001,"Not Found",0)</f>
        <v>United States</v>
      </c>
      <c r="L663" t="str">
        <f>INDEX(Products!$A$1:$G$49,MATCH(Orders!$G663,Products!$A$1:$A$49,0),MATCH(Orders!L$1,Products!$A$1:$G$1,0))</f>
        <v>Ara</v>
      </c>
      <c r="M663" t="str">
        <f>INDEX(Products!$A$1:$G$49,MATCH(Orders!$G663,Products!$A$1:$A$49,0),MATCH(Orders!M$1,Products!$A$1:$G$1,0))</f>
        <v>M</v>
      </c>
      <c r="N663" s="4">
        <f>INDEX(Products!$A$1:$G$49,MATCH(Orders!$G663,Products!$A$1:$A$49,0),MATCH(Orders!N$1,Products!$A$1:$G$1,0))</f>
        <v>0.2</v>
      </c>
      <c r="O663" s="7">
        <f>INDEX(Products!$A$1:$G$49,MATCH(Orders!$G663,Products!$A$1:$A$49,0),MATCH(Orders!O$1,Products!$A$1:$G$1,0))</f>
        <v>3.375</v>
      </c>
      <c r="P663" s="7">
        <f t="shared" si="10"/>
        <v>20.25</v>
      </c>
      <c r="Q663" t="str" cm="1">
        <f t="array" ref="Q663">_xlfn.IFS(L663="Rob","Robusta",L663="Exc", "Excelsa",L663="Ara", "Arabica",L663="Lib", "Liberica")</f>
        <v>Arabica</v>
      </c>
      <c r="R663" t="str" cm="1">
        <f t="array" ref="R663">_xlfn.IFS(M663="M","Medium",M663="L","Light",M663="D","Dark")</f>
        <v>Medium</v>
      </c>
    </row>
    <row r="664" spans="1:18">
      <c r="A664" s="2" t="s">
        <v>1335</v>
      </c>
      <c r="B664" s="3">
        <v>44364</v>
      </c>
      <c r="C664" s="9">
        <f>YEAR(Orders_Table[[#This Row],[Order Date]])</f>
        <v>2021</v>
      </c>
      <c r="D664" s="9">
        <f>MONTH(Orders_Table[[#This Row],[Order Date]])</f>
        <v>6</v>
      </c>
      <c r="E664" s="9" t="str" cm="1">
        <f t="array" ref="E6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64" s="2" t="s">
        <v>1336</v>
      </c>
      <c r="G664" t="s">
        <v>156</v>
      </c>
      <c r="H664" s="2">
        <v>5</v>
      </c>
      <c r="I664" s="2" t="str" cm="1">
        <f t="array" ref="I664">_xlfn.XLOOKUP(F664,Customers!A663:$A$1001,Customers!B663:$B$1001,"Not Found",0)</f>
        <v>Shermy Moseby</v>
      </c>
      <c r="J664" s="2" t="str" cm="1">
        <f t="array" ref="J664">IF(_xlfn.XLOOKUP(F664,Customers!A663:$A$1001,Customers!C663:$C$1001,"Not Found",0)=0,"",_xlfn.XLOOKUP(F664,Customers!A663:$A$1001,Customers!C663:$C$1001,"Not Found",0))</f>
        <v>smosebyie@stanford.edu</v>
      </c>
      <c r="K664" s="2" t="str" cm="1">
        <f t="array" ref="K664">_xlfn.XLOOKUP(F664,Customers!A663:$A$1001,Customers!G663:$G$1001,"Not Found",0)</f>
        <v>United States</v>
      </c>
      <c r="L664" t="str">
        <f>INDEX(Products!$A$1:$G$49,MATCH(Orders!$G664,Products!$A$1:$A$49,0),MATCH(Orders!L$1,Products!$A$1:$G$1,0))</f>
        <v>Lib</v>
      </c>
      <c r="M664" t="str">
        <f>INDEX(Products!$A$1:$G$49,MATCH(Orders!$G664,Products!$A$1:$A$49,0),MATCH(Orders!M$1,Products!$A$1:$G$1,0))</f>
        <v>D</v>
      </c>
      <c r="N664" s="4">
        <f>INDEX(Products!$A$1:$G$49,MATCH(Orders!$G664,Products!$A$1:$A$49,0),MATCH(Orders!N$1,Products!$A$1:$G$1,0))</f>
        <v>2.5</v>
      </c>
      <c r="O664" s="7">
        <f>INDEX(Products!$A$1:$G$49,MATCH(Orders!$G664,Products!$A$1:$A$49,0),MATCH(Orders!O$1,Products!$A$1:$G$1,0))</f>
        <v>29.784999999999997</v>
      </c>
      <c r="P664" s="7">
        <f t="shared" si="10"/>
        <v>148.92499999999998</v>
      </c>
      <c r="Q664" t="str" cm="1">
        <f t="array" ref="Q664">_xlfn.IFS(L664="Rob","Robusta",L664="Exc", "Excelsa",L664="Ara", "Arabica",L664="Lib", "Liberica")</f>
        <v>Liberica</v>
      </c>
      <c r="R664" t="str" cm="1">
        <f t="array" ref="R664">_xlfn.IFS(M664="M","Medium",M664="L","Light",M664="D","Dark")</f>
        <v>Dark</v>
      </c>
    </row>
    <row r="665" spans="1:18">
      <c r="A665" s="2" t="s">
        <v>1337</v>
      </c>
      <c r="B665" s="3">
        <v>43554</v>
      </c>
      <c r="C665" s="9">
        <f>YEAR(Orders_Table[[#This Row],[Order Date]])</f>
        <v>2019</v>
      </c>
      <c r="D665" s="9">
        <f>MONTH(Orders_Table[[#This Row],[Order Date]])</f>
        <v>3</v>
      </c>
      <c r="E665" s="9" t="str" cm="1">
        <f t="array" ref="E6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65" s="2" t="s">
        <v>1338</v>
      </c>
      <c r="G665" t="s">
        <v>108</v>
      </c>
      <c r="H665" s="2">
        <v>6</v>
      </c>
      <c r="I665" s="2" t="str" cm="1">
        <f t="array" ref="I665">_xlfn.XLOOKUP(F665,Customers!A664:$A$1001,Customers!B664:$B$1001,"Not Found",0)</f>
        <v>Corrie Wass</v>
      </c>
      <c r="J665" s="2" t="str" cm="1">
        <f t="array" ref="J665">IF(_xlfn.XLOOKUP(F665,Customers!A664:$A$1001,Customers!C664:$C$1001,"Not Found",0)=0,"",_xlfn.XLOOKUP(F665,Customers!A664:$A$1001,Customers!C664:$C$1001,"Not Found",0))</f>
        <v>cwassif@prweb.com</v>
      </c>
      <c r="K665" s="2" t="str" cm="1">
        <f t="array" ref="K665">_xlfn.XLOOKUP(F665,Customers!A664:$A$1001,Customers!G664:$G$1001,"Not Found",0)</f>
        <v>United States</v>
      </c>
      <c r="L665" t="str">
        <f>INDEX(Products!$A$1:$G$49,MATCH(Orders!$G665,Products!$A$1:$A$49,0),MATCH(Orders!L$1,Products!$A$1:$G$1,0))</f>
        <v>Ara</v>
      </c>
      <c r="M665" t="str">
        <f>INDEX(Products!$A$1:$G$49,MATCH(Orders!$G665,Products!$A$1:$A$49,0),MATCH(Orders!M$1,Products!$A$1:$G$1,0))</f>
        <v>M</v>
      </c>
      <c r="N665" s="4">
        <f>INDEX(Products!$A$1:$G$49,MATCH(Orders!$G665,Products!$A$1:$A$49,0),MATCH(Orders!N$1,Products!$A$1:$G$1,0))</f>
        <v>1</v>
      </c>
      <c r="O665" s="7">
        <f>INDEX(Products!$A$1:$G$49,MATCH(Orders!$G665,Products!$A$1:$A$49,0),MATCH(Orders!O$1,Products!$A$1:$G$1,0))</f>
        <v>11.25</v>
      </c>
      <c r="P665" s="7">
        <f t="shared" si="10"/>
        <v>67.5</v>
      </c>
      <c r="Q665" t="str" cm="1">
        <f t="array" ref="Q665">_xlfn.IFS(L665="Rob","Robusta",L665="Exc", "Excelsa",L665="Ara", "Arabica",L665="Lib", "Liberica")</f>
        <v>Arabica</v>
      </c>
      <c r="R665" t="str" cm="1">
        <f t="array" ref="R665">_xlfn.IFS(M665="M","Medium",M665="L","Light",M665="D","Dark")</f>
        <v>Medium</v>
      </c>
    </row>
    <row r="666" spans="1:18">
      <c r="A666" s="2" t="s">
        <v>1339</v>
      </c>
      <c r="B666" s="3">
        <v>44549</v>
      </c>
      <c r="C666" s="9">
        <f>YEAR(Orders_Table[[#This Row],[Order Date]])</f>
        <v>2021</v>
      </c>
      <c r="D666" s="9">
        <f>MONTH(Orders_Table[[#This Row],[Order Date]])</f>
        <v>12</v>
      </c>
      <c r="E666" s="9" t="str" cm="1">
        <f t="array" ref="E6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66" s="2" t="s">
        <v>1340</v>
      </c>
      <c r="G666" t="s">
        <v>292</v>
      </c>
      <c r="H666" s="2">
        <v>6</v>
      </c>
      <c r="I666" s="2" t="str" cm="1">
        <f t="array" ref="I666">_xlfn.XLOOKUP(F666,Customers!A665:$A$1001,Customers!B665:$B$1001,"Not Found",0)</f>
        <v>Ira Sjostrom</v>
      </c>
      <c r="J666" s="2" t="str" cm="1">
        <f t="array" ref="J666">IF(_xlfn.XLOOKUP(F666,Customers!A665:$A$1001,Customers!C665:$C$1001,"Not Found",0)=0,"",_xlfn.XLOOKUP(F666,Customers!A665:$A$1001,Customers!C665:$C$1001,"Not Found",0))</f>
        <v>isjostromig@pbs.org</v>
      </c>
      <c r="K666" s="2" t="str" cm="1">
        <f t="array" ref="K666">_xlfn.XLOOKUP(F666,Customers!A665:$A$1001,Customers!G665:$G$1001,"Not Found",0)</f>
        <v>United States</v>
      </c>
      <c r="L666" t="str">
        <f>INDEX(Products!$A$1:$G$49,MATCH(Orders!$G666,Products!$A$1:$A$49,0),MATCH(Orders!L$1,Products!$A$1:$G$1,0))</f>
        <v>Exc</v>
      </c>
      <c r="M666" t="str">
        <f>INDEX(Products!$A$1:$G$49,MATCH(Orders!$G666,Products!$A$1:$A$49,0),MATCH(Orders!M$1,Products!$A$1:$G$1,0))</f>
        <v>D</v>
      </c>
      <c r="N666" s="4">
        <f>INDEX(Products!$A$1:$G$49,MATCH(Orders!$G666,Products!$A$1:$A$49,0),MATCH(Orders!N$1,Products!$A$1:$G$1,0))</f>
        <v>1</v>
      </c>
      <c r="O666" s="7">
        <f>INDEX(Products!$A$1:$G$49,MATCH(Orders!$G666,Products!$A$1:$A$49,0),MATCH(Orders!O$1,Products!$A$1:$G$1,0))</f>
        <v>12.15</v>
      </c>
      <c r="P666" s="7">
        <f t="shared" si="10"/>
        <v>72.900000000000006</v>
      </c>
      <c r="Q666" t="str" cm="1">
        <f t="array" ref="Q666">_xlfn.IFS(L666="Rob","Robusta",L666="Exc", "Excelsa",L666="Ara", "Arabica",L666="Lib", "Liberica")</f>
        <v>Excelsa</v>
      </c>
      <c r="R666" t="str" cm="1">
        <f t="array" ref="R666">_xlfn.IFS(M666="M","Medium",M666="L","Light",M666="D","Dark")</f>
        <v>Dark</v>
      </c>
    </row>
    <row r="667" spans="1:18">
      <c r="A667" s="2" t="s">
        <v>1339</v>
      </c>
      <c r="B667" s="3">
        <v>44549</v>
      </c>
      <c r="C667" s="9">
        <f>YEAR(Orders_Table[[#This Row],[Order Date]])</f>
        <v>2021</v>
      </c>
      <c r="D667" s="9">
        <f>MONTH(Orders_Table[[#This Row],[Order Date]])</f>
        <v>12</v>
      </c>
      <c r="E667" s="9" t="str" cm="1">
        <f t="array" ref="E6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67" s="2" t="s">
        <v>1340</v>
      </c>
      <c r="G667" t="s">
        <v>85</v>
      </c>
      <c r="H667" s="2">
        <v>2</v>
      </c>
      <c r="I667" s="2" t="str" cm="1">
        <f t="array" ref="I667">_xlfn.XLOOKUP(F667,Customers!A666:$A$1001,Customers!B666:$B$1001,"Not Found",0)</f>
        <v>Ira Sjostrom</v>
      </c>
      <c r="J667" s="2" t="str" cm="1">
        <f t="array" ref="J667">IF(_xlfn.XLOOKUP(F667,Customers!A666:$A$1001,Customers!C666:$C$1001,"Not Found",0)=0,"",_xlfn.XLOOKUP(F667,Customers!A666:$A$1001,Customers!C666:$C$1001,"Not Found",0))</f>
        <v>isjostromig@pbs.org</v>
      </c>
      <c r="K667" s="2" t="str" cm="1">
        <f t="array" ref="K667">_xlfn.XLOOKUP(F667,Customers!A666:$A$1001,Customers!G666:$G$1001,"Not Found",0)</f>
        <v>United States</v>
      </c>
      <c r="L667" t="str">
        <f>INDEX(Products!$A$1:$G$49,MATCH(Orders!$G667,Products!$A$1:$A$49,0),MATCH(Orders!L$1,Products!$A$1:$G$1,0))</f>
        <v>Lib</v>
      </c>
      <c r="M667" t="str">
        <f>INDEX(Products!$A$1:$G$49,MATCH(Orders!$G667,Products!$A$1:$A$49,0),MATCH(Orders!M$1,Products!$A$1:$G$1,0))</f>
        <v>D</v>
      </c>
      <c r="N667" s="4">
        <f>INDEX(Products!$A$1:$G$49,MATCH(Orders!$G667,Products!$A$1:$A$49,0),MATCH(Orders!N$1,Products!$A$1:$G$1,0))</f>
        <v>0.2</v>
      </c>
      <c r="O667" s="7">
        <f>INDEX(Products!$A$1:$G$49,MATCH(Orders!$G667,Products!$A$1:$A$49,0),MATCH(Orders!O$1,Products!$A$1:$G$1,0))</f>
        <v>3.8849999999999998</v>
      </c>
      <c r="P667" s="7">
        <f t="shared" si="10"/>
        <v>7.77</v>
      </c>
      <c r="Q667" t="str" cm="1">
        <f t="array" ref="Q667">_xlfn.IFS(L667="Rob","Robusta",L667="Exc", "Excelsa",L667="Ara", "Arabica",L667="Lib", "Liberica")</f>
        <v>Liberica</v>
      </c>
      <c r="R667" t="str" cm="1">
        <f t="array" ref="R667">_xlfn.IFS(M667="M","Medium",M667="L","Light",M667="D","Dark")</f>
        <v>Dark</v>
      </c>
    </row>
    <row r="668" spans="1:18">
      <c r="A668" s="2" t="s">
        <v>1341</v>
      </c>
      <c r="B668" s="3">
        <v>43987</v>
      </c>
      <c r="C668" s="9">
        <f>YEAR(Orders_Table[[#This Row],[Order Date]])</f>
        <v>2020</v>
      </c>
      <c r="D668" s="9">
        <f>MONTH(Orders_Table[[#This Row],[Order Date]])</f>
        <v>6</v>
      </c>
      <c r="E668" s="9" t="str" cm="1">
        <f t="array" ref="E6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68" s="2" t="s">
        <v>1342</v>
      </c>
      <c r="G668" t="s">
        <v>165</v>
      </c>
      <c r="H668" s="2">
        <v>4</v>
      </c>
      <c r="I668" s="2" t="str" cm="1">
        <f t="array" ref="I668">_xlfn.XLOOKUP(F668,Customers!A667:$A$1001,Customers!B667:$B$1001,"Not Found",0)</f>
        <v>Jermaine Branchett</v>
      </c>
      <c r="J668" s="2" t="str" cm="1">
        <f t="array" ref="J668">IF(_xlfn.XLOOKUP(F668,Customers!A667:$A$1001,Customers!C667:$C$1001,"Not Found",0)=0,"",_xlfn.XLOOKUP(F668,Customers!A667:$A$1001,Customers!C667:$C$1001,"Not Found",0))</f>
        <v>jbranchettii@bravesites.com</v>
      </c>
      <c r="K668" s="2" t="str" cm="1">
        <f t="array" ref="K668">_xlfn.XLOOKUP(F668,Customers!A667:$A$1001,Customers!G667:$G$1001,"Not Found",0)</f>
        <v>United States</v>
      </c>
      <c r="L668" t="str">
        <f>INDEX(Products!$A$1:$G$49,MATCH(Orders!$G668,Products!$A$1:$A$49,0),MATCH(Orders!L$1,Products!$A$1:$G$1,0))</f>
        <v>Ara</v>
      </c>
      <c r="M668" t="str">
        <f>INDEX(Products!$A$1:$G$49,MATCH(Orders!$G668,Products!$A$1:$A$49,0),MATCH(Orders!M$1,Products!$A$1:$G$1,0))</f>
        <v>D</v>
      </c>
      <c r="N668" s="4">
        <f>INDEX(Products!$A$1:$G$49,MATCH(Orders!$G668,Products!$A$1:$A$49,0),MATCH(Orders!N$1,Products!$A$1:$G$1,0))</f>
        <v>2.5</v>
      </c>
      <c r="O668" s="7">
        <f>INDEX(Products!$A$1:$G$49,MATCH(Orders!$G668,Products!$A$1:$A$49,0),MATCH(Orders!O$1,Products!$A$1:$G$1,0))</f>
        <v>22.884999999999998</v>
      </c>
      <c r="P668" s="7">
        <f t="shared" si="10"/>
        <v>91.539999999999992</v>
      </c>
      <c r="Q668" t="str" cm="1">
        <f t="array" ref="Q668">_xlfn.IFS(L668="Rob","Robusta",L668="Exc", "Excelsa",L668="Ara", "Arabica",L668="Lib", "Liberica")</f>
        <v>Arabica</v>
      </c>
      <c r="R668" t="str" cm="1">
        <f t="array" ref="R668">_xlfn.IFS(M668="M","Medium",M668="L","Light",M668="D","Dark")</f>
        <v>Dark</v>
      </c>
    </row>
    <row r="669" spans="1:18">
      <c r="A669" s="2" t="s">
        <v>1343</v>
      </c>
      <c r="B669" s="3">
        <v>44451</v>
      </c>
      <c r="C669" s="9">
        <f>YEAR(Orders_Table[[#This Row],[Order Date]])</f>
        <v>2021</v>
      </c>
      <c r="D669" s="9">
        <f>MONTH(Orders_Table[[#This Row],[Order Date]])</f>
        <v>9</v>
      </c>
      <c r="E669" s="9" t="str" cm="1">
        <f t="array" ref="E6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69" s="2" t="s">
        <v>1344</v>
      </c>
      <c r="G669" t="s">
        <v>74</v>
      </c>
      <c r="H669" s="2">
        <v>6</v>
      </c>
      <c r="I669" s="2" t="str" cm="1">
        <f t="array" ref="I669">_xlfn.XLOOKUP(F669,Customers!A668:$A$1001,Customers!B668:$B$1001,"Not Found",0)</f>
        <v>Nissie Rudland</v>
      </c>
      <c r="J669" s="2" t="str" cm="1">
        <f t="array" ref="J669">IF(_xlfn.XLOOKUP(F669,Customers!A668:$A$1001,Customers!C668:$C$1001,"Not Found",0)=0,"",_xlfn.XLOOKUP(F669,Customers!A668:$A$1001,Customers!C668:$C$1001,"Not Found",0))</f>
        <v>nrudlandij@blogs.com</v>
      </c>
      <c r="K669" s="2" t="str" cm="1">
        <f t="array" ref="K669">_xlfn.XLOOKUP(F669,Customers!A668:$A$1001,Customers!G668:$G$1001,"Not Found",0)</f>
        <v>Ireland</v>
      </c>
      <c r="L669" t="str">
        <f>INDEX(Products!$A$1:$G$49,MATCH(Orders!$G669,Products!$A$1:$A$49,0),MATCH(Orders!L$1,Products!$A$1:$G$1,0))</f>
        <v>Ara</v>
      </c>
      <c r="M669" t="str">
        <f>INDEX(Products!$A$1:$G$49,MATCH(Orders!$G669,Products!$A$1:$A$49,0),MATCH(Orders!M$1,Products!$A$1:$G$1,0))</f>
        <v>D</v>
      </c>
      <c r="N669" s="4">
        <f>INDEX(Products!$A$1:$G$49,MATCH(Orders!$G669,Products!$A$1:$A$49,0),MATCH(Orders!N$1,Products!$A$1:$G$1,0))</f>
        <v>1</v>
      </c>
      <c r="O669" s="7">
        <f>INDEX(Products!$A$1:$G$49,MATCH(Orders!$G669,Products!$A$1:$A$49,0),MATCH(Orders!O$1,Products!$A$1:$G$1,0))</f>
        <v>9.9499999999999993</v>
      </c>
      <c r="P669" s="7">
        <f t="shared" si="10"/>
        <v>59.699999999999996</v>
      </c>
      <c r="Q669" t="str" cm="1">
        <f t="array" ref="Q669">_xlfn.IFS(L669="Rob","Robusta",L669="Exc", "Excelsa",L669="Ara", "Arabica",L669="Lib", "Liberica")</f>
        <v>Arabica</v>
      </c>
      <c r="R669" t="str" cm="1">
        <f t="array" ref="R669">_xlfn.IFS(M669="M","Medium",M669="L","Light",M669="D","Dark")</f>
        <v>Dark</v>
      </c>
    </row>
    <row r="670" spans="1:18">
      <c r="A670" s="2" t="s">
        <v>1345</v>
      </c>
      <c r="B670" s="3">
        <v>44636</v>
      </c>
      <c r="C670" s="9">
        <f>YEAR(Orders_Table[[#This Row],[Order Date]])</f>
        <v>2022</v>
      </c>
      <c r="D670" s="9">
        <f>MONTH(Orders_Table[[#This Row],[Order Date]])</f>
        <v>3</v>
      </c>
      <c r="E670" s="9" t="str" cm="1">
        <f t="array" ref="E6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70" s="2" t="s">
        <v>1328</v>
      </c>
      <c r="G670" t="s">
        <v>57</v>
      </c>
      <c r="H670" s="2">
        <v>5</v>
      </c>
      <c r="I670" s="2" t="str" cm="1">
        <f t="array" ref="I670">_xlfn.XLOOKUP(F670,Customers!A669:$A$1001,Customers!B669:$B$1001,"Not Found",0)</f>
        <v>Janella Millett</v>
      </c>
      <c r="J670" s="2" t="str" cm="1">
        <f t="array" ref="J670">IF(_xlfn.XLOOKUP(F670,Customers!A669:$A$1001,Customers!C669:$C$1001,"Not Found",0)=0,"",_xlfn.XLOOKUP(F670,Customers!A669:$A$1001,Customers!C669:$C$1001,"Not Found",0))</f>
        <v>jmillettik@addtoany.com</v>
      </c>
      <c r="K670" s="2" t="str" cm="1">
        <f t="array" ref="K670">_xlfn.XLOOKUP(F670,Customers!A669:$A$1001,Customers!G669:$G$1001,"Not Found",0)</f>
        <v>United States</v>
      </c>
      <c r="L670" t="str">
        <f>INDEX(Products!$A$1:$G$49,MATCH(Orders!$G670,Products!$A$1:$A$49,0),MATCH(Orders!L$1,Products!$A$1:$G$1,0))</f>
        <v>Rob</v>
      </c>
      <c r="M670" t="str">
        <f>INDEX(Products!$A$1:$G$49,MATCH(Orders!$G670,Products!$A$1:$A$49,0),MATCH(Orders!M$1,Products!$A$1:$G$1,0))</f>
        <v>L</v>
      </c>
      <c r="N670" s="4">
        <f>INDEX(Products!$A$1:$G$49,MATCH(Orders!$G670,Products!$A$1:$A$49,0),MATCH(Orders!N$1,Products!$A$1:$G$1,0))</f>
        <v>2.5</v>
      </c>
      <c r="O670" s="7">
        <f>INDEX(Products!$A$1:$G$49,MATCH(Orders!$G670,Products!$A$1:$A$49,0),MATCH(Orders!O$1,Products!$A$1:$G$1,0))</f>
        <v>27.484999999999996</v>
      </c>
      <c r="P670" s="7">
        <f t="shared" si="10"/>
        <v>137.42499999999998</v>
      </c>
      <c r="Q670" t="str" cm="1">
        <f t="array" ref="Q670">_xlfn.IFS(L670="Rob","Robusta",L670="Exc", "Excelsa",L670="Ara", "Arabica",L670="Lib", "Liberica")</f>
        <v>Robusta</v>
      </c>
      <c r="R670" t="str" cm="1">
        <f t="array" ref="R670">_xlfn.IFS(M670="M","Medium",M670="L","Light",M670="D","Dark")</f>
        <v>Light</v>
      </c>
    </row>
    <row r="671" spans="1:18">
      <c r="A671" s="2" t="s">
        <v>1346</v>
      </c>
      <c r="B671" s="3">
        <v>44551</v>
      </c>
      <c r="C671" s="9">
        <f>YEAR(Orders_Table[[#This Row],[Order Date]])</f>
        <v>2021</v>
      </c>
      <c r="D671" s="9">
        <f>MONTH(Orders_Table[[#This Row],[Order Date]])</f>
        <v>12</v>
      </c>
      <c r="E671" s="9" t="str" cm="1">
        <f t="array" ref="E6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71" s="2" t="s">
        <v>1347</v>
      </c>
      <c r="G671" t="s">
        <v>244</v>
      </c>
      <c r="H671" s="2">
        <v>2</v>
      </c>
      <c r="I671" s="2" t="str" cm="1">
        <f t="array" ref="I671">_xlfn.XLOOKUP(F671,Customers!A670:$A$1001,Customers!B670:$B$1001,"Not Found",0)</f>
        <v>Ferdie Tourry</v>
      </c>
      <c r="J671" s="2" t="str" cm="1">
        <f t="array" ref="J671">IF(_xlfn.XLOOKUP(F671,Customers!A670:$A$1001,Customers!C670:$C$1001,"Not Found",0)=0,"",_xlfn.XLOOKUP(F671,Customers!A670:$A$1001,Customers!C670:$C$1001,"Not Found",0))</f>
        <v>ftourryil@google.de</v>
      </c>
      <c r="K671" s="2" t="str" cm="1">
        <f t="array" ref="K671">_xlfn.XLOOKUP(F671,Customers!A670:$A$1001,Customers!G670:$G$1001,"Not Found",0)</f>
        <v>United States</v>
      </c>
      <c r="L671" t="str">
        <f>INDEX(Products!$A$1:$G$49,MATCH(Orders!$G671,Products!$A$1:$A$49,0),MATCH(Orders!L$1,Products!$A$1:$G$1,0))</f>
        <v>Lib</v>
      </c>
      <c r="M671" t="str">
        <f>INDEX(Products!$A$1:$G$49,MATCH(Orders!$G671,Products!$A$1:$A$49,0),MATCH(Orders!M$1,Products!$A$1:$G$1,0))</f>
        <v>M</v>
      </c>
      <c r="N671" s="4">
        <f>INDEX(Products!$A$1:$G$49,MATCH(Orders!$G671,Products!$A$1:$A$49,0),MATCH(Orders!N$1,Products!$A$1:$G$1,0))</f>
        <v>2.5</v>
      </c>
      <c r="O671" s="7">
        <f>INDEX(Products!$A$1:$G$49,MATCH(Orders!$G671,Products!$A$1:$A$49,0),MATCH(Orders!O$1,Products!$A$1:$G$1,0))</f>
        <v>33.464999999999996</v>
      </c>
      <c r="P671" s="7">
        <f t="shared" si="10"/>
        <v>66.929999999999993</v>
      </c>
      <c r="Q671" t="str" cm="1">
        <f t="array" ref="Q671">_xlfn.IFS(L671="Rob","Robusta",L671="Exc", "Excelsa",L671="Ara", "Arabica",L671="Lib", "Liberica")</f>
        <v>Liberica</v>
      </c>
      <c r="R671" t="str" cm="1">
        <f t="array" ref="R671">_xlfn.IFS(M671="M","Medium",M671="L","Light",M671="D","Dark")</f>
        <v>Medium</v>
      </c>
    </row>
    <row r="672" spans="1:18">
      <c r="A672" s="2" t="s">
        <v>1348</v>
      </c>
      <c r="B672" s="3">
        <v>43606</v>
      </c>
      <c r="C672" s="9">
        <f>YEAR(Orders_Table[[#This Row],[Order Date]])</f>
        <v>2019</v>
      </c>
      <c r="D672" s="9">
        <f>MONTH(Orders_Table[[#This Row],[Order Date]])</f>
        <v>5</v>
      </c>
      <c r="E672" s="9" t="str" cm="1">
        <f t="array" ref="E6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72" s="2" t="s">
        <v>1349</v>
      </c>
      <c r="G672" t="s">
        <v>124</v>
      </c>
      <c r="H672" s="2">
        <v>3</v>
      </c>
      <c r="I672" s="2" t="str" cm="1">
        <f t="array" ref="I672">_xlfn.XLOOKUP(F672,Customers!A671:$A$1001,Customers!B671:$B$1001,"Not Found",0)</f>
        <v>Cecil Weatherall</v>
      </c>
      <c r="J672" s="2" t="str" cm="1">
        <f t="array" ref="J672">IF(_xlfn.XLOOKUP(F672,Customers!A671:$A$1001,Customers!C671:$C$1001,"Not Found",0)=0,"",_xlfn.XLOOKUP(F672,Customers!A671:$A$1001,Customers!C671:$C$1001,"Not Found",0))</f>
        <v>cweatherallim@toplist.cz</v>
      </c>
      <c r="K672" s="2" t="str" cm="1">
        <f t="array" ref="K672">_xlfn.XLOOKUP(F672,Customers!A671:$A$1001,Customers!G671:$G$1001,"Not Found",0)</f>
        <v>United States</v>
      </c>
      <c r="L672" t="str">
        <f>INDEX(Products!$A$1:$G$49,MATCH(Orders!$G672,Products!$A$1:$A$49,0),MATCH(Orders!L$1,Products!$A$1:$G$1,0))</f>
        <v>Lib</v>
      </c>
      <c r="M672" t="str">
        <f>INDEX(Products!$A$1:$G$49,MATCH(Orders!$G672,Products!$A$1:$A$49,0),MATCH(Orders!M$1,Products!$A$1:$G$1,0))</f>
        <v>M</v>
      </c>
      <c r="N672" s="4">
        <f>INDEX(Products!$A$1:$G$49,MATCH(Orders!$G672,Products!$A$1:$A$49,0),MATCH(Orders!N$1,Products!$A$1:$G$1,0))</f>
        <v>0.2</v>
      </c>
      <c r="O672" s="7">
        <f>INDEX(Products!$A$1:$G$49,MATCH(Orders!$G672,Products!$A$1:$A$49,0),MATCH(Orders!O$1,Products!$A$1:$G$1,0))</f>
        <v>4.3650000000000002</v>
      </c>
      <c r="P672" s="7">
        <f t="shared" si="10"/>
        <v>13.095000000000001</v>
      </c>
      <c r="Q672" t="str" cm="1">
        <f t="array" ref="Q672">_xlfn.IFS(L672="Rob","Robusta",L672="Exc", "Excelsa",L672="Ara", "Arabica",L672="Lib", "Liberica")</f>
        <v>Liberica</v>
      </c>
      <c r="R672" t="str" cm="1">
        <f t="array" ref="R672">_xlfn.IFS(M672="M","Medium",M672="L","Light",M672="D","Dark")</f>
        <v>Medium</v>
      </c>
    </row>
    <row r="673" spans="1:18">
      <c r="A673" s="2" t="s">
        <v>1350</v>
      </c>
      <c r="B673" s="3">
        <v>44495</v>
      </c>
      <c r="C673" s="9">
        <f>YEAR(Orders_Table[[#This Row],[Order Date]])</f>
        <v>2021</v>
      </c>
      <c r="D673" s="9">
        <f>MONTH(Orders_Table[[#This Row],[Order Date]])</f>
        <v>10</v>
      </c>
      <c r="E673" s="9" t="str" cm="1">
        <f t="array" ref="E6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73" s="2" t="s">
        <v>1351</v>
      </c>
      <c r="G673" t="s">
        <v>236</v>
      </c>
      <c r="H673" s="2">
        <v>5</v>
      </c>
      <c r="I673" s="2" t="str" cm="1">
        <f t="array" ref="I673">_xlfn.XLOOKUP(F673,Customers!A672:$A$1001,Customers!B672:$B$1001,"Not Found",0)</f>
        <v>Gale Heindrick</v>
      </c>
      <c r="J673" s="2" t="str" cm="1">
        <f t="array" ref="J673">IF(_xlfn.XLOOKUP(F673,Customers!A672:$A$1001,Customers!C672:$C$1001,"Not Found",0)=0,"",_xlfn.XLOOKUP(F673,Customers!A672:$A$1001,Customers!C672:$C$1001,"Not Found",0))</f>
        <v>gheindrickin@usda.gov</v>
      </c>
      <c r="K673" s="2" t="str" cm="1">
        <f t="array" ref="K673">_xlfn.XLOOKUP(F673,Customers!A672:$A$1001,Customers!G672:$G$1001,"Not Found",0)</f>
        <v>United States</v>
      </c>
      <c r="L673" t="str">
        <f>INDEX(Products!$A$1:$G$49,MATCH(Orders!$G673,Products!$A$1:$A$49,0),MATCH(Orders!L$1,Products!$A$1:$G$1,0))</f>
        <v>Rob</v>
      </c>
      <c r="M673" t="str">
        <f>INDEX(Products!$A$1:$G$49,MATCH(Orders!$G673,Products!$A$1:$A$49,0),MATCH(Orders!M$1,Products!$A$1:$G$1,0))</f>
        <v>L</v>
      </c>
      <c r="N673" s="4">
        <f>INDEX(Products!$A$1:$G$49,MATCH(Orders!$G673,Products!$A$1:$A$49,0),MATCH(Orders!N$1,Products!$A$1:$G$1,0))</f>
        <v>1</v>
      </c>
      <c r="O673" s="7">
        <f>INDEX(Products!$A$1:$G$49,MATCH(Orders!$G673,Products!$A$1:$A$49,0),MATCH(Orders!O$1,Products!$A$1:$G$1,0))</f>
        <v>11.95</v>
      </c>
      <c r="P673" s="7">
        <f t="shared" si="10"/>
        <v>59.75</v>
      </c>
      <c r="Q673" t="str" cm="1">
        <f t="array" ref="Q673">_xlfn.IFS(L673="Rob","Robusta",L673="Exc", "Excelsa",L673="Ara", "Arabica",L673="Lib", "Liberica")</f>
        <v>Robusta</v>
      </c>
      <c r="R673" t="str" cm="1">
        <f t="array" ref="R673">_xlfn.IFS(M673="M","Medium",M673="L","Light",M673="D","Dark")</f>
        <v>Light</v>
      </c>
    </row>
    <row r="674" spans="1:18">
      <c r="A674" s="2" t="s">
        <v>1352</v>
      </c>
      <c r="B674" s="3">
        <v>43916</v>
      </c>
      <c r="C674" s="9">
        <f>YEAR(Orders_Table[[#This Row],[Order Date]])</f>
        <v>2020</v>
      </c>
      <c r="D674" s="9">
        <f>MONTH(Orders_Table[[#This Row],[Order Date]])</f>
        <v>3</v>
      </c>
      <c r="E674" s="9" t="str" cm="1">
        <f t="array" ref="E6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74" s="2" t="s">
        <v>1353</v>
      </c>
      <c r="G674" t="s">
        <v>125</v>
      </c>
      <c r="H674" s="2">
        <v>5</v>
      </c>
      <c r="I674" s="2" t="str" cm="1">
        <f t="array" ref="I674">_xlfn.XLOOKUP(F674,Customers!A673:$A$1001,Customers!B673:$B$1001,"Not Found",0)</f>
        <v>Layne Imason</v>
      </c>
      <c r="J674" s="2" t="str" cm="1">
        <f t="array" ref="J674">IF(_xlfn.XLOOKUP(F674,Customers!A673:$A$1001,Customers!C673:$C$1001,"Not Found",0)=0,"",_xlfn.XLOOKUP(F674,Customers!A673:$A$1001,Customers!C673:$C$1001,"Not Found",0))</f>
        <v>limasonio@discuz.net</v>
      </c>
      <c r="K674" s="2" t="str" cm="1">
        <f t="array" ref="K674">_xlfn.XLOOKUP(F674,Customers!A673:$A$1001,Customers!G673:$G$1001,"Not Found",0)</f>
        <v>United States</v>
      </c>
      <c r="L674" t="str">
        <f>INDEX(Products!$A$1:$G$49,MATCH(Orders!$G674,Products!$A$1:$A$49,0),MATCH(Orders!L$1,Products!$A$1:$G$1,0))</f>
        <v>Lib</v>
      </c>
      <c r="M674" t="str">
        <f>INDEX(Products!$A$1:$G$49,MATCH(Orders!$G674,Products!$A$1:$A$49,0),MATCH(Orders!M$1,Products!$A$1:$G$1,0))</f>
        <v>M</v>
      </c>
      <c r="N674" s="4">
        <f>INDEX(Products!$A$1:$G$49,MATCH(Orders!$G674,Products!$A$1:$A$49,0),MATCH(Orders!N$1,Products!$A$1:$G$1,0))</f>
        <v>0.5</v>
      </c>
      <c r="O674" s="7">
        <f>INDEX(Products!$A$1:$G$49,MATCH(Orders!$G674,Products!$A$1:$A$49,0),MATCH(Orders!O$1,Products!$A$1:$G$1,0))</f>
        <v>8.73</v>
      </c>
      <c r="P674" s="7">
        <f t="shared" si="10"/>
        <v>43.650000000000006</v>
      </c>
      <c r="Q674" t="str" cm="1">
        <f t="array" ref="Q674">_xlfn.IFS(L674="Rob","Robusta",L674="Exc", "Excelsa",L674="Ara", "Arabica",L674="Lib", "Liberica")</f>
        <v>Liberica</v>
      </c>
      <c r="R674" t="str" cm="1">
        <f t="array" ref="R674">_xlfn.IFS(M674="M","Medium",M674="L","Light",M674="D","Dark")</f>
        <v>Medium</v>
      </c>
    </row>
    <row r="675" spans="1:18">
      <c r="A675" s="2" t="s">
        <v>1354</v>
      </c>
      <c r="B675" s="3">
        <v>44118</v>
      </c>
      <c r="C675" s="9">
        <f>YEAR(Orders_Table[[#This Row],[Order Date]])</f>
        <v>2020</v>
      </c>
      <c r="D675" s="9">
        <f>MONTH(Orders_Table[[#This Row],[Order Date]])</f>
        <v>10</v>
      </c>
      <c r="E675" s="9" t="str" cm="1">
        <f t="array" ref="E6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675" s="2" t="s">
        <v>1355</v>
      </c>
      <c r="G675" t="s">
        <v>56</v>
      </c>
      <c r="H675" s="2">
        <v>6</v>
      </c>
      <c r="I675" s="2" t="str" cm="1">
        <f t="array" ref="I675">_xlfn.XLOOKUP(F675,Customers!A674:$A$1001,Customers!B674:$B$1001,"Not Found",0)</f>
        <v>Hazel Saill</v>
      </c>
      <c r="J675" s="2" t="str" cm="1">
        <f t="array" ref="J675">IF(_xlfn.XLOOKUP(F675,Customers!A674:$A$1001,Customers!C674:$C$1001,"Not Found",0)=0,"",_xlfn.XLOOKUP(F675,Customers!A674:$A$1001,Customers!C674:$C$1001,"Not Found",0))</f>
        <v>hsaillip@odnoklassniki.ru</v>
      </c>
      <c r="K675" s="2" t="str" cm="1">
        <f t="array" ref="K675">_xlfn.XLOOKUP(F675,Customers!A674:$A$1001,Customers!G674:$G$1001,"Not Found",0)</f>
        <v>United States</v>
      </c>
      <c r="L675" t="str">
        <f>INDEX(Products!$A$1:$G$49,MATCH(Orders!$G675,Products!$A$1:$A$49,0),MATCH(Orders!L$1,Products!$A$1:$G$1,0))</f>
        <v>Exc</v>
      </c>
      <c r="M675" t="str">
        <f>INDEX(Products!$A$1:$G$49,MATCH(Orders!$G675,Products!$A$1:$A$49,0),MATCH(Orders!M$1,Products!$A$1:$G$1,0))</f>
        <v>M</v>
      </c>
      <c r="N675" s="4">
        <f>INDEX(Products!$A$1:$G$49,MATCH(Orders!$G675,Products!$A$1:$A$49,0),MATCH(Orders!N$1,Products!$A$1:$G$1,0))</f>
        <v>1</v>
      </c>
      <c r="O675" s="7">
        <f>INDEX(Products!$A$1:$G$49,MATCH(Orders!$G675,Products!$A$1:$A$49,0),MATCH(Orders!O$1,Products!$A$1:$G$1,0))</f>
        <v>13.75</v>
      </c>
      <c r="P675" s="7">
        <f t="shared" si="10"/>
        <v>82.5</v>
      </c>
      <c r="Q675" t="str" cm="1">
        <f t="array" ref="Q675">_xlfn.IFS(L675="Rob","Robusta",L675="Exc", "Excelsa",L675="Ara", "Arabica",L675="Lib", "Liberica")</f>
        <v>Excelsa</v>
      </c>
      <c r="R675" t="str" cm="1">
        <f t="array" ref="R675">_xlfn.IFS(M675="M","Medium",M675="L","Light",M675="D","Dark")</f>
        <v>Medium</v>
      </c>
    </row>
    <row r="676" spans="1:18">
      <c r="A676" s="2" t="s">
        <v>1356</v>
      </c>
      <c r="B676" s="3">
        <v>44543</v>
      </c>
      <c r="C676" s="9">
        <f>YEAR(Orders_Table[[#This Row],[Order Date]])</f>
        <v>2021</v>
      </c>
      <c r="D676" s="9">
        <f>MONTH(Orders_Table[[#This Row],[Order Date]])</f>
        <v>12</v>
      </c>
      <c r="E676" s="9" t="str" cm="1">
        <f t="array" ref="E6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76" s="2" t="s">
        <v>1357</v>
      </c>
      <c r="G676" t="s">
        <v>251</v>
      </c>
      <c r="H676" s="2">
        <v>6</v>
      </c>
      <c r="I676" s="2" t="str" cm="1">
        <f t="array" ref="I676">_xlfn.XLOOKUP(F676,Customers!A675:$A$1001,Customers!B675:$B$1001,"Not Found",0)</f>
        <v>Hermann Larvor</v>
      </c>
      <c r="J676" s="2" t="str" cm="1">
        <f t="array" ref="J676">IF(_xlfn.XLOOKUP(F676,Customers!A675:$A$1001,Customers!C675:$C$1001,"Not Found",0)=0,"",_xlfn.XLOOKUP(F676,Customers!A675:$A$1001,Customers!C675:$C$1001,"Not Found",0))</f>
        <v>hlarvoriq@last.fm</v>
      </c>
      <c r="K676" s="2" t="str" cm="1">
        <f t="array" ref="K676">_xlfn.XLOOKUP(F676,Customers!A675:$A$1001,Customers!G675:$G$1001,"Not Found",0)</f>
        <v>United States</v>
      </c>
      <c r="L676" t="str">
        <f>INDEX(Products!$A$1:$G$49,MATCH(Orders!$G676,Products!$A$1:$A$49,0),MATCH(Orders!L$1,Products!$A$1:$G$1,0))</f>
        <v>Ara</v>
      </c>
      <c r="M676" t="str">
        <f>INDEX(Products!$A$1:$G$49,MATCH(Orders!$G676,Products!$A$1:$A$49,0),MATCH(Orders!M$1,Products!$A$1:$G$1,0))</f>
        <v>L</v>
      </c>
      <c r="N676" s="4">
        <f>INDEX(Products!$A$1:$G$49,MATCH(Orders!$G676,Products!$A$1:$A$49,0),MATCH(Orders!N$1,Products!$A$1:$G$1,0))</f>
        <v>2.5</v>
      </c>
      <c r="O676" s="7">
        <f>INDEX(Products!$A$1:$G$49,MATCH(Orders!$G676,Products!$A$1:$A$49,0),MATCH(Orders!O$1,Products!$A$1:$G$1,0))</f>
        <v>29.784999999999997</v>
      </c>
      <c r="P676" s="7">
        <f t="shared" si="10"/>
        <v>178.70999999999998</v>
      </c>
      <c r="Q676" t="str" cm="1">
        <f t="array" ref="Q676">_xlfn.IFS(L676="Rob","Robusta",L676="Exc", "Excelsa",L676="Ara", "Arabica",L676="Lib", "Liberica")</f>
        <v>Arabica</v>
      </c>
      <c r="R676" t="str" cm="1">
        <f t="array" ref="R676">_xlfn.IFS(M676="M","Medium",M676="L","Light",M676="D","Dark")</f>
        <v>Light</v>
      </c>
    </row>
    <row r="677" spans="1:18">
      <c r="A677" s="2" t="s">
        <v>1358</v>
      </c>
      <c r="B677" s="3">
        <v>44263</v>
      </c>
      <c r="C677" s="9">
        <f>YEAR(Orders_Table[[#This Row],[Order Date]])</f>
        <v>2021</v>
      </c>
      <c r="D677" s="9">
        <f>MONTH(Orders_Table[[#This Row],[Order Date]])</f>
        <v>3</v>
      </c>
      <c r="E677" s="9" t="str" cm="1">
        <f t="array" ref="E6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77" s="2" t="s">
        <v>1359</v>
      </c>
      <c r="G677" t="s">
        <v>156</v>
      </c>
      <c r="H677" s="2">
        <v>4</v>
      </c>
      <c r="I677" s="2" t="str" cm="1">
        <f t="array" ref="I677">_xlfn.XLOOKUP(F677,Customers!A676:$A$1001,Customers!B676:$B$1001,"Not Found",0)</f>
        <v>Terri Lyford</v>
      </c>
      <c r="J677" s="2" t="str" cm="1">
        <f t="array" ref="J677">IF(_xlfn.XLOOKUP(F677,Customers!A676:$A$1001,Customers!C676:$C$1001,"Not Found",0)=0,"",_xlfn.XLOOKUP(F677,Customers!A676:$A$1001,Customers!C676:$C$1001,"Not Found",0))</f>
        <v/>
      </c>
      <c r="K677" s="2" t="str" cm="1">
        <f t="array" ref="K677">_xlfn.XLOOKUP(F677,Customers!A676:$A$1001,Customers!G676:$G$1001,"Not Found",0)</f>
        <v>United States</v>
      </c>
      <c r="L677" t="str">
        <f>INDEX(Products!$A$1:$G$49,MATCH(Orders!$G677,Products!$A$1:$A$49,0),MATCH(Orders!L$1,Products!$A$1:$G$1,0))</f>
        <v>Lib</v>
      </c>
      <c r="M677" t="str">
        <f>INDEX(Products!$A$1:$G$49,MATCH(Orders!$G677,Products!$A$1:$A$49,0),MATCH(Orders!M$1,Products!$A$1:$G$1,0))</f>
        <v>D</v>
      </c>
      <c r="N677" s="4">
        <f>INDEX(Products!$A$1:$G$49,MATCH(Orders!$G677,Products!$A$1:$A$49,0),MATCH(Orders!N$1,Products!$A$1:$G$1,0))</f>
        <v>2.5</v>
      </c>
      <c r="O677" s="7">
        <f>INDEX(Products!$A$1:$G$49,MATCH(Orders!$G677,Products!$A$1:$A$49,0),MATCH(Orders!O$1,Products!$A$1:$G$1,0))</f>
        <v>29.784999999999997</v>
      </c>
      <c r="P677" s="7">
        <f t="shared" si="10"/>
        <v>119.13999999999999</v>
      </c>
      <c r="Q677" t="str" cm="1">
        <f t="array" ref="Q677">_xlfn.IFS(L677="Rob","Robusta",L677="Exc", "Excelsa",L677="Ara", "Arabica",L677="Lib", "Liberica")</f>
        <v>Liberica</v>
      </c>
      <c r="R677" t="str" cm="1">
        <f t="array" ref="R677">_xlfn.IFS(M677="M","Medium",M677="L","Light",M677="D","Dark")</f>
        <v>Dark</v>
      </c>
    </row>
    <row r="678" spans="1:18">
      <c r="A678" s="2" t="s">
        <v>1360</v>
      </c>
      <c r="B678" s="3">
        <v>44217</v>
      </c>
      <c r="C678" s="9">
        <f>YEAR(Orders_Table[[#This Row],[Order Date]])</f>
        <v>2021</v>
      </c>
      <c r="D678" s="9">
        <f>MONTH(Orders_Table[[#This Row],[Order Date]])</f>
        <v>1</v>
      </c>
      <c r="E678" s="9" t="str" cm="1">
        <f t="array" ref="E6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78" s="2" t="s">
        <v>1361</v>
      </c>
      <c r="G678" t="s">
        <v>130</v>
      </c>
      <c r="H678" s="2">
        <v>5</v>
      </c>
      <c r="I678" s="2" t="str" cm="1">
        <f t="array" ref="I678">_xlfn.XLOOKUP(F678,Customers!A677:$A$1001,Customers!B677:$B$1001,"Not Found",0)</f>
        <v>Gabey Cogan</v>
      </c>
      <c r="J678" s="2" t="str" cm="1">
        <f t="array" ref="J678">IF(_xlfn.XLOOKUP(F678,Customers!A677:$A$1001,Customers!C677:$C$1001,"Not Found",0)=0,"",_xlfn.XLOOKUP(F678,Customers!A677:$A$1001,Customers!C677:$C$1001,"Not Found",0))</f>
        <v/>
      </c>
      <c r="K678" s="2" t="str" cm="1">
        <f t="array" ref="K678">_xlfn.XLOOKUP(F678,Customers!A677:$A$1001,Customers!G677:$G$1001,"Not Found",0)</f>
        <v>United States</v>
      </c>
      <c r="L678" t="str">
        <f>INDEX(Products!$A$1:$G$49,MATCH(Orders!$G678,Products!$A$1:$A$49,0),MATCH(Orders!L$1,Products!$A$1:$G$1,0))</f>
        <v>Lib</v>
      </c>
      <c r="M678" t="str">
        <f>INDEX(Products!$A$1:$G$49,MATCH(Orders!$G678,Products!$A$1:$A$49,0),MATCH(Orders!M$1,Products!$A$1:$G$1,0))</f>
        <v>L</v>
      </c>
      <c r="N678" s="4">
        <f>INDEX(Products!$A$1:$G$49,MATCH(Orders!$G678,Products!$A$1:$A$49,0),MATCH(Orders!N$1,Products!$A$1:$G$1,0))</f>
        <v>0.5</v>
      </c>
      <c r="O678" s="7">
        <f>INDEX(Products!$A$1:$G$49,MATCH(Orders!$G678,Products!$A$1:$A$49,0),MATCH(Orders!O$1,Products!$A$1:$G$1,0))</f>
        <v>9.51</v>
      </c>
      <c r="P678" s="7">
        <f t="shared" si="10"/>
        <v>47.55</v>
      </c>
      <c r="Q678" t="str" cm="1">
        <f t="array" ref="Q678">_xlfn.IFS(L678="Rob","Robusta",L678="Exc", "Excelsa",L678="Ara", "Arabica",L678="Lib", "Liberica")</f>
        <v>Liberica</v>
      </c>
      <c r="R678" t="str" cm="1">
        <f t="array" ref="R678">_xlfn.IFS(M678="M","Medium",M678="L","Light",M678="D","Dark")</f>
        <v>Light</v>
      </c>
    </row>
    <row r="679" spans="1:18">
      <c r="A679" s="2" t="s">
        <v>1362</v>
      </c>
      <c r="B679" s="3">
        <v>44206</v>
      </c>
      <c r="C679" s="9">
        <f>YEAR(Orders_Table[[#This Row],[Order Date]])</f>
        <v>2021</v>
      </c>
      <c r="D679" s="9">
        <f>MONTH(Orders_Table[[#This Row],[Order Date]])</f>
        <v>1</v>
      </c>
      <c r="E679" s="9" t="str" cm="1">
        <f t="array" ref="E6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79" s="2" t="s">
        <v>1363</v>
      </c>
      <c r="G679" t="s">
        <v>125</v>
      </c>
      <c r="H679" s="2">
        <v>5</v>
      </c>
      <c r="I679" s="2" t="str" cm="1">
        <f t="array" ref="I679">_xlfn.XLOOKUP(F679,Customers!A678:$A$1001,Customers!B678:$B$1001,"Not Found",0)</f>
        <v>Charin Penwarden</v>
      </c>
      <c r="J679" s="2" t="str" cm="1">
        <f t="array" ref="J679">IF(_xlfn.XLOOKUP(F679,Customers!A678:$A$1001,Customers!C678:$C$1001,"Not Found",0)=0,"",_xlfn.XLOOKUP(F679,Customers!A678:$A$1001,Customers!C678:$C$1001,"Not Found",0))</f>
        <v>cpenwardenit@mlb.com</v>
      </c>
      <c r="K679" s="2" t="str" cm="1">
        <f t="array" ref="K679">_xlfn.XLOOKUP(F679,Customers!A678:$A$1001,Customers!G678:$G$1001,"Not Found",0)</f>
        <v>Ireland</v>
      </c>
      <c r="L679" t="str">
        <f>INDEX(Products!$A$1:$G$49,MATCH(Orders!$G679,Products!$A$1:$A$49,0),MATCH(Orders!L$1,Products!$A$1:$G$1,0))</f>
        <v>Lib</v>
      </c>
      <c r="M679" t="str">
        <f>INDEX(Products!$A$1:$G$49,MATCH(Orders!$G679,Products!$A$1:$A$49,0),MATCH(Orders!M$1,Products!$A$1:$G$1,0))</f>
        <v>M</v>
      </c>
      <c r="N679" s="4">
        <f>INDEX(Products!$A$1:$G$49,MATCH(Orders!$G679,Products!$A$1:$A$49,0),MATCH(Orders!N$1,Products!$A$1:$G$1,0))</f>
        <v>0.5</v>
      </c>
      <c r="O679" s="7">
        <f>INDEX(Products!$A$1:$G$49,MATCH(Orders!$G679,Products!$A$1:$A$49,0),MATCH(Orders!O$1,Products!$A$1:$G$1,0))</f>
        <v>8.73</v>
      </c>
      <c r="P679" s="7">
        <f t="shared" si="10"/>
        <v>43.650000000000006</v>
      </c>
      <c r="Q679" t="str" cm="1">
        <f t="array" ref="Q679">_xlfn.IFS(L679="Rob","Robusta",L679="Exc", "Excelsa",L679="Ara", "Arabica",L679="Lib", "Liberica")</f>
        <v>Liberica</v>
      </c>
      <c r="R679" t="str" cm="1">
        <f t="array" ref="R679">_xlfn.IFS(M679="M","Medium",M679="L","Light",M679="D","Dark")</f>
        <v>Medium</v>
      </c>
    </row>
    <row r="680" spans="1:18">
      <c r="A680" s="2" t="s">
        <v>1364</v>
      </c>
      <c r="B680" s="3">
        <v>44281</v>
      </c>
      <c r="C680" s="9">
        <f>YEAR(Orders_Table[[#This Row],[Order Date]])</f>
        <v>2021</v>
      </c>
      <c r="D680" s="9">
        <f>MONTH(Orders_Table[[#This Row],[Order Date]])</f>
        <v>3</v>
      </c>
      <c r="E680" s="9" t="str" cm="1">
        <f t="array" ref="E6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80" s="2" t="s">
        <v>1365</v>
      </c>
      <c r="G680" t="s">
        <v>251</v>
      </c>
      <c r="H680" s="2">
        <v>6</v>
      </c>
      <c r="I680" s="2" t="str" cm="1">
        <f t="array" ref="I680">_xlfn.XLOOKUP(F680,Customers!A679:$A$1001,Customers!B679:$B$1001,"Not Found",0)</f>
        <v>Milty Middis</v>
      </c>
      <c r="J680" s="2" t="str" cm="1">
        <f t="array" ref="J680">IF(_xlfn.XLOOKUP(F680,Customers!A679:$A$1001,Customers!C679:$C$1001,"Not Found",0)=0,"",_xlfn.XLOOKUP(F680,Customers!A679:$A$1001,Customers!C679:$C$1001,"Not Found",0))</f>
        <v>mmiddisiu@dmoz.org</v>
      </c>
      <c r="K680" s="2" t="str" cm="1">
        <f t="array" ref="K680">_xlfn.XLOOKUP(F680,Customers!A679:$A$1001,Customers!G679:$G$1001,"Not Found",0)</f>
        <v>United States</v>
      </c>
      <c r="L680" t="str">
        <f>INDEX(Products!$A$1:$G$49,MATCH(Orders!$G680,Products!$A$1:$A$49,0),MATCH(Orders!L$1,Products!$A$1:$G$1,0))</f>
        <v>Ara</v>
      </c>
      <c r="M680" t="str">
        <f>INDEX(Products!$A$1:$G$49,MATCH(Orders!$G680,Products!$A$1:$A$49,0),MATCH(Orders!M$1,Products!$A$1:$G$1,0))</f>
        <v>L</v>
      </c>
      <c r="N680" s="4">
        <f>INDEX(Products!$A$1:$G$49,MATCH(Orders!$G680,Products!$A$1:$A$49,0),MATCH(Orders!N$1,Products!$A$1:$G$1,0))</f>
        <v>2.5</v>
      </c>
      <c r="O680" s="7">
        <f>INDEX(Products!$A$1:$G$49,MATCH(Orders!$G680,Products!$A$1:$A$49,0),MATCH(Orders!O$1,Products!$A$1:$G$1,0))</f>
        <v>29.784999999999997</v>
      </c>
      <c r="P680" s="7">
        <f t="shared" si="10"/>
        <v>178.70999999999998</v>
      </c>
      <c r="Q680" t="str" cm="1">
        <f t="array" ref="Q680">_xlfn.IFS(L680="Rob","Robusta",L680="Exc", "Excelsa",L680="Ara", "Arabica",L680="Lib", "Liberica")</f>
        <v>Arabica</v>
      </c>
      <c r="R680" t="str" cm="1">
        <f t="array" ref="R680">_xlfn.IFS(M680="M","Medium",M680="L","Light",M680="D","Dark")</f>
        <v>Light</v>
      </c>
    </row>
    <row r="681" spans="1:18">
      <c r="A681" s="2" t="s">
        <v>1366</v>
      </c>
      <c r="B681" s="3">
        <v>44645</v>
      </c>
      <c r="C681" s="9">
        <f>YEAR(Orders_Table[[#This Row],[Order Date]])</f>
        <v>2022</v>
      </c>
      <c r="D681" s="9">
        <f>MONTH(Orders_Table[[#This Row],[Order Date]])</f>
        <v>3</v>
      </c>
      <c r="E681" s="9" t="str" cm="1">
        <f t="array" ref="E6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81" s="2" t="s">
        <v>1367</v>
      </c>
      <c r="G681" t="s">
        <v>57</v>
      </c>
      <c r="H681" s="2">
        <v>1</v>
      </c>
      <c r="I681" s="2" t="str" cm="1">
        <f t="array" ref="I681">_xlfn.XLOOKUP(F681,Customers!A680:$A$1001,Customers!B680:$B$1001,"Not Found",0)</f>
        <v>Adrianne Vairow</v>
      </c>
      <c r="J681" s="2" t="str" cm="1">
        <f t="array" ref="J681">IF(_xlfn.XLOOKUP(F681,Customers!A680:$A$1001,Customers!C680:$C$1001,"Not Found",0)=0,"",_xlfn.XLOOKUP(F681,Customers!A680:$A$1001,Customers!C680:$C$1001,"Not Found",0))</f>
        <v>avairowiv@studiopress.com</v>
      </c>
      <c r="K681" s="2" t="str" cm="1">
        <f t="array" ref="K681">_xlfn.XLOOKUP(F681,Customers!A680:$A$1001,Customers!G680:$G$1001,"Not Found",0)</f>
        <v>United Kingdom</v>
      </c>
      <c r="L681" t="str">
        <f>INDEX(Products!$A$1:$G$49,MATCH(Orders!$G681,Products!$A$1:$A$49,0),MATCH(Orders!L$1,Products!$A$1:$G$1,0))</f>
        <v>Rob</v>
      </c>
      <c r="M681" t="str">
        <f>INDEX(Products!$A$1:$G$49,MATCH(Orders!$G681,Products!$A$1:$A$49,0),MATCH(Orders!M$1,Products!$A$1:$G$1,0))</f>
        <v>L</v>
      </c>
      <c r="N681" s="4">
        <f>INDEX(Products!$A$1:$G$49,MATCH(Orders!$G681,Products!$A$1:$A$49,0),MATCH(Orders!N$1,Products!$A$1:$G$1,0))</f>
        <v>2.5</v>
      </c>
      <c r="O681" s="7">
        <f>INDEX(Products!$A$1:$G$49,MATCH(Orders!$G681,Products!$A$1:$A$49,0),MATCH(Orders!O$1,Products!$A$1:$G$1,0))</f>
        <v>27.484999999999996</v>
      </c>
      <c r="P681" s="7">
        <f t="shared" si="10"/>
        <v>27.484999999999996</v>
      </c>
      <c r="Q681" t="str" cm="1">
        <f t="array" ref="Q681">_xlfn.IFS(L681="Rob","Robusta",L681="Exc", "Excelsa",L681="Ara", "Arabica",L681="Lib", "Liberica")</f>
        <v>Robusta</v>
      </c>
      <c r="R681" t="str" cm="1">
        <f t="array" ref="R681">_xlfn.IFS(M681="M","Medium",M681="L","Light",M681="D","Dark")</f>
        <v>Light</v>
      </c>
    </row>
    <row r="682" spans="1:18">
      <c r="A682" s="2" t="s">
        <v>1368</v>
      </c>
      <c r="B682" s="3">
        <v>44399</v>
      </c>
      <c r="C682" s="9">
        <f>YEAR(Orders_Table[[#This Row],[Order Date]])</f>
        <v>2021</v>
      </c>
      <c r="D682" s="9">
        <f>MONTH(Orders_Table[[#This Row],[Order Date]])</f>
        <v>7</v>
      </c>
      <c r="E682" s="9" t="str" cm="1">
        <f t="array" ref="E6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82" s="2" t="s">
        <v>1369</v>
      </c>
      <c r="G682" t="s">
        <v>108</v>
      </c>
      <c r="H682" s="2">
        <v>5</v>
      </c>
      <c r="I682" s="2" t="str" cm="1">
        <f t="array" ref="I682">_xlfn.XLOOKUP(F682,Customers!A681:$A$1001,Customers!B681:$B$1001,"Not Found",0)</f>
        <v>Anjanette Goldie</v>
      </c>
      <c r="J682" s="2" t="str" cm="1">
        <f t="array" ref="J682">IF(_xlfn.XLOOKUP(F682,Customers!A681:$A$1001,Customers!C681:$C$1001,"Not Found",0)=0,"",_xlfn.XLOOKUP(F682,Customers!A681:$A$1001,Customers!C681:$C$1001,"Not Found",0))</f>
        <v>agoldieiw@goo.gl</v>
      </c>
      <c r="K682" s="2" t="str" cm="1">
        <f t="array" ref="K682">_xlfn.XLOOKUP(F682,Customers!A681:$A$1001,Customers!G681:$G$1001,"Not Found",0)</f>
        <v>United States</v>
      </c>
      <c r="L682" t="str">
        <f>INDEX(Products!$A$1:$G$49,MATCH(Orders!$G682,Products!$A$1:$A$49,0),MATCH(Orders!L$1,Products!$A$1:$G$1,0))</f>
        <v>Ara</v>
      </c>
      <c r="M682" t="str">
        <f>INDEX(Products!$A$1:$G$49,MATCH(Orders!$G682,Products!$A$1:$A$49,0),MATCH(Orders!M$1,Products!$A$1:$G$1,0))</f>
        <v>M</v>
      </c>
      <c r="N682" s="4">
        <f>INDEX(Products!$A$1:$G$49,MATCH(Orders!$G682,Products!$A$1:$A$49,0),MATCH(Orders!N$1,Products!$A$1:$G$1,0))</f>
        <v>1</v>
      </c>
      <c r="O682" s="7">
        <f>INDEX(Products!$A$1:$G$49,MATCH(Orders!$G682,Products!$A$1:$A$49,0),MATCH(Orders!O$1,Products!$A$1:$G$1,0))</f>
        <v>11.25</v>
      </c>
      <c r="P682" s="7">
        <f t="shared" si="10"/>
        <v>56.25</v>
      </c>
      <c r="Q682" t="str" cm="1">
        <f t="array" ref="Q682">_xlfn.IFS(L682="Rob","Robusta",L682="Exc", "Excelsa",L682="Ara", "Arabica",L682="Lib", "Liberica")</f>
        <v>Arabica</v>
      </c>
      <c r="R682" t="str" cm="1">
        <f t="array" ref="R682">_xlfn.IFS(M682="M","Medium",M682="L","Light",M682="D","Dark")</f>
        <v>Medium</v>
      </c>
    </row>
    <row r="683" spans="1:18">
      <c r="A683" s="2" t="s">
        <v>1370</v>
      </c>
      <c r="B683" s="3">
        <v>44080</v>
      </c>
      <c r="C683" s="9">
        <f>YEAR(Orders_Table[[#This Row],[Order Date]])</f>
        <v>2020</v>
      </c>
      <c r="D683" s="9">
        <f>MONTH(Orders_Table[[#This Row],[Order Date]])</f>
        <v>9</v>
      </c>
      <c r="E683" s="9" t="str" cm="1">
        <f t="array" ref="E6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83" s="2" t="s">
        <v>1371</v>
      </c>
      <c r="G683" t="s">
        <v>66</v>
      </c>
      <c r="H683" s="2">
        <v>2</v>
      </c>
      <c r="I683" s="2" t="str" cm="1">
        <f t="array" ref="I683">_xlfn.XLOOKUP(F683,Customers!A682:$A$1001,Customers!B682:$B$1001,"Not Found",0)</f>
        <v>Nicky Ayris</v>
      </c>
      <c r="J683" s="2" t="str" cm="1">
        <f t="array" ref="J683">IF(_xlfn.XLOOKUP(F683,Customers!A682:$A$1001,Customers!C682:$C$1001,"Not Found",0)=0,"",_xlfn.XLOOKUP(F683,Customers!A682:$A$1001,Customers!C682:$C$1001,"Not Found",0))</f>
        <v>nayrisix@t-online.de</v>
      </c>
      <c r="K683" s="2" t="str" cm="1">
        <f t="array" ref="K683">_xlfn.XLOOKUP(F683,Customers!A682:$A$1001,Customers!G682:$G$1001,"Not Found",0)</f>
        <v>United Kingdom</v>
      </c>
      <c r="L683" t="str">
        <f>INDEX(Products!$A$1:$G$49,MATCH(Orders!$G683,Products!$A$1:$A$49,0),MATCH(Orders!L$1,Products!$A$1:$G$1,0))</f>
        <v>Lib</v>
      </c>
      <c r="M683" t="str">
        <f>INDEX(Products!$A$1:$G$49,MATCH(Orders!$G683,Products!$A$1:$A$49,0),MATCH(Orders!M$1,Products!$A$1:$G$1,0))</f>
        <v>L</v>
      </c>
      <c r="N683" s="4">
        <f>INDEX(Products!$A$1:$G$49,MATCH(Orders!$G683,Products!$A$1:$A$49,0),MATCH(Orders!N$1,Products!$A$1:$G$1,0))</f>
        <v>0.2</v>
      </c>
      <c r="O683" s="7">
        <f>INDEX(Products!$A$1:$G$49,MATCH(Orders!$G683,Products!$A$1:$A$49,0),MATCH(Orders!O$1,Products!$A$1:$G$1,0))</f>
        <v>4.7549999999999999</v>
      </c>
      <c r="P683" s="7">
        <f t="shared" si="10"/>
        <v>9.51</v>
      </c>
      <c r="Q683" t="str" cm="1">
        <f t="array" ref="Q683">_xlfn.IFS(L683="Rob","Robusta",L683="Exc", "Excelsa",L683="Ara", "Arabica",L683="Lib", "Liberica")</f>
        <v>Liberica</v>
      </c>
      <c r="R683" t="str" cm="1">
        <f t="array" ref="R683">_xlfn.IFS(M683="M","Medium",M683="L","Light",M683="D","Dark")</f>
        <v>Light</v>
      </c>
    </row>
    <row r="684" spans="1:18">
      <c r="A684" s="2" t="s">
        <v>1372</v>
      </c>
      <c r="B684" s="3">
        <v>43827</v>
      </c>
      <c r="C684" s="9">
        <f>YEAR(Orders_Table[[#This Row],[Order Date]])</f>
        <v>2019</v>
      </c>
      <c r="D684" s="9">
        <f>MONTH(Orders_Table[[#This Row],[Order Date]])</f>
        <v>12</v>
      </c>
      <c r="E684" s="9" t="str" cm="1">
        <f t="array" ref="E6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84" s="2" t="s">
        <v>1373</v>
      </c>
      <c r="G684" t="s">
        <v>111</v>
      </c>
      <c r="H684" s="2">
        <v>2</v>
      </c>
      <c r="I684" s="2" t="str" cm="1">
        <f t="array" ref="I684">_xlfn.XLOOKUP(F684,Customers!A683:$A$1001,Customers!B683:$B$1001,"Not Found",0)</f>
        <v>Laryssa Benediktovich</v>
      </c>
      <c r="J684" s="2" t="str" cm="1">
        <f t="array" ref="J684">IF(_xlfn.XLOOKUP(F684,Customers!A683:$A$1001,Customers!C683:$C$1001,"Not Found",0)=0,"",_xlfn.XLOOKUP(F684,Customers!A683:$A$1001,Customers!C683:$C$1001,"Not Found",0))</f>
        <v>lbenediktovichiy@wunderground.com</v>
      </c>
      <c r="K684" s="2" t="str" cm="1">
        <f t="array" ref="K684">_xlfn.XLOOKUP(F684,Customers!A683:$A$1001,Customers!G683:$G$1001,"Not Found",0)</f>
        <v>United States</v>
      </c>
      <c r="L684" t="str">
        <f>INDEX(Products!$A$1:$G$49,MATCH(Orders!$G684,Products!$A$1:$A$49,0),MATCH(Orders!L$1,Products!$A$1:$G$1,0))</f>
        <v>Exc</v>
      </c>
      <c r="M684" t="str">
        <f>INDEX(Products!$A$1:$G$49,MATCH(Orders!$G684,Products!$A$1:$A$49,0),MATCH(Orders!M$1,Products!$A$1:$G$1,0))</f>
        <v>M</v>
      </c>
      <c r="N684" s="4">
        <f>INDEX(Products!$A$1:$G$49,MATCH(Orders!$G684,Products!$A$1:$A$49,0),MATCH(Orders!N$1,Products!$A$1:$G$1,0))</f>
        <v>0.2</v>
      </c>
      <c r="O684" s="7">
        <f>INDEX(Products!$A$1:$G$49,MATCH(Orders!$G684,Products!$A$1:$A$49,0),MATCH(Orders!O$1,Products!$A$1:$G$1,0))</f>
        <v>4.125</v>
      </c>
      <c r="P684" s="7">
        <f t="shared" si="10"/>
        <v>8.25</v>
      </c>
      <c r="Q684" t="str" cm="1">
        <f t="array" ref="Q684">_xlfn.IFS(L684="Rob","Robusta",L684="Exc", "Excelsa",L684="Ara", "Arabica",L684="Lib", "Liberica")</f>
        <v>Excelsa</v>
      </c>
      <c r="R684" t="str" cm="1">
        <f t="array" ref="R684">_xlfn.IFS(M684="M","Medium",M684="L","Light",M684="D","Dark")</f>
        <v>Medium</v>
      </c>
    </row>
    <row r="685" spans="1:18">
      <c r="A685" s="2" t="s">
        <v>1374</v>
      </c>
      <c r="B685" s="3">
        <v>43941</v>
      </c>
      <c r="C685" s="9">
        <f>YEAR(Orders_Table[[#This Row],[Order Date]])</f>
        <v>2020</v>
      </c>
      <c r="D685" s="9">
        <f>MONTH(Orders_Table[[#This Row],[Order Date]])</f>
        <v>4</v>
      </c>
      <c r="E685" s="9" t="str" cm="1">
        <f t="array" ref="E6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85" s="2" t="s">
        <v>1375</v>
      </c>
      <c r="G685" t="s">
        <v>170</v>
      </c>
      <c r="H685" s="2">
        <v>6</v>
      </c>
      <c r="I685" s="2" t="str" cm="1">
        <f t="array" ref="I685">_xlfn.XLOOKUP(F685,Customers!A684:$A$1001,Customers!B684:$B$1001,"Not Found",0)</f>
        <v>Theo Jacobovitz</v>
      </c>
      <c r="J685" s="2" t="str" cm="1">
        <f t="array" ref="J685">IF(_xlfn.XLOOKUP(F685,Customers!A684:$A$1001,Customers!C684:$C$1001,"Not Found",0)=0,"",_xlfn.XLOOKUP(F685,Customers!A684:$A$1001,Customers!C684:$C$1001,"Not Found",0))</f>
        <v>tjacobovitziz@cbc.ca</v>
      </c>
      <c r="K685" s="2" t="str" cm="1">
        <f t="array" ref="K685">_xlfn.XLOOKUP(F685,Customers!A684:$A$1001,Customers!G684:$G$1001,"Not Found",0)</f>
        <v>United States</v>
      </c>
      <c r="L685" t="str">
        <f>INDEX(Products!$A$1:$G$49,MATCH(Orders!$G685,Products!$A$1:$A$49,0),MATCH(Orders!L$1,Products!$A$1:$G$1,0))</f>
        <v>Lib</v>
      </c>
      <c r="M685" t="str">
        <f>INDEX(Products!$A$1:$G$49,MATCH(Orders!$G685,Products!$A$1:$A$49,0),MATCH(Orders!M$1,Products!$A$1:$G$1,0))</f>
        <v>D</v>
      </c>
      <c r="N685" s="4">
        <f>INDEX(Products!$A$1:$G$49,MATCH(Orders!$G685,Products!$A$1:$A$49,0),MATCH(Orders!N$1,Products!$A$1:$G$1,0))</f>
        <v>0.5</v>
      </c>
      <c r="O685" s="7">
        <f>INDEX(Products!$A$1:$G$49,MATCH(Orders!$G685,Products!$A$1:$A$49,0),MATCH(Orders!O$1,Products!$A$1:$G$1,0))</f>
        <v>7.77</v>
      </c>
      <c r="P685" s="7">
        <f t="shared" si="10"/>
        <v>46.62</v>
      </c>
      <c r="Q685" t="str" cm="1">
        <f t="array" ref="Q685">_xlfn.IFS(L685="Rob","Robusta",L685="Exc", "Excelsa",L685="Ara", "Arabica",L685="Lib", "Liberica")</f>
        <v>Liberica</v>
      </c>
      <c r="R685" t="str" cm="1">
        <f t="array" ref="R685">_xlfn.IFS(M685="M","Medium",M685="L","Light",M685="D","Dark")</f>
        <v>Dark</v>
      </c>
    </row>
    <row r="686" spans="1:18">
      <c r="A686" s="2" t="s">
        <v>1376</v>
      </c>
      <c r="B686" s="3">
        <v>43517</v>
      </c>
      <c r="C686" s="9">
        <f>YEAR(Orders_Table[[#This Row],[Order Date]])</f>
        <v>2019</v>
      </c>
      <c r="D686" s="9">
        <f>MONTH(Orders_Table[[#This Row],[Order Date]])</f>
        <v>2</v>
      </c>
      <c r="E686" s="9" t="str" cm="1">
        <f t="array" ref="E6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686" s="2" t="s">
        <v>1377</v>
      </c>
      <c r="G686" t="s">
        <v>236</v>
      </c>
      <c r="H686" s="2">
        <v>6</v>
      </c>
      <c r="I686" s="2" t="str" cm="1">
        <f t="array" ref="I686">_xlfn.XLOOKUP(F686,Customers!A685:$A$1001,Customers!B685:$B$1001,"Not Found",0)</f>
        <v>Becca Ableson</v>
      </c>
      <c r="J686" s="2" t="str" cm="1">
        <f t="array" ref="J686">IF(_xlfn.XLOOKUP(F686,Customers!A685:$A$1001,Customers!C685:$C$1001,"Not Found",0)=0,"",_xlfn.XLOOKUP(F686,Customers!A685:$A$1001,Customers!C685:$C$1001,"Not Found",0))</f>
        <v/>
      </c>
      <c r="K686" s="2" t="str" cm="1">
        <f t="array" ref="K686">_xlfn.XLOOKUP(F686,Customers!A685:$A$1001,Customers!G685:$G$1001,"Not Found",0)</f>
        <v>United States</v>
      </c>
      <c r="L686" t="str">
        <f>INDEX(Products!$A$1:$G$49,MATCH(Orders!$G686,Products!$A$1:$A$49,0),MATCH(Orders!L$1,Products!$A$1:$G$1,0))</f>
        <v>Rob</v>
      </c>
      <c r="M686" t="str">
        <f>INDEX(Products!$A$1:$G$49,MATCH(Orders!$G686,Products!$A$1:$A$49,0),MATCH(Orders!M$1,Products!$A$1:$G$1,0))</f>
        <v>L</v>
      </c>
      <c r="N686" s="4">
        <f>INDEX(Products!$A$1:$G$49,MATCH(Orders!$G686,Products!$A$1:$A$49,0),MATCH(Orders!N$1,Products!$A$1:$G$1,0))</f>
        <v>1</v>
      </c>
      <c r="O686" s="7">
        <f>INDEX(Products!$A$1:$G$49,MATCH(Orders!$G686,Products!$A$1:$A$49,0),MATCH(Orders!O$1,Products!$A$1:$G$1,0))</f>
        <v>11.95</v>
      </c>
      <c r="P686" s="7">
        <f t="shared" si="10"/>
        <v>71.699999999999989</v>
      </c>
      <c r="Q686" t="str" cm="1">
        <f t="array" ref="Q686">_xlfn.IFS(L686="Rob","Robusta",L686="Exc", "Excelsa",L686="Ara", "Arabica",L686="Lib", "Liberica")</f>
        <v>Robusta</v>
      </c>
      <c r="R686" t="str" cm="1">
        <f t="array" ref="R686">_xlfn.IFS(M686="M","Medium",M686="L","Light",M686="D","Dark")</f>
        <v>Light</v>
      </c>
    </row>
    <row r="687" spans="1:18">
      <c r="A687" s="2" t="s">
        <v>1378</v>
      </c>
      <c r="B687" s="3">
        <v>44637</v>
      </c>
      <c r="C687" s="9">
        <f>YEAR(Orders_Table[[#This Row],[Order Date]])</f>
        <v>2022</v>
      </c>
      <c r="D687" s="9">
        <f>MONTH(Orders_Table[[#This Row],[Order Date]])</f>
        <v>3</v>
      </c>
      <c r="E687" s="9" t="str" cm="1">
        <f t="array" ref="E6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87" s="2" t="s">
        <v>1379</v>
      </c>
      <c r="G687" t="s">
        <v>151</v>
      </c>
      <c r="H687" s="2">
        <v>2</v>
      </c>
      <c r="I687" s="2" t="str" cm="1">
        <f t="array" ref="I687">_xlfn.XLOOKUP(F687,Customers!A686:$A$1001,Customers!B686:$B$1001,"Not Found",0)</f>
        <v>Jeno Druitt</v>
      </c>
      <c r="J687" s="2" t="str" cm="1">
        <f t="array" ref="J687">IF(_xlfn.XLOOKUP(F687,Customers!A686:$A$1001,Customers!C686:$C$1001,"Not Found",0)=0,"",_xlfn.XLOOKUP(F687,Customers!A686:$A$1001,Customers!C686:$C$1001,"Not Found",0))</f>
        <v>jdruittj1@feedburner.com</v>
      </c>
      <c r="K687" s="2" t="str" cm="1">
        <f t="array" ref="K687">_xlfn.XLOOKUP(F687,Customers!A686:$A$1001,Customers!G686:$G$1001,"Not Found",0)</f>
        <v>United States</v>
      </c>
      <c r="L687" t="str">
        <f>INDEX(Products!$A$1:$G$49,MATCH(Orders!$G687,Products!$A$1:$A$49,0),MATCH(Orders!L$1,Products!$A$1:$G$1,0))</f>
        <v>Lib</v>
      </c>
      <c r="M687" t="str">
        <f>INDEX(Products!$A$1:$G$49,MATCH(Orders!$G687,Products!$A$1:$A$49,0),MATCH(Orders!M$1,Products!$A$1:$G$1,0))</f>
        <v>L</v>
      </c>
      <c r="N687" s="4">
        <f>INDEX(Products!$A$1:$G$49,MATCH(Orders!$G687,Products!$A$1:$A$49,0),MATCH(Orders!N$1,Products!$A$1:$G$1,0))</f>
        <v>2.5</v>
      </c>
      <c r="O687" s="7">
        <f>INDEX(Products!$A$1:$G$49,MATCH(Orders!$G687,Products!$A$1:$A$49,0),MATCH(Orders!O$1,Products!$A$1:$G$1,0))</f>
        <v>36.454999999999998</v>
      </c>
      <c r="P687" s="7">
        <f t="shared" si="10"/>
        <v>72.91</v>
      </c>
      <c r="Q687" t="str" cm="1">
        <f t="array" ref="Q687">_xlfn.IFS(L687="Rob","Robusta",L687="Exc", "Excelsa",L687="Ara", "Arabica",L687="Lib", "Liberica")</f>
        <v>Liberica</v>
      </c>
      <c r="R687" t="str" cm="1">
        <f t="array" ref="R687">_xlfn.IFS(M687="M","Medium",M687="L","Light",M687="D","Dark")</f>
        <v>Light</v>
      </c>
    </row>
    <row r="688" spans="1:18">
      <c r="A688" s="2" t="s">
        <v>1380</v>
      </c>
      <c r="B688" s="3">
        <v>44330</v>
      </c>
      <c r="C688" s="9">
        <f>YEAR(Orders_Table[[#This Row],[Order Date]])</f>
        <v>2021</v>
      </c>
      <c r="D688" s="9">
        <f>MONTH(Orders_Table[[#This Row],[Order Date]])</f>
        <v>5</v>
      </c>
      <c r="E688" s="9" t="str" cm="1">
        <f t="array" ref="E6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88" s="2" t="s">
        <v>1381</v>
      </c>
      <c r="G688" t="s">
        <v>148</v>
      </c>
      <c r="H688" s="2">
        <v>3</v>
      </c>
      <c r="I688" s="2" t="str" cm="1">
        <f t="array" ref="I688">_xlfn.XLOOKUP(F688,Customers!A687:$A$1001,Customers!B687:$B$1001,"Not Found",0)</f>
        <v>Deonne Shortall</v>
      </c>
      <c r="J688" s="2" t="str" cm="1">
        <f t="array" ref="J688">IF(_xlfn.XLOOKUP(F688,Customers!A687:$A$1001,Customers!C687:$C$1001,"Not Found",0)=0,"",_xlfn.XLOOKUP(F688,Customers!A687:$A$1001,Customers!C687:$C$1001,"Not Found",0))</f>
        <v>dshortallj2@wikipedia.org</v>
      </c>
      <c r="K688" s="2" t="str" cm="1">
        <f t="array" ref="K688">_xlfn.XLOOKUP(F688,Customers!A687:$A$1001,Customers!G687:$G$1001,"Not Found",0)</f>
        <v>United States</v>
      </c>
      <c r="L688" t="str">
        <f>INDEX(Products!$A$1:$G$49,MATCH(Orders!$G688,Products!$A$1:$A$49,0),MATCH(Orders!L$1,Products!$A$1:$G$1,0))</f>
        <v>Rob</v>
      </c>
      <c r="M688" t="str">
        <f>INDEX(Products!$A$1:$G$49,MATCH(Orders!$G688,Products!$A$1:$A$49,0),MATCH(Orders!M$1,Products!$A$1:$G$1,0))</f>
        <v>D</v>
      </c>
      <c r="N688" s="4">
        <f>INDEX(Products!$A$1:$G$49,MATCH(Orders!$G688,Products!$A$1:$A$49,0),MATCH(Orders!N$1,Products!$A$1:$G$1,0))</f>
        <v>0.2</v>
      </c>
      <c r="O688" s="7">
        <f>INDEX(Products!$A$1:$G$49,MATCH(Orders!$G688,Products!$A$1:$A$49,0),MATCH(Orders!O$1,Products!$A$1:$G$1,0))</f>
        <v>2.6849999999999996</v>
      </c>
      <c r="P688" s="7">
        <f t="shared" si="10"/>
        <v>8.0549999999999997</v>
      </c>
      <c r="Q688" t="str" cm="1">
        <f t="array" ref="Q688">_xlfn.IFS(L688="Rob","Robusta",L688="Exc", "Excelsa",L688="Ara", "Arabica",L688="Lib", "Liberica")</f>
        <v>Robusta</v>
      </c>
      <c r="R688" t="str" cm="1">
        <f t="array" ref="R688">_xlfn.IFS(M688="M","Medium",M688="L","Light",M688="D","Dark")</f>
        <v>Dark</v>
      </c>
    </row>
    <row r="689" spans="1:18">
      <c r="A689" s="2" t="s">
        <v>1382</v>
      </c>
      <c r="B689" s="3">
        <v>43471</v>
      </c>
      <c r="C689" s="9">
        <f>YEAR(Orders_Table[[#This Row],[Order Date]])</f>
        <v>2019</v>
      </c>
      <c r="D689" s="9">
        <f>MONTH(Orders_Table[[#This Row],[Order Date]])</f>
        <v>1</v>
      </c>
      <c r="E689" s="9" t="str" cm="1">
        <f t="array" ref="E6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89" s="2" t="s">
        <v>1383</v>
      </c>
      <c r="G689" t="s">
        <v>50</v>
      </c>
      <c r="H689" s="2">
        <v>2</v>
      </c>
      <c r="I689" s="2" t="str" cm="1">
        <f t="array" ref="I689">_xlfn.XLOOKUP(F689,Customers!A688:$A$1001,Customers!B688:$B$1001,"Not Found",0)</f>
        <v>Wilton Cottier</v>
      </c>
      <c r="J689" s="2" t="str" cm="1">
        <f t="array" ref="J689">IF(_xlfn.XLOOKUP(F689,Customers!A688:$A$1001,Customers!C688:$C$1001,"Not Found",0)=0,"",_xlfn.XLOOKUP(F689,Customers!A688:$A$1001,Customers!C688:$C$1001,"Not Found",0))</f>
        <v>wcottierj3@cafepress.com</v>
      </c>
      <c r="K689" s="2" t="str" cm="1">
        <f t="array" ref="K689">_xlfn.XLOOKUP(F689,Customers!A688:$A$1001,Customers!G688:$G$1001,"Not Found",0)</f>
        <v>United States</v>
      </c>
      <c r="L689" t="str">
        <f>INDEX(Products!$A$1:$G$49,MATCH(Orders!$G689,Products!$A$1:$A$49,0),MATCH(Orders!L$1,Products!$A$1:$G$1,0))</f>
        <v>Exc</v>
      </c>
      <c r="M689" t="str">
        <f>INDEX(Products!$A$1:$G$49,MATCH(Orders!$G689,Products!$A$1:$A$49,0),MATCH(Orders!M$1,Products!$A$1:$G$1,0))</f>
        <v>M</v>
      </c>
      <c r="N689" s="4">
        <f>INDEX(Products!$A$1:$G$49,MATCH(Orders!$G689,Products!$A$1:$A$49,0),MATCH(Orders!N$1,Products!$A$1:$G$1,0))</f>
        <v>0.5</v>
      </c>
      <c r="O689" s="7">
        <f>INDEX(Products!$A$1:$G$49,MATCH(Orders!$G689,Products!$A$1:$A$49,0),MATCH(Orders!O$1,Products!$A$1:$G$1,0))</f>
        <v>8.25</v>
      </c>
      <c r="P689" s="7">
        <f t="shared" si="10"/>
        <v>16.5</v>
      </c>
      <c r="Q689" t="str" cm="1">
        <f t="array" ref="Q689">_xlfn.IFS(L689="Rob","Robusta",L689="Exc", "Excelsa",L689="Ara", "Arabica",L689="Lib", "Liberica")</f>
        <v>Excelsa</v>
      </c>
      <c r="R689" t="str" cm="1">
        <f t="array" ref="R689">_xlfn.IFS(M689="M","Medium",M689="L","Light",M689="D","Dark")</f>
        <v>Medium</v>
      </c>
    </row>
    <row r="690" spans="1:18">
      <c r="A690" s="2" t="s">
        <v>1384</v>
      </c>
      <c r="B690" s="3">
        <v>43579</v>
      </c>
      <c r="C690" s="9">
        <f>YEAR(Orders_Table[[#This Row],[Order Date]])</f>
        <v>2019</v>
      </c>
      <c r="D690" s="9">
        <f>MONTH(Orders_Table[[#This Row],[Order Date]])</f>
        <v>4</v>
      </c>
      <c r="E690" s="9" t="str" cm="1">
        <f t="array" ref="E6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90" s="2" t="s">
        <v>1385</v>
      </c>
      <c r="G690" t="s">
        <v>53</v>
      </c>
      <c r="H690" s="2">
        <v>5</v>
      </c>
      <c r="I690" s="2" t="str" cm="1">
        <f t="array" ref="I690">_xlfn.XLOOKUP(F690,Customers!A689:$A$1001,Customers!B689:$B$1001,"Not Found",0)</f>
        <v>Kevan Grinsted</v>
      </c>
      <c r="J690" s="2" t="str" cm="1">
        <f t="array" ref="J690">IF(_xlfn.XLOOKUP(F690,Customers!A689:$A$1001,Customers!C689:$C$1001,"Not Found",0)=0,"",_xlfn.XLOOKUP(F690,Customers!A689:$A$1001,Customers!C689:$C$1001,"Not Found",0))</f>
        <v>kgrinstedj4@google.com.br</v>
      </c>
      <c r="K690" s="2" t="str" cm="1">
        <f t="array" ref="K690">_xlfn.XLOOKUP(F690,Customers!A689:$A$1001,Customers!G689:$G$1001,"Not Found",0)</f>
        <v>Ireland</v>
      </c>
      <c r="L690" t="str">
        <f>INDEX(Products!$A$1:$G$49,MATCH(Orders!$G690,Products!$A$1:$A$49,0),MATCH(Orders!L$1,Products!$A$1:$G$1,0))</f>
        <v>Ara</v>
      </c>
      <c r="M690" t="str">
        <f>INDEX(Products!$A$1:$G$49,MATCH(Orders!$G690,Products!$A$1:$A$49,0),MATCH(Orders!M$1,Products!$A$1:$G$1,0))</f>
        <v>L</v>
      </c>
      <c r="N690" s="4">
        <f>INDEX(Products!$A$1:$G$49,MATCH(Orders!$G690,Products!$A$1:$A$49,0),MATCH(Orders!N$1,Products!$A$1:$G$1,0))</f>
        <v>1</v>
      </c>
      <c r="O690" s="7">
        <f>INDEX(Products!$A$1:$G$49,MATCH(Orders!$G690,Products!$A$1:$A$49,0),MATCH(Orders!O$1,Products!$A$1:$G$1,0))</f>
        <v>12.95</v>
      </c>
      <c r="P690" s="7">
        <f t="shared" si="10"/>
        <v>64.75</v>
      </c>
      <c r="Q690" t="str" cm="1">
        <f t="array" ref="Q690">_xlfn.IFS(L690="Rob","Robusta",L690="Exc", "Excelsa",L690="Ara", "Arabica",L690="Lib", "Liberica")</f>
        <v>Arabica</v>
      </c>
      <c r="R690" t="str" cm="1">
        <f t="array" ref="R690">_xlfn.IFS(M690="M","Medium",M690="L","Light",M690="D","Dark")</f>
        <v>Light</v>
      </c>
    </row>
    <row r="691" spans="1:18">
      <c r="A691" s="2" t="s">
        <v>1386</v>
      </c>
      <c r="B691" s="3">
        <v>44346</v>
      </c>
      <c r="C691" s="9">
        <f>YEAR(Orders_Table[[#This Row],[Order Date]])</f>
        <v>2021</v>
      </c>
      <c r="D691" s="9">
        <f>MONTH(Orders_Table[[#This Row],[Order Date]])</f>
        <v>5</v>
      </c>
      <c r="E691" s="9" t="str" cm="1">
        <f t="array" ref="E6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691" s="2" t="s">
        <v>1387</v>
      </c>
      <c r="G691" t="s">
        <v>114</v>
      </c>
      <c r="H691" s="2">
        <v>5</v>
      </c>
      <c r="I691" s="2" t="str" cm="1">
        <f t="array" ref="I691">_xlfn.XLOOKUP(F691,Customers!A690:$A$1001,Customers!B690:$B$1001,"Not Found",0)</f>
        <v>Dionne Skyner</v>
      </c>
      <c r="J691" s="2" t="str" cm="1">
        <f t="array" ref="J691">IF(_xlfn.XLOOKUP(F691,Customers!A690:$A$1001,Customers!C690:$C$1001,"Not Found",0)=0,"",_xlfn.XLOOKUP(F691,Customers!A690:$A$1001,Customers!C690:$C$1001,"Not Found",0))</f>
        <v>dskynerj5@hubpages.com</v>
      </c>
      <c r="K691" s="2" t="str" cm="1">
        <f t="array" ref="K691">_xlfn.XLOOKUP(F691,Customers!A690:$A$1001,Customers!G690:$G$1001,"Not Found",0)</f>
        <v>United States</v>
      </c>
      <c r="L691" t="str">
        <f>INDEX(Products!$A$1:$G$49,MATCH(Orders!$G691,Products!$A$1:$A$49,0),MATCH(Orders!L$1,Products!$A$1:$G$1,0))</f>
        <v>Ara</v>
      </c>
      <c r="M691" t="str">
        <f>INDEX(Products!$A$1:$G$49,MATCH(Orders!$G691,Products!$A$1:$A$49,0),MATCH(Orders!M$1,Products!$A$1:$G$1,0))</f>
        <v>M</v>
      </c>
      <c r="N691" s="4">
        <f>INDEX(Products!$A$1:$G$49,MATCH(Orders!$G691,Products!$A$1:$A$49,0),MATCH(Orders!N$1,Products!$A$1:$G$1,0))</f>
        <v>0.5</v>
      </c>
      <c r="O691" s="7">
        <f>INDEX(Products!$A$1:$G$49,MATCH(Orders!$G691,Products!$A$1:$A$49,0),MATCH(Orders!O$1,Products!$A$1:$G$1,0))</f>
        <v>6.75</v>
      </c>
      <c r="P691" s="7">
        <f t="shared" si="10"/>
        <v>33.75</v>
      </c>
      <c r="Q691" t="str" cm="1">
        <f t="array" ref="Q691">_xlfn.IFS(L691="Rob","Robusta",L691="Exc", "Excelsa",L691="Ara", "Arabica",L691="Lib", "Liberica")</f>
        <v>Arabica</v>
      </c>
      <c r="R691" t="str" cm="1">
        <f t="array" ref="R691">_xlfn.IFS(M691="M","Medium",M691="L","Light",M691="D","Dark")</f>
        <v>Medium</v>
      </c>
    </row>
    <row r="692" spans="1:18">
      <c r="A692" s="2" t="s">
        <v>1388</v>
      </c>
      <c r="B692" s="3">
        <v>44754</v>
      </c>
      <c r="C692" s="9">
        <f>YEAR(Orders_Table[[#This Row],[Order Date]])</f>
        <v>2022</v>
      </c>
      <c r="D692" s="9">
        <f>MONTH(Orders_Table[[#This Row],[Order Date]])</f>
        <v>7</v>
      </c>
      <c r="E692" s="9" t="str" cm="1">
        <f t="array" ref="E6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692" s="2" t="s">
        <v>1389</v>
      </c>
      <c r="G692" t="s">
        <v>156</v>
      </c>
      <c r="H692" s="2">
        <v>6</v>
      </c>
      <c r="I692" s="2" t="str" cm="1">
        <f t="array" ref="I692">_xlfn.XLOOKUP(F692,Customers!A691:$A$1001,Customers!B691:$B$1001,"Not Found",0)</f>
        <v>Francesco Dressel</v>
      </c>
      <c r="J692" s="2" t="str" cm="1">
        <f t="array" ref="J692">IF(_xlfn.XLOOKUP(F692,Customers!A691:$A$1001,Customers!C691:$C$1001,"Not Found",0)=0,"",_xlfn.XLOOKUP(F692,Customers!A691:$A$1001,Customers!C691:$C$1001,"Not Found",0))</f>
        <v/>
      </c>
      <c r="K692" s="2" t="str" cm="1">
        <f t="array" ref="K692">_xlfn.XLOOKUP(F692,Customers!A691:$A$1001,Customers!G691:$G$1001,"Not Found",0)</f>
        <v>United States</v>
      </c>
      <c r="L692" t="str">
        <f>INDEX(Products!$A$1:$G$49,MATCH(Orders!$G692,Products!$A$1:$A$49,0),MATCH(Orders!L$1,Products!$A$1:$G$1,0))</f>
        <v>Lib</v>
      </c>
      <c r="M692" t="str">
        <f>INDEX(Products!$A$1:$G$49,MATCH(Orders!$G692,Products!$A$1:$A$49,0),MATCH(Orders!M$1,Products!$A$1:$G$1,0))</f>
        <v>D</v>
      </c>
      <c r="N692" s="4">
        <f>INDEX(Products!$A$1:$G$49,MATCH(Orders!$G692,Products!$A$1:$A$49,0),MATCH(Orders!N$1,Products!$A$1:$G$1,0))</f>
        <v>2.5</v>
      </c>
      <c r="O692" s="7">
        <f>INDEX(Products!$A$1:$G$49,MATCH(Orders!$G692,Products!$A$1:$A$49,0),MATCH(Orders!O$1,Products!$A$1:$G$1,0))</f>
        <v>29.784999999999997</v>
      </c>
      <c r="P692" s="7">
        <f t="shared" si="10"/>
        <v>178.70999999999998</v>
      </c>
      <c r="Q692" t="str" cm="1">
        <f t="array" ref="Q692">_xlfn.IFS(L692="Rob","Robusta",L692="Exc", "Excelsa",L692="Ara", "Arabica",L692="Lib", "Liberica")</f>
        <v>Liberica</v>
      </c>
      <c r="R692" t="str" cm="1">
        <f t="array" ref="R692">_xlfn.IFS(M692="M","Medium",M692="L","Light",M692="D","Dark")</f>
        <v>Dark</v>
      </c>
    </row>
    <row r="693" spans="1:18">
      <c r="A693" s="2" t="s">
        <v>1390</v>
      </c>
      <c r="B693" s="3">
        <v>44227</v>
      </c>
      <c r="C693" s="9">
        <f>YEAR(Orders_Table[[#This Row],[Order Date]])</f>
        <v>2021</v>
      </c>
      <c r="D693" s="9">
        <f>MONTH(Orders_Table[[#This Row],[Order Date]])</f>
        <v>1</v>
      </c>
      <c r="E693" s="9" t="str" cm="1">
        <f t="array" ref="E6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693" s="2" t="s">
        <v>1391</v>
      </c>
      <c r="G693" t="s">
        <v>108</v>
      </c>
      <c r="H693" s="2">
        <v>2</v>
      </c>
      <c r="I693" s="2" t="str" cm="1">
        <f t="array" ref="I693">_xlfn.XLOOKUP(F693,Customers!A692:$A$1001,Customers!B692:$B$1001,"Not Found",0)</f>
        <v>Jimmy Dymoke</v>
      </c>
      <c r="J693" s="2" t="str" cm="1">
        <f t="array" ref="J693">IF(_xlfn.XLOOKUP(F693,Customers!A692:$A$1001,Customers!C692:$C$1001,"Not Found",0)=0,"",_xlfn.XLOOKUP(F693,Customers!A692:$A$1001,Customers!C692:$C$1001,"Not Found",0))</f>
        <v>jdymokeje@prnewswire.com</v>
      </c>
      <c r="K693" s="2" t="str" cm="1">
        <f t="array" ref="K693">_xlfn.XLOOKUP(F693,Customers!A692:$A$1001,Customers!G692:$G$1001,"Not Found",0)</f>
        <v>Ireland</v>
      </c>
      <c r="L693" t="str">
        <f>INDEX(Products!$A$1:$G$49,MATCH(Orders!$G693,Products!$A$1:$A$49,0),MATCH(Orders!L$1,Products!$A$1:$G$1,0))</f>
        <v>Ara</v>
      </c>
      <c r="M693" t="str">
        <f>INDEX(Products!$A$1:$G$49,MATCH(Orders!$G693,Products!$A$1:$A$49,0),MATCH(Orders!M$1,Products!$A$1:$G$1,0))</f>
        <v>M</v>
      </c>
      <c r="N693" s="4">
        <f>INDEX(Products!$A$1:$G$49,MATCH(Orders!$G693,Products!$A$1:$A$49,0),MATCH(Orders!N$1,Products!$A$1:$G$1,0))</f>
        <v>1</v>
      </c>
      <c r="O693" s="7">
        <f>INDEX(Products!$A$1:$G$49,MATCH(Orders!$G693,Products!$A$1:$A$49,0),MATCH(Orders!O$1,Products!$A$1:$G$1,0))</f>
        <v>11.25</v>
      </c>
      <c r="P693" s="7">
        <f t="shared" si="10"/>
        <v>22.5</v>
      </c>
      <c r="Q693" t="str" cm="1">
        <f t="array" ref="Q693">_xlfn.IFS(L693="Rob","Robusta",L693="Exc", "Excelsa",L693="Ara", "Arabica",L693="Lib", "Liberica")</f>
        <v>Arabica</v>
      </c>
      <c r="R693" t="str" cm="1">
        <f t="array" ref="R693">_xlfn.IFS(M693="M","Medium",M693="L","Light",M693="D","Dark")</f>
        <v>Medium</v>
      </c>
    </row>
    <row r="694" spans="1:18">
      <c r="A694" s="2" t="s">
        <v>1392</v>
      </c>
      <c r="B694" s="3">
        <v>43720</v>
      </c>
      <c r="C694" s="9">
        <f>YEAR(Orders_Table[[#This Row],[Order Date]])</f>
        <v>2019</v>
      </c>
      <c r="D694" s="9">
        <f>MONTH(Orders_Table[[#This Row],[Order Date]])</f>
        <v>9</v>
      </c>
      <c r="E694" s="9" t="str" cm="1">
        <f t="array" ref="E6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694" s="2" t="s">
        <v>1393</v>
      </c>
      <c r="G694" t="s">
        <v>60</v>
      </c>
      <c r="H694" s="2">
        <v>1</v>
      </c>
      <c r="I694" s="2" t="str" cm="1">
        <f t="array" ref="I694">_xlfn.XLOOKUP(F694,Customers!A693:$A$1001,Customers!B693:$B$1001,"Not Found",0)</f>
        <v>Ambrosio Weinmann</v>
      </c>
      <c r="J694" s="2" t="str" cm="1">
        <f t="array" ref="J694">IF(_xlfn.XLOOKUP(F694,Customers!A693:$A$1001,Customers!C693:$C$1001,"Not Found",0)=0,"",_xlfn.XLOOKUP(F694,Customers!A693:$A$1001,Customers!C693:$C$1001,"Not Found",0))</f>
        <v>aweinmannj8@shinystat.com</v>
      </c>
      <c r="K694" s="2" t="str" cm="1">
        <f t="array" ref="K694">_xlfn.XLOOKUP(F694,Customers!A693:$A$1001,Customers!G693:$G$1001,"Not Found",0)</f>
        <v>United States</v>
      </c>
      <c r="L694" t="str">
        <f>INDEX(Products!$A$1:$G$49,MATCH(Orders!$G694,Products!$A$1:$A$49,0),MATCH(Orders!L$1,Products!$A$1:$G$1,0))</f>
        <v>Lib</v>
      </c>
      <c r="M694" t="str">
        <f>INDEX(Products!$A$1:$G$49,MATCH(Orders!$G694,Products!$A$1:$A$49,0),MATCH(Orders!M$1,Products!$A$1:$G$1,0))</f>
        <v>D</v>
      </c>
      <c r="N694" s="4">
        <f>INDEX(Products!$A$1:$G$49,MATCH(Orders!$G694,Products!$A$1:$A$49,0),MATCH(Orders!N$1,Products!$A$1:$G$1,0))</f>
        <v>1</v>
      </c>
      <c r="O694" s="7">
        <f>INDEX(Products!$A$1:$G$49,MATCH(Orders!$G694,Products!$A$1:$A$49,0),MATCH(Orders!O$1,Products!$A$1:$G$1,0))</f>
        <v>12.95</v>
      </c>
      <c r="P694" s="7">
        <f t="shared" si="10"/>
        <v>12.95</v>
      </c>
      <c r="Q694" t="str" cm="1">
        <f t="array" ref="Q694">_xlfn.IFS(L694="Rob","Robusta",L694="Exc", "Excelsa",L694="Ara", "Arabica",L694="Lib", "Liberica")</f>
        <v>Liberica</v>
      </c>
      <c r="R694" t="str" cm="1">
        <f t="array" ref="R694">_xlfn.IFS(M694="M","Medium",M694="L","Light",M694="D","Dark")</f>
        <v>Dark</v>
      </c>
    </row>
    <row r="695" spans="1:18">
      <c r="A695" s="2" t="s">
        <v>1394</v>
      </c>
      <c r="B695" s="3">
        <v>44012</v>
      </c>
      <c r="C695" s="9">
        <f>YEAR(Orders_Table[[#This Row],[Order Date]])</f>
        <v>2020</v>
      </c>
      <c r="D695" s="9">
        <f>MONTH(Orders_Table[[#This Row],[Order Date]])</f>
        <v>6</v>
      </c>
      <c r="E695" s="9" t="str" cm="1">
        <f t="array" ref="E6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695" s="2" t="s">
        <v>1395</v>
      </c>
      <c r="G695" t="s">
        <v>218</v>
      </c>
      <c r="H695" s="2">
        <v>2</v>
      </c>
      <c r="I695" s="2" t="str" cm="1">
        <f t="array" ref="I695">_xlfn.XLOOKUP(F695,Customers!A694:$A$1001,Customers!B694:$B$1001,"Not Found",0)</f>
        <v>Elden Andriessen</v>
      </c>
      <c r="J695" s="2" t="str" cm="1">
        <f t="array" ref="J695">IF(_xlfn.XLOOKUP(F695,Customers!A694:$A$1001,Customers!C694:$C$1001,"Not Found",0)=0,"",_xlfn.XLOOKUP(F695,Customers!A694:$A$1001,Customers!C694:$C$1001,"Not Found",0))</f>
        <v>eandriessenj9@europa.eu</v>
      </c>
      <c r="K695" s="2" t="str" cm="1">
        <f t="array" ref="K695">_xlfn.XLOOKUP(F695,Customers!A694:$A$1001,Customers!G694:$G$1001,"Not Found",0)</f>
        <v>United States</v>
      </c>
      <c r="L695" t="str">
        <f>INDEX(Products!$A$1:$G$49,MATCH(Orders!$G695,Products!$A$1:$A$49,0),MATCH(Orders!L$1,Products!$A$1:$G$1,0))</f>
        <v>Ara</v>
      </c>
      <c r="M695" t="str">
        <f>INDEX(Products!$A$1:$G$49,MATCH(Orders!$G695,Products!$A$1:$A$49,0),MATCH(Orders!M$1,Products!$A$1:$G$1,0))</f>
        <v>M</v>
      </c>
      <c r="N695" s="4">
        <f>INDEX(Products!$A$1:$G$49,MATCH(Orders!$G695,Products!$A$1:$A$49,0),MATCH(Orders!N$1,Products!$A$1:$G$1,0))</f>
        <v>2.5</v>
      </c>
      <c r="O695" s="7">
        <f>INDEX(Products!$A$1:$G$49,MATCH(Orders!$G695,Products!$A$1:$A$49,0),MATCH(Orders!O$1,Products!$A$1:$G$1,0))</f>
        <v>25.874999999999996</v>
      </c>
      <c r="P695" s="7">
        <f t="shared" si="10"/>
        <v>51.749999999999993</v>
      </c>
      <c r="Q695" t="str" cm="1">
        <f t="array" ref="Q695">_xlfn.IFS(L695="Rob","Robusta",L695="Exc", "Excelsa",L695="Ara", "Arabica",L695="Lib", "Liberica")</f>
        <v>Arabica</v>
      </c>
      <c r="R695" t="str" cm="1">
        <f t="array" ref="R695">_xlfn.IFS(M695="M","Medium",M695="L","Light",M695="D","Dark")</f>
        <v>Medium</v>
      </c>
    </row>
    <row r="696" spans="1:18">
      <c r="A696" s="2" t="s">
        <v>1396</v>
      </c>
      <c r="B696" s="3">
        <v>43915</v>
      </c>
      <c r="C696" s="9">
        <f>YEAR(Orders_Table[[#This Row],[Order Date]])</f>
        <v>2020</v>
      </c>
      <c r="D696" s="9">
        <f>MONTH(Orders_Table[[#This Row],[Order Date]])</f>
        <v>3</v>
      </c>
      <c r="E696" s="9" t="str" cm="1">
        <f t="array" ref="E6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696" s="2" t="s">
        <v>1397</v>
      </c>
      <c r="G696" t="s">
        <v>63</v>
      </c>
      <c r="H696" s="2">
        <v>5</v>
      </c>
      <c r="I696" s="2" t="str" cm="1">
        <f t="array" ref="I696">_xlfn.XLOOKUP(F696,Customers!A695:$A$1001,Customers!B695:$B$1001,"Not Found",0)</f>
        <v>Roxie Deaconson</v>
      </c>
      <c r="J696" s="2" t="str" cm="1">
        <f t="array" ref="J696">IF(_xlfn.XLOOKUP(F696,Customers!A695:$A$1001,Customers!C695:$C$1001,"Not Found",0)=0,"",_xlfn.XLOOKUP(F696,Customers!A695:$A$1001,Customers!C695:$C$1001,"Not Found",0))</f>
        <v>rdeaconsonja@archive.org</v>
      </c>
      <c r="K696" s="2" t="str" cm="1">
        <f t="array" ref="K696">_xlfn.XLOOKUP(F696,Customers!A695:$A$1001,Customers!G695:$G$1001,"Not Found",0)</f>
        <v>United States</v>
      </c>
      <c r="L696" t="str">
        <f>INDEX(Products!$A$1:$G$49,MATCH(Orders!$G696,Products!$A$1:$A$49,0),MATCH(Orders!L$1,Products!$A$1:$G$1,0))</f>
        <v>Exc</v>
      </c>
      <c r="M696" t="str">
        <f>INDEX(Products!$A$1:$G$49,MATCH(Orders!$G696,Products!$A$1:$A$49,0),MATCH(Orders!M$1,Products!$A$1:$G$1,0))</f>
        <v>D</v>
      </c>
      <c r="N696" s="4">
        <f>INDEX(Products!$A$1:$G$49,MATCH(Orders!$G696,Products!$A$1:$A$49,0),MATCH(Orders!N$1,Products!$A$1:$G$1,0))</f>
        <v>0.5</v>
      </c>
      <c r="O696" s="7">
        <f>INDEX(Products!$A$1:$G$49,MATCH(Orders!$G696,Products!$A$1:$A$49,0),MATCH(Orders!O$1,Products!$A$1:$G$1,0))</f>
        <v>7.29</v>
      </c>
      <c r="P696" s="7">
        <f t="shared" si="10"/>
        <v>36.450000000000003</v>
      </c>
      <c r="Q696" t="str" cm="1">
        <f t="array" ref="Q696">_xlfn.IFS(L696="Rob","Robusta",L696="Exc", "Excelsa",L696="Ara", "Arabica",L696="Lib", "Liberica")</f>
        <v>Excelsa</v>
      </c>
      <c r="R696" t="str" cm="1">
        <f t="array" ref="R696">_xlfn.IFS(M696="M","Medium",M696="L","Light",M696="D","Dark")</f>
        <v>Dark</v>
      </c>
    </row>
    <row r="697" spans="1:18">
      <c r="A697" s="2" t="s">
        <v>1398</v>
      </c>
      <c r="B697" s="3">
        <v>44300</v>
      </c>
      <c r="C697" s="9">
        <f>YEAR(Orders_Table[[#This Row],[Order Date]])</f>
        <v>2021</v>
      </c>
      <c r="D697" s="9">
        <f>MONTH(Orders_Table[[#This Row],[Order Date]])</f>
        <v>4</v>
      </c>
      <c r="E697" s="9" t="str" cm="1">
        <f t="array" ref="E6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697" s="2" t="s">
        <v>1399</v>
      </c>
      <c r="G697" t="s">
        <v>151</v>
      </c>
      <c r="H697" s="2">
        <v>5</v>
      </c>
      <c r="I697" s="2" t="str" cm="1">
        <f t="array" ref="I697">_xlfn.XLOOKUP(F697,Customers!A696:$A$1001,Customers!B696:$B$1001,"Not Found",0)</f>
        <v>Davida Caro</v>
      </c>
      <c r="J697" s="2" t="str" cm="1">
        <f t="array" ref="J697">IF(_xlfn.XLOOKUP(F697,Customers!A696:$A$1001,Customers!C696:$C$1001,"Not Found",0)=0,"",_xlfn.XLOOKUP(F697,Customers!A696:$A$1001,Customers!C696:$C$1001,"Not Found",0))</f>
        <v>dcarojb@twitter.com</v>
      </c>
      <c r="K697" s="2" t="str" cm="1">
        <f t="array" ref="K697">_xlfn.XLOOKUP(F697,Customers!A696:$A$1001,Customers!G696:$G$1001,"Not Found",0)</f>
        <v>United States</v>
      </c>
      <c r="L697" t="str">
        <f>INDEX(Products!$A$1:$G$49,MATCH(Orders!$G697,Products!$A$1:$A$49,0),MATCH(Orders!L$1,Products!$A$1:$G$1,0))</f>
        <v>Lib</v>
      </c>
      <c r="M697" t="str">
        <f>INDEX(Products!$A$1:$G$49,MATCH(Orders!$G697,Products!$A$1:$A$49,0),MATCH(Orders!M$1,Products!$A$1:$G$1,0))</f>
        <v>L</v>
      </c>
      <c r="N697" s="4">
        <f>INDEX(Products!$A$1:$G$49,MATCH(Orders!$G697,Products!$A$1:$A$49,0),MATCH(Orders!N$1,Products!$A$1:$G$1,0))</f>
        <v>2.5</v>
      </c>
      <c r="O697" s="7">
        <f>INDEX(Products!$A$1:$G$49,MATCH(Orders!$G697,Products!$A$1:$A$49,0),MATCH(Orders!O$1,Products!$A$1:$G$1,0))</f>
        <v>36.454999999999998</v>
      </c>
      <c r="P697" s="7">
        <f t="shared" si="10"/>
        <v>182.27499999999998</v>
      </c>
      <c r="Q697" t="str" cm="1">
        <f t="array" ref="Q697">_xlfn.IFS(L697="Rob","Robusta",L697="Exc", "Excelsa",L697="Ara", "Arabica",L697="Lib", "Liberica")</f>
        <v>Liberica</v>
      </c>
      <c r="R697" t="str" cm="1">
        <f t="array" ref="R697">_xlfn.IFS(M697="M","Medium",M697="L","Light",M697="D","Dark")</f>
        <v>Light</v>
      </c>
    </row>
    <row r="698" spans="1:18">
      <c r="A698" s="2" t="s">
        <v>1400</v>
      </c>
      <c r="B698" s="3">
        <v>43693</v>
      </c>
      <c r="C698" s="9">
        <f>YEAR(Orders_Table[[#This Row],[Order Date]])</f>
        <v>2019</v>
      </c>
      <c r="D698" s="9">
        <f>MONTH(Orders_Table[[#This Row],[Order Date]])</f>
        <v>8</v>
      </c>
      <c r="E698" s="9" t="str" cm="1">
        <f t="array" ref="E6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698" s="2" t="s">
        <v>1401</v>
      </c>
      <c r="G698" t="s">
        <v>170</v>
      </c>
      <c r="H698" s="2">
        <v>4</v>
      </c>
      <c r="I698" s="2" t="str" cm="1">
        <f t="array" ref="I698">_xlfn.XLOOKUP(F698,Customers!A697:$A$1001,Customers!B697:$B$1001,"Not Found",0)</f>
        <v>Johna Bluck</v>
      </c>
      <c r="J698" s="2" t="str" cm="1">
        <f t="array" ref="J698">IF(_xlfn.XLOOKUP(F698,Customers!A697:$A$1001,Customers!C697:$C$1001,"Not Found",0)=0,"",_xlfn.XLOOKUP(F698,Customers!A697:$A$1001,Customers!C697:$C$1001,"Not Found",0))</f>
        <v>jbluckjc@imageshack.us</v>
      </c>
      <c r="K698" s="2" t="str" cm="1">
        <f t="array" ref="K698">_xlfn.XLOOKUP(F698,Customers!A697:$A$1001,Customers!G697:$G$1001,"Not Found",0)</f>
        <v>United States</v>
      </c>
      <c r="L698" t="str">
        <f>INDEX(Products!$A$1:$G$49,MATCH(Orders!$G698,Products!$A$1:$A$49,0),MATCH(Orders!L$1,Products!$A$1:$G$1,0))</f>
        <v>Lib</v>
      </c>
      <c r="M698" t="str">
        <f>INDEX(Products!$A$1:$G$49,MATCH(Orders!$G698,Products!$A$1:$A$49,0),MATCH(Orders!M$1,Products!$A$1:$G$1,0))</f>
        <v>D</v>
      </c>
      <c r="N698" s="4">
        <f>INDEX(Products!$A$1:$G$49,MATCH(Orders!$G698,Products!$A$1:$A$49,0),MATCH(Orders!N$1,Products!$A$1:$G$1,0))</f>
        <v>0.5</v>
      </c>
      <c r="O698" s="7">
        <f>INDEX(Products!$A$1:$G$49,MATCH(Orders!$G698,Products!$A$1:$A$49,0),MATCH(Orders!O$1,Products!$A$1:$G$1,0))</f>
        <v>7.77</v>
      </c>
      <c r="P698" s="7">
        <f t="shared" si="10"/>
        <v>31.08</v>
      </c>
      <c r="Q698" t="str" cm="1">
        <f t="array" ref="Q698">_xlfn.IFS(L698="Rob","Robusta",L698="Exc", "Excelsa",L698="Ara", "Arabica",L698="Lib", "Liberica")</f>
        <v>Liberica</v>
      </c>
      <c r="R698" t="str" cm="1">
        <f t="array" ref="R698">_xlfn.IFS(M698="M","Medium",M698="L","Light",M698="D","Dark")</f>
        <v>Dark</v>
      </c>
    </row>
    <row r="699" spans="1:18">
      <c r="A699" s="2" t="s">
        <v>1402</v>
      </c>
      <c r="B699" s="3">
        <v>44547</v>
      </c>
      <c r="C699" s="9">
        <f>YEAR(Orders_Table[[#This Row],[Order Date]])</f>
        <v>2021</v>
      </c>
      <c r="D699" s="9">
        <f>MONTH(Orders_Table[[#This Row],[Order Date]])</f>
        <v>12</v>
      </c>
      <c r="E699" s="9" t="str" cm="1">
        <f t="array" ref="E6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699" s="2" t="s">
        <v>1403</v>
      </c>
      <c r="G699" t="s">
        <v>114</v>
      </c>
      <c r="H699" s="2">
        <v>3</v>
      </c>
      <c r="I699" s="2" t="str" cm="1">
        <f t="array" ref="I699">_xlfn.XLOOKUP(F699,Customers!A698:$A$1001,Customers!B698:$B$1001,"Not Found",0)</f>
        <v>Myrle Dearden</v>
      </c>
      <c r="J699" s="2" t="str" cm="1">
        <f t="array" ref="J699">IF(_xlfn.XLOOKUP(F699,Customers!A698:$A$1001,Customers!C698:$C$1001,"Not Found",0)=0,"",_xlfn.XLOOKUP(F699,Customers!A698:$A$1001,Customers!C698:$C$1001,"Not Found",0))</f>
        <v/>
      </c>
      <c r="K699" s="2" t="str" cm="1">
        <f t="array" ref="K699">_xlfn.XLOOKUP(F699,Customers!A698:$A$1001,Customers!G698:$G$1001,"Not Found",0)</f>
        <v>Ireland</v>
      </c>
      <c r="L699" t="str">
        <f>INDEX(Products!$A$1:$G$49,MATCH(Orders!$G699,Products!$A$1:$A$49,0),MATCH(Orders!L$1,Products!$A$1:$G$1,0))</f>
        <v>Ara</v>
      </c>
      <c r="M699" t="str">
        <f>INDEX(Products!$A$1:$G$49,MATCH(Orders!$G699,Products!$A$1:$A$49,0),MATCH(Orders!M$1,Products!$A$1:$G$1,0))</f>
        <v>M</v>
      </c>
      <c r="N699" s="4">
        <f>INDEX(Products!$A$1:$G$49,MATCH(Orders!$G699,Products!$A$1:$A$49,0),MATCH(Orders!N$1,Products!$A$1:$G$1,0))</f>
        <v>0.5</v>
      </c>
      <c r="O699" s="7">
        <f>INDEX(Products!$A$1:$G$49,MATCH(Orders!$G699,Products!$A$1:$A$49,0),MATCH(Orders!O$1,Products!$A$1:$G$1,0))</f>
        <v>6.75</v>
      </c>
      <c r="P699" s="7">
        <f t="shared" si="10"/>
        <v>20.25</v>
      </c>
      <c r="Q699" t="str" cm="1">
        <f t="array" ref="Q699">_xlfn.IFS(L699="Rob","Robusta",L699="Exc", "Excelsa",L699="Ara", "Arabica",L699="Lib", "Liberica")</f>
        <v>Arabica</v>
      </c>
      <c r="R699" t="str" cm="1">
        <f t="array" ref="R699">_xlfn.IFS(M699="M","Medium",M699="L","Light",M699="D","Dark")</f>
        <v>Medium</v>
      </c>
    </row>
    <row r="700" spans="1:18">
      <c r="A700" s="2" t="s">
        <v>1404</v>
      </c>
      <c r="B700" s="3">
        <v>43830</v>
      </c>
      <c r="C700" s="9">
        <f>YEAR(Orders_Table[[#This Row],[Order Date]])</f>
        <v>2019</v>
      </c>
      <c r="D700" s="9">
        <f>MONTH(Orders_Table[[#This Row],[Order Date]])</f>
        <v>12</v>
      </c>
      <c r="E700" s="9" t="str" cm="1">
        <f t="array" ref="E7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00" s="2" t="s">
        <v>1391</v>
      </c>
      <c r="G700" t="s">
        <v>60</v>
      </c>
      <c r="H700" s="2">
        <v>2</v>
      </c>
      <c r="I700" s="2" t="str" cm="1">
        <f t="array" ref="I700">_xlfn.XLOOKUP(F700,Customers!A699:$A$1001,Customers!B699:$B$1001,"Not Found",0)</f>
        <v>Jimmy Dymoke</v>
      </c>
      <c r="J700" s="2" t="str" cm="1">
        <f t="array" ref="J700">IF(_xlfn.XLOOKUP(F700,Customers!A699:$A$1001,Customers!C699:$C$1001,"Not Found",0)=0,"",_xlfn.XLOOKUP(F700,Customers!A699:$A$1001,Customers!C699:$C$1001,"Not Found",0))</f>
        <v>jdymokeje@prnewswire.com</v>
      </c>
      <c r="K700" s="2" t="str" cm="1">
        <f t="array" ref="K700">_xlfn.XLOOKUP(F700,Customers!A699:$A$1001,Customers!G699:$G$1001,"Not Found",0)</f>
        <v>Ireland</v>
      </c>
      <c r="L700" t="str">
        <f>INDEX(Products!$A$1:$G$49,MATCH(Orders!$G700,Products!$A$1:$A$49,0),MATCH(Orders!L$1,Products!$A$1:$G$1,0))</f>
        <v>Lib</v>
      </c>
      <c r="M700" t="str">
        <f>INDEX(Products!$A$1:$G$49,MATCH(Orders!$G700,Products!$A$1:$A$49,0),MATCH(Orders!M$1,Products!$A$1:$G$1,0))</f>
        <v>D</v>
      </c>
      <c r="N700" s="4">
        <f>INDEX(Products!$A$1:$G$49,MATCH(Orders!$G700,Products!$A$1:$A$49,0),MATCH(Orders!N$1,Products!$A$1:$G$1,0))</f>
        <v>1</v>
      </c>
      <c r="O700" s="7">
        <f>INDEX(Products!$A$1:$G$49,MATCH(Orders!$G700,Products!$A$1:$A$49,0),MATCH(Orders!O$1,Products!$A$1:$G$1,0))</f>
        <v>12.95</v>
      </c>
      <c r="P700" s="7">
        <f t="shared" si="10"/>
        <v>25.9</v>
      </c>
      <c r="Q700" t="str" cm="1">
        <f t="array" ref="Q700">_xlfn.IFS(L700="Rob","Robusta",L700="Exc", "Excelsa",L700="Ara", "Arabica",L700="Lib", "Liberica")</f>
        <v>Liberica</v>
      </c>
      <c r="R700" t="str" cm="1">
        <f t="array" ref="R700">_xlfn.IFS(M700="M","Medium",M700="L","Light",M700="D","Dark")</f>
        <v>Dark</v>
      </c>
    </row>
    <row r="701" spans="1:18">
      <c r="A701" s="2" t="s">
        <v>1405</v>
      </c>
      <c r="B701" s="3">
        <v>44298</v>
      </c>
      <c r="C701" s="9">
        <f>YEAR(Orders_Table[[#This Row],[Order Date]])</f>
        <v>2021</v>
      </c>
      <c r="D701" s="9">
        <f>MONTH(Orders_Table[[#This Row],[Order Date]])</f>
        <v>4</v>
      </c>
      <c r="E701" s="9" t="str" cm="1">
        <f t="array" ref="E7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01" s="2" t="s">
        <v>1406</v>
      </c>
      <c r="G701" t="s">
        <v>119</v>
      </c>
      <c r="H701" s="2">
        <v>4</v>
      </c>
      <c r="I701" s="2" t="str" cm="1">
        <f t="array" ref="I701">_xlfn.XLOOKUP(F701,Customers!A700:$A$1001,Customers!B700:$B$1001,"Not Found",0)</f>
        <v>Orland Tadman</v>
      </c>
      <c r="J701" s="2" t="str" cm="1">
        <f t="array" ref="J701">IF(_xlfn.XLOOKUP(F701,Customers!A700:$A$1001,Customers!C700:$C$1001,"Not Found",0)=0,"",_xlfn.XLOOKUP(F701,Customers!A700:$A$1001,Customers!C700:$C$1001,"Not Found",0))</f>
        <v>otadmanjf@ft.com</v>
      </c>
      <c r="K701" s="2" t="str" cm="1">
        <f t="array" ref="K701">_xlfn.XLOOKUP(F701,Customers!A700:$A$1001,Customers!G700:$G$1001,"Not Found",0)</f>
        <v>United States</v>
      </c>
      <c r="L701" t="str">
        <f>INDEX(Products!$A$1:$G$49,MATCH(Orders!$G701,Products!$A$1:$A$49,0),MATCH(Orders!L$1,Products!$A$1:$G$1,0))</f>
        <v>Ara</v>
      </c>
      <c r="M701" t="str">
        <f>INDEX(Products!$A$1:$G$49,MATCH(Orders!$G701,Products!$A$1:$A$49,0),MATCH(Orders!M$1,Products!$A$1:$G$1,0))</f>
        <v>D</v>
      </c>
      <c r="N701" s="4">
        <f>INDEX(Products!$A$1:$G$49,MATCH(Orders!$G701,Products!$A$1:$A$49,0),MATCH(Orders!N$1,Products!$A$1:$G$1,0))</f>
        <v>0.5</v>
      </c>
      <c r="O701" s="7">
        <f>INDEX(Products!$A$1:$G$49,MATCH(Orders!$G701,Products!$A$1:$A$49,0),MATCH(Orders!O$1,Products!$A$1:$G$1,0))</f>
        <v>5.97</v>
      </c>
      <c r="P701" s="7">
        <f t="shared" si="10"/>
        <v>23.88</v>
      </c>
      <c r="Q701" t="str" cm="1">
        <f t="array" ref="Q701">_xlfn.IFS(L701="Rob","Robusta",L701="Exc", "Excelsa",L701="Ara", "Arabica",L701="Lib", "Liberica")</f>
        <v>Arabica</v>
      </c>
      <c r="R701" t="str" cm="1">
        <f t="array" ref="R701">_xlfn.IFS(M701="M","Medium",M701="L","Light",M701="D","Dark")</f>
        <v>Dark</v>
      </c>
    </row>
    <row r="702" spans="1:18">
      <c r="A702" s="2" t="s">
        <v>1407</v>
      </c>
      <c r="B702" s="3">
        <v>43736</v>
      </c>
      <c r="C702" s="9">
        <f>YEAR(Orders_Table[[#This Row],[Order Date]])</f>
        <v>2019</v>
      </c>
      <c r="D702" s="9">
        <f>MONTH(Orders_Table[[#This Row],[Order Date]])</f>
        <v>9</v>
      </c>
      <c r="E702" s="9" t="str" cm="1">
        <f t="array" ref="E7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702" s="2" t="s">
        <v>1408</v>
      </c>
      <c r="G702" t="s">
        <v>130</v>
      </c>
      <c r="H702" s="2">
        <v>2</v>
      </c>
      <c r="I702" s="2" t="str" cm="1">
        <f t="array" ref="I702">_xlfn.XLOOKUP(F702,Customers!A701:$A$1001,Customers!B701:$B$1001,"Not Found",0)</f>
        <v>Barrett Gudde</v>
      </c>
      <c r="J702" s="2" t="str" cm="1">
        <f t="array" ref="J702">IF(_xlfn.XLOOKUP(F702,Customers!A701:$A$1001,Customers!C701:$C$1001,"Not Found",0)=0,"",_xlfn.XLOOKUP(F702,Customers!A701:$A$1001,Customers!C701:$C$1001,"Not Found",0))</f>
        <v>bguddejg@dailymotion.com</v>
      </c>
      <c r="K702" s="2" t="str" cm="1">
        <f t="array" ref="K702">_xlfn.XLOOKUP(F702,Customers!A701:$A$1001,Customers!G701:$G$1001,"Not Found",0)</f>
        <v>United States</v>
      </c>
      <c r="L702" t="str">
        <f>INDEX(Products!$A$1:$G$49,MATCH(Orders!$G702,Products!$A$1:$A$49,0),MATCH(Orders!L$1,Products!$A$1:$G$1,0))</f>
        <v>Lib</v>
      </c>
      <c r="M702" t="str">
        <f>INDEX(Products!$A$1:$G$49,MATCH(Orders!$G702,Products!$A$1:$A$49,0),MATCH(Orders!M$1,Products!$A$1:$G$1,0))</f>
        <v>L</v>
      </c>
      <c r="N702" s="4">
        <f>INDEX(Products!$A$1:$G$49,MATCH(Orders!$G702,Products!$A$1:$A$49,0),MATCH(Orders!N$1,Products!$A$1:$G$1,0))</f>
        <v>0.5</v>
      </c>
      <c r="O702" s="7">
        <f>INDEX(Products!$A$1:$G$49,MATCH(Orders!$G702,Products!$A$1:$A$49,0),MATCH(Orders!O$1,Products!$A$1:$G$1,0))</f>
        <v>9.51</v>
      </c>
      <c r="P702" s="7">
        <f t="shared" si="10"/>
        <v>19.02</v>
      </c>
      <c r="Q702" t="str" cm="1">
        <f t="array" ref="Q702">_xlfn.IFS(L702="Rob","Robusta",L702="Exc", "Excelsa",L702="Ara", "Arabica",L702="Lib", "Liberica")</f>
        <v>Liberica</v>
      </c>
      <c r="R702" t="str" cm="1">
        <f t="array" ref="R702">_xlfn.IFS(M702="M","Medium",M702="L","Light",M702="D","Dark")</f>
        <v>Light</v>
      </c>
    </row>
    <row r="703" spans="1:18">
      <c r="A703" s="2" t="s">
        <v>1409</v>
      </c>
      <c r="B703" s="3">
        <v>44727</v>
      </c>
      <c r="C703" s="9">
        <f>YEAR(Orders_Table[[#This Row],[Order Date]])</f>
        <v>2022</v>
      </c>
      <c r="D703" s="9">
        <f>MONTH(Orders_Table[[#This Row],[Order Date]])</f>
        <v>6</v>
      </c>
      <c r="E703" s="9" t="str" cm="1">
        <f t="array" ref="E7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03" s="2" t="s">
        <v>1410</v>
      </c>
      <c r="G703" t="s">
        <v>119</v>
      </c>
      <c r="H703" s="2">
        <v>5</v>
      </c>
      <c r="I703" s="2" t="str" cm="1">
        <f t="array" ref="I703">_xlfn.XLOOKUP(F703,Customers!A702:$A$1001,Customers!B702:$B$1001,"Not Found",0)</f>
        <v>Nathan Sictornes</v>
      </c>
      <c r="J703" s="2" t="str" cm="1">
        <f t="array" ref="J703">IF(_xlfn.XLOOKUP(F703,Customers!A702:$A$1001,Customers!C702:$C$1001,"Not Found",0)=0,"",_xlfn.XLOOKUP(F703,Customers!A702:$A$1001,Customers!C702:$C$1001,"Not Found",0))</f>
        <v>nsictornesjh@buzzfeed.com</v>
      </c>
      <c r="K703" s="2" t="str" cm="1">
        <f t="array" ref="K703">_xlfn.XLOOKUP(F703,Customers!A702:$A$1001,Customers!G702:$G$1001,"Not Found",0)</f>
        <v>Ireland</v>
      </c>
      <c r="L703" t="str">
        <f>INDEX(Products!$A$1:$G$49,MATCH(Orders!$G703,Products!$A$1:$A$49,0),MATCH(Orders!L$1,Products!$A$1:$G$1,0))</f>
        <v>Ara</v>
      </c>
      <c r="M703" t="str">
        <f>INDEX(Products!$A$1:$G$49,MATCH(Orders!$G703,Products!$A$1:$A$49,0),MATCH(Orders!M$1,Products!$A$1:$G$1,0))</f>
        <v>D</v>
      </c>
      <c r="N703" s="4">
        <f>INDEX(Products!$A$1:$G$49,MATCH(Orders!$G703,Products!$A$1:$A$49,0),MATCH(Orders!N$1,Products!$A$1:$G$1,0))</f>
        <v>0.5</v>
      </c>
      <c r="O703" s="7">
        <f>INDEX(Products!$A$1:$G$49,MATCH(Orders!$G703,Products!$A$1:$A$49,0),MATCH(Orders!O$1,Products!$A$1:$G$1,0))</f>
        <v>5.97</v>
      </c>
      <c r="P703" s="7">
        <f t="shared" si="10"/>
        <v>29.849999999999998</v>
      </c>
      <c r="Q703" t="str" cm="1">
        <f t="array" ref="Q703">_xlfn.IFS(L703="Rob","Robusta",L703="Exc", "Excelsa",L703="Ara", "Arabica",L703="Lib", "Liberica")</f>
        <v>Arabica</v>
      </c>
      <c r="R703" t="str" cm="1">
        <f t="array" ref="R703">_xlfn.IFS(M703="M","Medium",M703="L","Light",M703="D","Dark")</f>
        <v>Dark</v>
      </c>
    </row>
    <row r="704" spans="1:18">
      <c r="A704" s="2" t="s">
        <v>1411</v>
      </c>
      <c r="B704" s="3">
        <v>43661</v>
      </c>
      <c r="C704" s="9">
        <f>YEAR(Orders_Table[[#This Row],[Order Date]])</f>
        <v>2019</v>
      </c>
      <c r="D704" s="9">
        <f>MONTH(Orders_Table[[#This Row],[Order Date]])</f>
        <v>7</v>
      </c>
      <c r="E704" s="9" t="str" cm="1">
        <f t="array" ref="E7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04" s="2" t="s">
        <v>1412</v>
      </c>
      <c r="G704" t="s">
        <v>239</v>
      </c>
      <c r="H704" s="2">
        <v>1</v>
      </c>
      <c r="I704" s="2" t="str" cm="1">
        <f t="array" ref="I704">_xlfn.XLOOKUP(F704,Customers!A703:$A$1001,Customers!B703:$B$1001,"Not Found",0)</f>
        <v>Vivyan Dunning</v>
      </c>
      <c r="J704" s="2" t="str" cm="1">
        <f t="array" ref="J704">IF(_xlfn.XLOOKUP(F704,Customers!A703:$A$1001,Customers!C703:$C$1001,"Not Found",0)=0,"",_xlfn.XLOOKUP(F704,Customers!A703:$A$1001,Customers!C703:$C$1001,"Not Found",0))</f>
        <v>vdunningji@independent.co.uk</v>
      </c>
      <c r="K704" s="2" t="str" cm="1">
        <f t="array" ref="K704">_xlfn.XLOOKUP(F704,Customers!A703:$A$1001,Customers!G703:$G$1001,"Not Found",0)</f>
        <v>United States</v>
      </c>
      <c r="L704" t="str">
        <f>INDEX(Products!$A$1:$G$49,MATCH(Orders!$G704,Products!$A$1:$A$49,0),MATCH(Orders!L$1,Products!$A$1:$G$1,0))</f>
        <v>Ara</v>
      </c>
      <c r="M704" t="str">
        <f>INDEX(Products!$A$1:$G$49,MATCH(Orders!$G704,Products!$A$1:$A$49,0),MATCH(Orders!M$1,Products!$A$1:$G$1,0))</f>
        <v>L</v>
      </c>
      <c r="N704" s="4">
        <f>INDEX(Products!$A$1:$G$49,MATCH(Orders!$G704,Products!$A$1:$A$49,0),MATCH(Orders!N$1,Products!$A$1:$G$1,0))</f>
        <v>0.5</v>
      </c>
      <c r="O704" s="7">
        <f>INDEX(Products!$A$1:$G$49,MATCH(Orders!$G704,Products!$A$1:$A$49,0),MATCH(Orders!O$1,Products!$A$1:$G$1,0))</f>
        <v>7.77</v>
      </c>
      <c r="P704" s="7">
        <f t="shared" si="10"/>
        <v>7.77</v>
      </c>
      <c r="Q704" t="str" cm="1">
        <f t="array" ref="Q704">_xlfn.IFS(L704="Rob","Robusta",L704="Exc", "Excelsa",L704="Ara", "Arabica",L704="Lib", "Liberica")</f>
        <v>Arabica</v>
      </c>
      <c r="R704" t="str" cm="1">
        <f t="array" ref="R704">_xlfn.IFS(M704="M","Medium",M704="L","Light",M704="D","Dark")</f>
        <v>Light</v>
      </c>
    </row>
    <row r="705" spans="1:18">
      <c r="A705" s="2" t="s">
        <v>1413</v>
      </c>
      <c r="B705" s="3">
        <v>43506</v>
      </c>
      <c r="C705" s="9">
        <f>YEAR(Orders_Table[[#This Row],[Order Date]])</f>
        <v>2019</v>
      </c>
      <c r="D705" s="9">
        <f>MONTH(Orders_Table[[#This Row],[Order Date]])</f>
        <v>2</v>
      </c>
      <c r="E705" s="9" t="str" cm="1">
        <f t="array" ref="E7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05" s="2" t="s">
        <v>1414</v>
      </c>
      <c r="G705" t="s">
        <v>156</v>
      </c>
      <c r="H705" s="2">
        <v>4</v>
      </c>
      <c r="I705" s="2" t="str" cm="1">
        <f t="array" ref="I705">_xlfn.XLOOKUP(F705,Customers!A704:$A$1001,Customers!B704:$B$1001,"Not Found",0)</f>
        <v>Doralin Baison</v>
      </c>
      <c r="J705" s="2" t="str" cm="1">
        <f t="array" ref="J705">IF(_xlfn.XLOOKUP(F705,Customers!A704:$A$1001,Customers!C704:$C$1001,"Not Found",0)=0,"",_xlfn.XLOOKUP(F705,Customers!A704:$A$1001,Customers!C704:$C$1001,"Not Found",0))</f>
        <v/>
      </c>
      <c r="K705" s="2" t="str" cm="1">
        <f t="array" ref="K705">_xlfn.XLOOKUP(F705,Customers!A704:$A$1001,Customers!G704:$G$1001,"Not Found",0)</f>
        <v>Ireland</v>
      </c>
      <c r="L705" t="str">
        <f>INDEX(Products!$A$1:$G$49,MATCH(Orders!$G705,Products!$A$1:$A$49,0),MATCH(Orders!L$1,Products!$A$1:$G$1,0))</f>
        <v>Lib</v>
      </c>
      <c r="M705" t="str">
        <f>INDEX(Products!$A$1:$G$49,MATCH(Orders!$G705,Products!$A$1:$A$49,0),MATCH(Orders!M$1,Products!$A$1:$G$1,0))</f>
        <v>D</v>
      </c>
      <c r="N705" s="4">
        <f>INDEX(Products!$A$1:$G$49,MATCH(Orders!$G705,Products!$A$1:$A$49,0),MATCH(Orders!N$1,Products!$A$1:$G$1,0))</f>
        <v>2.5</v>
      </c>
      <c r="O705" s="7">
        <f>INDEX(Products!$A$1:$G$49,MATCH(Orders!$G705,Products!$A$1:$A$49,0),MATCH(Orders!O$1,Products!$A$1:$G$1,0))</f>
        <v>29.784999999999997</v>
      </c>
      <c r="P705" s="7">
        <f t="shared" si="10"/>
        <v>119.13999999999999</v>
      </c>
      <c r="Q705" t="str" cm="1">
        <f t="array" ref="Q705">_xlfn.IFS(L705="Rob","Robusta",L705="Exc", "Excelsa",L705="Ara", "Arabica",L705="Lib", "Liberica")</f>
        <v>Liberica</v>
      </c>
      <c r="R705" t="str" cm="1">
        <f t="array" ref="R705">_xlfn.IFS(M705="M","Medium",M705="L","Light",M705="D","Dark")</f>
        <v>Dark</v>
      </c>
    </row>
    <row r="706" spans="1:18">
      <c r="A706" s="2" t="s">
        <v>1415</v>
      </c>
      <c r="B706" s="3">
        <v>44716</v>
      </c>
      <c r="C706" s="9">
        <f>YEAR(Orders_Table[[#This Row],[Order Date]])</f>
        <v>2022</v>
      </c>
      <c r="D706" s="9">
        <f>MONTH(Orders_Table[[#This Row],[Order Date]])</f>
        <v>6</v>
      </c>
      <c r="E706" s="9" t="str" cm="1">
        <f t="array" ref="E7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06" s="2" t="s">
        <v>1416</v>
      </c>
      <c r="G706" t="s">
        <v>98</v>
      </c>
      <c r="H706" s="2">
        <v>6</v>
      </c>
      <c r="I706" s="2" t="str" cm="1">
        <f t="array" ref="I706">_xlfn.XLOOKUP(F706,Customers!A705:$A$1001,Customers!B705:$B$1001,"Not Found",0)</f>
        <v>Josefina Ferens</v>
      </c>
      <c r="J706" s="2" t="str" cm="1">
        <f t="array" ref="J706">IF(_xlfn.XLOOKUP(F706,Customers!A705:$A$1001,Customers!C705:$C$1001,"Not Found",0)=0,"",_xlfn.XLOOKUP(F706,Customers!A705:$A$1001,Customers!C705:$C$1001,"Not Found",0))</f>
        <v/>
      </c>
      <c r="K706" s="2" t="str" cm="1">
        <f t="array" ref="K706">_xlfn.XLOOKUP(F706,Customers!A705:$A$1001,Customers!G705:$G$1001,"Not Found",0)</f>
        <v>United States</v>
      </c>
      <c r="L706" t="str">
        <f>INDEX(Products!$A$1:$G$49,MATCH(Orders!$G706,Products!$A$1:$A$49,0),MATCH(Orders!L$1,Products!$A$1:$G$1,0))</f>
        <v>Exc</v>
      </c>
      <c r="M706" t="str">
        <f>INDEX(Products!$A$1:$G$49,MATCH(Orders!$G706,Products!$A$1:$A$49,0),MATCH(Orders!M$1,Products!$A$1:$G$1,0))</f>
        <v>D</v>
      </c>
      <c r="N706" s="4">
        <f>INDEX(Products!$A$1:$G$49,MATCH(Orders!$G706,Products!$A$1:$A$49,0),MATCH(Orders!N$1,Products!$A$1:$G$1,0))</f>
        <v>0.2</v>
      </c>
      <c r="O706" s="7">
        <f>INDEX(Products!$A$1:$G$49,MATCH(Orders!$G706,Products!$A$1:$A$49,0),MATCH(Orders!O$1,Products!$A$1:$G$1,0))</f>
        <v>3.645</v>
      </c>
      <c r="P706" s="7">
        <f t="shared" si="10"/>
        <v>21.87</v>
      </c>
      <c r="Q706" t="str" cm="1">
        <f t="array" ref="Q706">_xlfn.IFS(L706="Rob","Robusta",L706="Exc", "Excelsa",L706="Ara", "Arabica",L706="Lib", "Liberica")</f>
        <v>Excelsa</v>
      </c>
      <c r="R706" t="str" cm="1">
        <f t="array" ref="R706">_xlfn.IFS(M706="M","Medium",M706="L","Light",M706="D","Dark")</f>
        <v>Dark</v>
      </c>
    </row>
    <row r="707" spans="1:18">
      <c r="A707" s="2" t="s">
        <v>1417</v>
      </c>
      <c r="B707" s="3">
        <v>44114</v>
      </c>
      <c r="C707" s="9">
        <f>YEAR(Orders_Table[[#This Row],[Order Date]])</f>
        <v>2020</v>
      </c>
      <c r="D707" s="9">
        <f>MONTH(Orders_Table[[#This Row],[Order Date]])</f>
        <v>10</v>
      </c>
      <c r="E707" s="9" t="str" cm="1">
        <f t="array" ref="E7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07" s="2" t="s">
        <v>1418</v>
      </c>
      <c r="G707" t="s">
        <v>223</v>
      </c>
      <c r="H707" s="2">
        <v>2</v>
      </c>
      <c r="I707" s="2" t="str" cm="1">
        <f t="array" ref="I707">_xlfn.XLOOKUP(F707,Customers!A706:$A$1001,Customers!B706:$B$1001,"Not Found",0)</f>
        <v>Shelley Gehring</v>
      </c>
      <c r="J707" s="2" t="str" cm="1">
        <f t="array" ref="J707">IF(_xlfn.XLOOKUP(F707,Customers!A706:$A$1001,Customers!C706:$C$1001,"Not Found",0)=0,"",_xlfn.XLOOKUP(F707,Customers!A706:$A$1001,Customers!C706:$C$1001,"Not Found",0))</f>
        <v>sgehringjl@gnu.org</v>
      </c>
      <c r="K707" s="2" t="str" cm="1">
        <f t="array" ref="K707">_xlfn.XLOOKUP(F707,Customers!A706:$A$1001,Customers!G706:$G$1001,"Not Found",0)</f>
        <v>United States</v>
      </c>
      <c r="L707" t="str">
        <f>INDEX(Products!$A$1:$G$49,MATCH(Orders!$G707,Products!$A$1:$A$49,0),MATCH(Orders!L$1,Products!$A$1:$G$1,0))</f>
        <v>Exc</v>
      </c>
      <c r="M707" t="str">
        <f>INDEX(Products!$A$1:$G$49,MATCH(Orders!$G707,Products!$A$1:$A$49,0),MATCH(Orders!M$1,Products!$A$1:$G$1,0))</f>
        <v>L</v>
      </c>
      <c r="N707" s="4">
        <f>INDEX(Products!$A$1:$G$49,MATCH(Orders!$G707,Products!$A$1:$A$49,0),MATCH(Orders!N$1,Products!$A$1:$G$1,0))</f>
        <v>0.5</v>
      </c>
      <c r="O707" s="7">
        <f>INDEX(Products!$A$1:$G$49,MATCH(Orders!$G707,Products!$A$1:$A$49,0),MATCH(Orders!O$1,Products!$A$1:$G$1,0))</f>
        <v>8.91</v>
      </c>
      <c r="P707" s="7">
        <f t="shared" ref="P707:P770" si="11">O707*H707</f>
        <v>17.82</v>
      </c>
      <c r="Q707" t="str" cm="1">
        <f t="array" ref="Q707">_xlfn.IFS(L707="Rob","Robusta",L707="Exc", "Excelsa",L707="Ara", "Arabica",L707="Lib", "Liberica")</f>
        <v>Excelsa</v>
      </c>
      <c r="R707" t="str" cm="1">
        <f t="array" ref="R707">_xlfn.IFS(M707="M","Medium",M707="L","Light",M707="D","Dark")</f>
        <v>Light</v>
      </c>
    </row>
    <row r="708" spans="1:18">
      <c r="A708" s="2" t="s">
        <v>1419</v>
      </c>
      <c r="B708" s="3">
        <v>44353</v>
      </c>
      <c r="C708" s="9">
        <f>YEAR(Orders_Table[[#This Row],[Order Date]])</f>
        <v>2021</v>
      </c>
      <c r="D708" s="9">
        <f>MONTH(Orders_Table[[#This Row],[Order Date]])</f>
        <v>6</v>
      </c>
      <c r="E708" s="9" t="str" cm="1">
        <f t="array" ref="E7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08" s="2" t="s">
        <v>1420</v>
      </c>
      <c r="G708" t="s">
        <v>111</v>
      </c>
      <c r="H708" s="2">
        <v>3</v>
      </c>
      <c r="I708" s="2" t="str" cm="1">
        <f t="array" ref="I708">_xlfn.XLOOKUP(F708,Customers!A707:$A$1001,Customers!B707:$B$1001,"Not Found",0)</f>
        <v>Barrie Fallowes</v>
      </c>
      <c r="J708" s="2" t="str" cm="1">
        <f t="array" ref="J708">IF(_xlfn.XLOOKUP(F708,Customers!A707:$A$1001,Customers!C707:$C$1001,"Not Found",0)=0,"",_xlfn.XLOOKUP(F708,Customers!A707:$A$1001,Customers!C707:$C$1001,"Not Found",0))</f>
        <v>bfallowesjm@purevolume.com</v>
      </c>
      <c r="K708" s="2" t="str" cm="1">
        <f t="array" ref="K708">_xlfn.XLOOKUP(F708,Customers!A707:$A$1001,Customers!G707:$G$1001,"Not Found",0)</f>
        <v>United States</v>
      </c>
      <c r="L708" t="str">
        <f>INDEX(Products!$A$1:$G$49,MATCH(Orders!$G708,Products!$A$1:$A$49,0),MATCH(Orders!L$1,Products!$A$1:$G$1,0))</f>
        <v>Exc</v>
      </c>
      <c r="M708" t="str">
        <f>INDEX(Products!$A$1:$G$49,MATCH(Orders!$G708,Products!$A$1:$A$49,0),MATCH(Orders!M$1,Products!$A$1:$G$1,0))</f>
        <v>M</v>
      </c>
      <c r="N708" s="4">
        <f>INDEX(Products!$A$1:$G$49,MATCH(Orders!$G708,Products!$A$1:$A$49,0),MATCH(Orders!N$1,Products!$A$1:$G$1,0))</f>
        <v>0.2</v>
      </c>
      <c r="O708" s="7">
        <f>INDEX(Products!$A$1:$G$49,MATCH(Orders!$G708,Products!$A$1:$A$49,0),MATCH(Orders!O$1,Products!$A$1:$G$1,0))</f>
        <v>4.125</v>
      </c>
      <c r="P708" s="7">
        <f t="shared" si="11"/>
        <v>12.375</v>
      </c>
      <c r="Q708" t="str" cm="1">
        <f t="array" ref="Q708">_xlfn.IFS(L708="Rob","Robusta",L708="Exc", "Excelsa",L708="Ara", "Arabica",L708="Lib", "Liberica")</f>
        <v>Excelsa</v>
      </c>
      <c r="R708" t="str" cm="1">
        <f t="array" ref="R708">_xlfn.IFS(M708="M","Medium",M708="L","Light",M708="D","Dark")</f>
        <v>Medium</v>
      </c>
    </row>
    <row r="709" spans="1:18">
      <c r="A709" s="2" t="s">
        <v>1421</v>
      </c>
      <c r="B709" s="3">
        <v>43540</v>
      </c>
      <c r="C709" s="9">
        <f>YEAR(Orders_Table[[#This Row],[Order Date]])</f>
        <v>2019</v>
      </c>
      <c r="D709" s="9">
        <f>MONTH(Orders_Table[[#This Row],[Order Date]])</f>
        <v>3</v>
      </c>
      <c r="E709" s="9" t="str" cm="1">
        <f t="array" ref="E7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09" s="2" t="s">
        <v>1422</v>
      </c>
      <c r="G709" t="s">
        <v>60</v>
      </c>
      <c r="H709" s="2">
        <v>2</v>
      </c>
      <c r="I709" s="2" t="str" cm="1">
        <f t="array" ref="I709">_xlfn.XLOOKUP(F709,Customers!A708:$A$1001,Customers!B708:$B$1001,"Not Found",0)</f>
        <v>Nicolas Aiton</v>
      </c>
      <c r="J709" s="2" t="str" cm="1">
        <f t="array" ref="J709">IF(_xlfn.XLOOKUP(F709,Customers!A708:$A$1001,Customers!C708:$C$1001,"Not Found",0)=0,"",_xlfn.XLOOKUP(F709,Customers!A708:$A$1001,Customers!C708:$C$1001,"Not Found",0))</f>
        <v/>
      </c>
      <c r="K709" s="2" t="str" cm="1">
        <f t="array" ref="K709">_xlfn.XLOOKUP(F709,Customers!A708:$A$1001,Customers!G708:$G$1001,"Not Found",0)</f>
        <v>Ireland</v>
      </c>
      <c r="L709" t="str">
        <f>INDEX(Products!$A$1:$G$49,MATCH(Orders!$G709,Products!$A$1:$A$49,0),MATCH(Orders!L$1,Products!$A$1:$G$1,0))</f>
        <v>Lib</v>
      </c>
      <c r="M709" t="str">
        <f>INDEX(Products!$A$1:$G$49,MATCH(Orders!$G709,Products!$A$1:$A$49,0),MATCH(Orders!M$1,Products!$A$1:$G$1,0))</f>
        <v>D</v>
      </c>
      <c r="N709" s="4">
        <f>INDEX(Products!$A$1:$G$49,MATCH(Orders!$G709,Products!$A$1:$A$49,0),MATCH(Orders!N$1,Products!$A$1:$G$1,0))</f>
        <v>1</v>
      </c>
      <c r="O709" s="7">
        <f>INDEX(Products!$A$1:$G$49,MATCH(Orders!$G709,Products!$A$1:$A$49,0),MATCH(Orders!O$1,Products!$A$1:$G$1,0))</f>
        <v>12.95</v>
      </c>
      <c r="P709" s="7">
        <f t="shared" si="11"/>
        <v>25.9</v>
      </c>
      <c r="Q709" t="str" cm="1">
        <f t="array" ref="Q709">_xlfn.IFS(L709="Rob","Robusta",L709="Exc", "Excelsa",L709="Ara", "Arabica",L709="Lib", "Liberica")</f>
        <v>Liberica</v>
      </c>
      <c r="R709" t="str" cm="1">
        <f t="array" ref="R709">_xlfn.IFS(M709="M","Medium",M709="L","Light",M709="D","Dark")</f>
        <v>Dark</v>
      </c>
    </row>
    <row r="710" spans="1:18">
      <c r="A710" s="2" t="s">
        <v>1423</v>
      </c>
      <c r="B710" s="3">
        <v>43804</v>
      </c>
      <c r="C710" s="9">
        <f>YEAR(Orders_Table[[#This Row],[Order Date]])</f>
        <v>2019</v>
      </c>
      <c r="D710" s="9">
        <f>MONTH(Orders_Table[[#This Row],[Order Date]])</f>
        <v>12</v>
      </c>
      <c r="E710" s="9" t="str" cm="1">
        <f t="array" ref="E7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10" s="2" t="s">
        <v>1424</v>
      </c>
      <c r="G710" t="s">
        <v>114</v>
      </c>
      <c r="H710" s="2">
        <v>2</v>
      </c>
      <c r="I710" s="2" t="str" cm="1">
        <f t="array" ref="I710">_xlfn.XLOOKUP(F710,Customers!A709:$A$1001,Customers!B709:$B$1001,"Not Found",0)</f>
        <v>Shelli De Banke</v>
      </c>
      <c r="J710" s="2" t="str" cm="1">
        <f t="array" ref="J710">IF(_xlfn.XLOOKUP(F710,Customers!A709:$A$1001,Customers!C709:$C$1001,"Not Found",0)=0,"",_xlfn.XLOOKUP(F710,Customers!A709:$A$1001,Customers!C709:$C$1001,"Not Found",0))</f>
        <v>sdejo@newsvine.com</v>
      </c>
      <c r="K710" s="2" t="str" cm="1">
        <f t="array" ref="K710">_xlfn.XLOOKUP(F710,Customers!A709:$A$1001,Customers!G709:$G$1001,"Not Found",0)</f>
        <v>United States</v>
      </c>
      <c r="L710" t="str">
        <f>INDEX(Products!$A$1:$G$49,MATCH(Orders!$G710,Products!$A$1:$A$49,0),MATCH(Orders!L$1,Products!$A$1:$G$1,0))</f>
        <v>Ara</v>
      </c>
      <c r="M710" t="str">
        <f>INDEX(Products!$A$1:$G$49,MATCH(Orders!$G710,Products!$A$1:$A$49,0),MATCH(Orders!M$1,Products!$A$1:$G$1,0))</f>
        <v>M</v>
      </c>
      <c r="N710" s="4">
        <f>INDEX(Products!$A$1:$G$49,MATCH(Orders!$G710,Products!$A$1:$A$49,0),MATCH(Orders!N$1,Products!$A$1:$G$1,0))</f>
        <v>0.5</v>
      </c>
      <c r="O710" s="7">
        <f>INDEX(Products!$A$1:$G$49,MATCH(Orders!$G710,Products!$A$1:$A$49,0),MATCH(Orders!O$1,Products!$A$1:$G$1,0))</f>
        <v>6.75</v>
      </c>
      <c r="P710" s="7">
        <f t="shared" si="11"/>
        <v>13.5</v>
      </c>
      <c r="Q710" t="str" cm="1">
        <f t="array" ref="Q710">_xlfn.IFS(L710="Rob","Robusta",L710="Exc", "Excelsa",L710="Ara", "Arabica",L710="Lib", "Liberica")</f>
        <v>Arabica</v>
      </c>
      <c r="R710" t="str" cm="1">
        <f t="array" ref="R710">_xlfn.IFS(M710="M","Medium",M710="L","Light",M710="D","Dark")</f>
        <v>Medium</v>
      </c>
    </row>
    <row r="711" spans="1:18">
      <c r="A711" s="2" t="s">
        <v>1425</v>
      </c>
      <c r="B711" s="3">
        <v>43485</v>
      </c>
      <c r="C711" s="9">
        <f>YEAR(Orders_Table[[#This Row],[Order Date]])</f>
        <v>2019</v>
      </c>
      <c r="D711" s="9">
        <f>MONTH(Orders_Table[[#This Row],[Order Date]])</f>
        <v>1</v>
      </c>
      <c r="E711" s="9" t="str" cm="1">
        <f t="array" ref="E7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11" s="2" t="s">
        <v>1426</v>
      </c>
      <c r="G711" t="s">
        <v>223</v>
      </c>
      <c r="H711" s="2">
        <v>2</v>
      </c>
      <c r="I711" s="2" t="str" cm="1">
        <f t="array" ref="I711">_xlfn.XLOOKUP(F711,Customers!A710:$A$1001,Customers!B710:$B$1001,"Not Found",0)</f>
        <v>Lyell Murch</v>
      </c>
      <c r="J711" s="2" t="str" cm="1">
        <f t="array" ref="J711">IF(_xlfn.XLOOKUP(F711,Customers!A710:$A$1001,Customers!C710:$C$1001,"Not Found",0)=0,"",_xlfn.XLOOKUP(F711,Customers!A710:$A$1001,Customers!C710:$C$1001,"Not Found",0))</f>
        <v/>
      </c>
      <c r="K711" s="2" t="str" cm="1">
        <f t="array" ref="K711">_xlfn.XLOOKUP(F711,Customers!A710:$A$1001,Customers!G710:$G$1001,"Not Found",0)</f>
        <v>United States</v>
      </c>
      <c r="L711" t="str">
        <f>INDEX(Products!$A$1:$G$49,MATCH(Orders!$G711,Products!$A$1:$A$49,0),MATCH(Orders!L$1,Products!$A$1:$G$1,0))</f>
        <v>Exc</v>
      </c>
      <c r="M711" t="str">
        <f>INDEX(Products!$A$1:$G$49,MATCH(Orders!$G711,Products!$A$1:$A$49,0),MATCH(Orders!M$1,Products!$A$1:$G$1,0))</f>
        <v>L</v>
      </c>
      <c r="N711" s="4">
        <f>INDEX(Products!$A$1:$G$49,MATCH(Orders!$G711,Products!$A$1:$A$49,0),MATCH(Orders!N$1,Products!$A$1:$G$1,0))</f>
        <v>0.5</v>
      </c>
      <c r="O711" s="7">
        <f>INDEX(Products!$A$1:$G$49,MATCH(Orders!$G711,Products!$A$1:$A$49,0),MATCH(Orders!O$1,Products!$A$1:$G$1,0))</f>
        <v>8.91</v>
      </c>
      <c r="P711" s="7">
        <f t="shared" si="11"/>
        <v>17.82</v>
      </c>
      <c r="Q711" t="str" cm="1">
        <f t="array" ref="Q711">_xlfn.IFS(L711="Rob","Robusta",L711="Exc", "Excelsa",L711="Ara", "Arabica",L711="Lib", "Liberica")</f>
        <v>Excelsa</v>
      </c>
      <c r="R711" t="str" cm="1">
        <f t="array" ref="R711">_xlfn.IFS(M711="M","Medium",M711="L","Light",M711="D","Dark")</f>
        <v>Light</v>
      </c>
    </row>
    <row r="712" spans="1:18">
      <c r="A712" s="2" t="s">
        <v>1427</v>
      </c>
      <c r="B712" s="3">
        <v>44655</v>
      </c>
      <c r="C712" s="9">
        <f>YEAR(Orders_Table[[#This Row],[Order Date]])</f>
        <v>2022</v>
      </c>
      <c r="D712" s="9">
        <f>MONTH(Orders_Table[[#This Row],[Order Date]])</f>
        <v>4</v>
      </c>
      <c r="E712" s="9" t="str" cm="1">
        <f t="array" ref="E7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12" s="2" t="s">
        <v>1428</v>
      </c>
      <c r="G712" t="s">
        <v>50</v>
      </c>
      <c r="H712" s="2">
        <v>3</v>
      </c>
      <c r="I712" s="2" t="str" cm="1">
        <f t="array" ref="I712">_xlfn.XLOOKUP(F712,Customers!A711:$A$1001,Customers!B711:$B$1001,"Not Found",0)</f>
        <v>Stearne Count</v>
      </c>
      <c r="J712" s="2" t="str" cm="1">
        <f t="array" ref="J712">IF(_xlfn.XLOOKUP(F712,Customers!A711:$A$1001,Customers!C711:$C$1001,"Not Found",0)=0,"",_xlfn.XLOOKUP(F712,Customers!A711:$A$1001,Customers!C711:$C$1001,"Not Found",0))</f>
        <v>scountjq@nba.com</v>
      </c>
      <c r="K712" s="2" t="str" cm="1">
        <f t="array" ref="K712">_xlfn.XLOOKUP(F712,Customers!A711:$A$1001,Customers!G711:$G$1001,"Not Found",0)</f>
        <v>United States</v>
      </c>
      <c r="L712" t="str">
        <f>INDEX(Products!$A$1:$G$49,MATCH(Orders!$G712,Products!$A$1:$A$49,0),MATCH(Orders!L$1,Products!$A$1:$G$1,0))</f>
        <v>Exc</v>
      </c>
      <c r="M712" t="str">
        <f>INDEX(Products!$A$1:$G$49,MATCH(Orders!$G712,Products!$A$1:$A$49,0),MATCH(Orders!M$1,Products!$A$1:$G$1,0))</f>
        <v>M</v>
      </c>
      <c r="N712" s="4">
        <f>INDEX(Products!$A$1:$G$49,MATCH(Orders!$G712,Products!$A$1:$A$49,0),MATCH(Orders!N$1,Products!$A$1:$G$1,0))</f>
        <v>0.5</v>
      </c>
      <c r="O712" s="7">
        <f>INDEX(Products!$A$1:$G$49,MATCH(Orders!$G712,Products!$A$1:$A$49,0),MATCH(Orders!O$1,Products!$A$1:$G$1,0))</f>
        <v>8.25</v>
      </c>
      <c r="P712" s="7">
        <f t="shared" si="11"/>
        <v>24.75</v>
      </c>
      <c r="Q712" t="str" cm="1">
        <f t="array" ref="Q712">_xlfn.IFS(L712="Rob","Robusta",L712="Exc", "Excelsa",L712="Ara", "Arabica",L712="Lib", "Liberica")</f>
        <v>Excelsa</v>
      </c>
      <c r="R712" t="str" cm="1">
        <f t="array" ref="R712">_xlfn.IFS(M712="M","Medium",M712="L","Light",M712="D","Dark")</f>
        <v>Medium</v>
      </c>
    </row>
    <row r="713" spans="1:18">
      <c r="A713" s="2" t="s">
        <v>1429</v>
      </c>
      <c r="B713" s="3">
        <v>44600</v>
      </c>
      <c r="C713" s="9">
        <f>YEAR(Orders_Table[[#This Row],[Order Date]])</f>
        <v>2022</v>
      </c>
      <c r="D713" s="9">
        <f>MONTH(Orders_Table[[#This Row],[Order Date]])</f>
        <v>2</v>
      </c>
      <c r="E713" s="9" t="str" cm="1">
        <f t="array" ref="E7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13" s="2" t="s">
        <v>1430</v>
      </c>
      <c r="G713" t="s">
        <v>209</v>
      </c>
      <c r="H713" s="2">
        <v>6</v>
      </c>
      <c r="I713" s="2" t="str" cm="1">
        <f t="array" ref="I713">_xlfn.XLOOKUP(F713,Customers!A712:$A$1001,Customers!B712:$B$1001,"Not Found",0)</f>
        <v>Selia Ragles</v>
      </c>
      <c r="J713" s="2" t="str" cm="1">
        <f t="array" ref="J713">IF(_xlfn.XLOOKUP(F713,Customers!A712:$A$1001,Customers!C712:$C$1001,"Not Found",0)=0,"",_xlfn.XLOOKUP(F713,Customers!A712:$A$1001,Customers!C712:$C$1001,"Not Found",0))</f>
        <v>sraglesjr@blogtalkradio.com</v>
      </c>
      <c r="K713" s="2" t="str" cm="1">
        <f t="array" ref="K713">_xlfn.XLOOKUP(F713,Customers!A712:$A$1001,Customers!G712:$G$1001,"Not Found",0)</f>
        <v>United States</v>
      </c>
      <c r="L713" t="str">
        <f>INDEX(Products!$A$1:$G$49,MATCH(Orders!$G713,Products!$A$1:$A$49,0),MATCH(Orders!L$1,Products!$A$1:$G$1,0))</f>
        <v>Rob</v>
      </c>
      <c r="M713" t="str">
        <f>INDEX(Products!$A$1:$G$49,MATCH(Orders!$G713,Products!$A$1:$A$49,0),MATCH(Orders!M$1,Products!$A$1:$G$1,0))</f>
        <v>M</v>
      </c>
      <c r="N713" s="4">
        <f>INDEX(Products!$A$1:$G$49,MATCH(Orders!$G713,Products!$A$1:$A$49,0),MATCH(Orders!N$1,Products!$A$1:$G$1,0))</f>
        <v>0.2</v>
      </c>
      <c r="O713" s="7">
        <f>INDEX(Products!$A$1:$G$49,MATCH(Orders!$G713,Products!$A$1:$A$49,0),MATCH(Orders!O$1,Products!$A$1:$G$1,0))</f>
        <v>2.9849999999999999</v>
      </c>
      <c r="P713" s="7">
        <f t="shared" si="11"/>
        <v>17.91</v>
      </c>
      <c r="Q713" t="str" cm="1">
        <f t="array" ref="Q713">_xlfn.IFS(L713="Rob","Robusta",L713="Exc", "Excelsa",L713="Ara", "Arabica",L713="Lib", "Liberica")</f>
        <v>Robusta</v>
      </c>
      <c r="R713" t="str" cm="1">
        <f t="array" ref="R713">_xlfn.IFS(M713="M","Medium",M713="L","Light",M713="D","Dark")</f>
        <v>Medium</v>
      </c>
    </row>
    <row r="714" spans="1:18">
      <c r="A714" s="2" t="s">
        <v>1431</v>
      </c>
      <c r="B714" s="3">
        <v>43646</v>
      </c>
      <c r="C714" s="9">
        <f>YEAR(Orders_Table[[#This Row],[Order Date]])</f>
        <v>2019</v>
      </c>
      <c r="D714" s="9">
        <f>MONTH(Orders_Table[[#This Row],[Order Date]])</f>
        <v>6</v>
      </c>
      <c r="E714" s="9" t="str" cm="1">
        <f t="array" ref="E7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14" s="2" t="s">
        <v>1432</v>
      </c>
      <c r="G714" t="s">
        <v>50</v>
      </c>
      <c r="H714" s="2">
        <v>2</v>
      </c>
      <c r="I714" s="2" t="str" cm="1">
        <f t="array" ref="I714">_xlfn.XLOOKUP(F714,Customers!A713:$A$1001,Customers!B713:$B$1001,"Not Found",0)</f>
        <v>Silas Deehan</v>
      </c>
      <c r="J714" s="2" t="str" cm="1">
        <f t="array" ref="J714">IF(_xlfn.XLOOKUP(F714,Customers!A713:$A$1001,Customers!C713:$C$1001,"Not Found",0)=0,"",_xlfn.XLOOKUP(F714,Customers!A713:$A$1001,Customers!C713:$C$1001,"Not Found",0))</f>
        <v/>
      </c>
      <c r="K714" s="2" t="str" cm="1">
        <f t="array" ref="K714">_xlfn.XLOOKUP(F714,Customers!A713:$A$1001,Customers!G713:$G$1001,"Not Found",0)</f>
        <v>United Kingdom</v>
      </c>
      <c r="L714" t="str">
        <f>INDEX(Products!$A$1:$G$49,MATCH(Orders!$G714,Products!$A$1:$A$49,0),MATCH(Orders!L$1,Products!$A$1:$G$1,0))</f>
        <v>Exc</v>
      </c>
      <c r="M714" t="str">
        <f>INDEX(Products!$A$1:$G$49,MATCH(Orders!$G714,Products!$A$1:$A$49,0),MATCH(Orders!M$1,Products!$A$1:$G$1,0))</f>
        <v>M</v>
      </c>
      <c r="N714" s="4">
        <f>INDEX(Products!$A$1:$G$49,MATCH(Orders!$G714,Products!$A$1:$A$49,0),MATCH(Orders!N$1,Products!$A$1:$G$1,0))</f>
        <v>0.5</v>
      </c>
      <c r="O714" s="7">
        <f>INDEX(Products!$A$1:$G$49,MATCH(Orders!$G714,Products!$A$1:$A$49,0),MATCH(Orders!O$1,Products!$A$1:$G$1,0))</f>
        <v>8.25</v>
      </c>
      <c r="P714" s="7">
        <f t="shared" si="11"/>
        <v>16.5</v>
      </c>
      <c r="Q714" t="str" cm="1">
        <f t="array" ref="Q714">_xlfn.IFS(L714="Rob","Robusta",L714="Exc", "Excelsa",L714="Ara", "Arabica",L714="Lib", "Liberica")</f>
        <v>Excelsa</v>
      </c>
      <c r="R714" t="str" cm="1">
        <f t="array" ref="R714">_xlfn.IFS(M714="M","Medium",M714="L","Light",M714="D","Dark")</f>
        <v>Medium</v>
      </c>
    </row>
    <row r="715" spans="1:18">
      <c r="A715" s="2" t="s">
        <v>1433</v>
      </c>
      <c r="B715" s="3">
        <v>43960</v>
      </c>
      <c r="C715" s="9">
        <f>YEAR(Orders_Table[[#This Row],[Order Date]])</f>
        <v>2020</v>
      </c>
      <c r="D715" s="9">
        <f>MONTH(Orders_Table[[#This Row],[Order Date]])</f>
        <v>5</v>
      </c>
      <c r="E715" s="9" t="str" cm="1">
        <f t="array" ref="E7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715" s="2" t="s">
        <v>1434</v>
      </c>
      <c r="G715" t="s">
        <v>209</v>
      </c>
      <c r="H715" s="2">
        <v>1</v>
      </c>
      <c r="I715" s="2" t="str" cm="1">
        <f t="array" ref="I715">_xlfn.XLOOKUP(F715,Customers!A714:$A$1001,Customers!B714:$B$1001,"Not Found",0)</f>
        <v>Sacha Bruun</v>
      </c>
      <c r="J715" s="2" t="str" cm="1">
        <f t="array" ref="J715">IF(_xlfn.XLOOKUP(F715,Customers!A714:$A$1001,Customers!C714:$C$1001,"Not Found",0)=0,"",_xlfn.XLOOKUP(F715,Customers!A714:$A$1001,Customers!C714:$C$1001,"Not Found",0))</f>
        <v>sbruunjt@blogtalkradio.com</v>
      </c>
      <c r="K715" s="2" t="str" cm="1">
        <f t="array" ref="K715">_xlfn.XLOOKUP(F715,Customers!A714:$A$1001,Customers!G714:$G$1001,"Not Found",0)</f>
        <v>United States</v>
      </c>
      <c r="L715" t="str">
        <f>INDEX(Products!$A$1:$G$49,MATCH(Orders!$G715,Products!$A$1:$A$49,0),MATCH(Orders!L$1,Products!$A$1:$G$1,0))</f>
        <v>Rob</v>
      </c>
      <c r="M715" t="str">
        <f>INDEX(Products!$A$1:$G$49,MATCH(Orders!$G715,Products!$A$1:$A$49,0),MATCH(Orders!M$1,Products!$A$1:$G$1,0))</f>
        <v>M</v>
      </c>
      <c r="N715" s="4">
        <f>INDEX(Products!$A$1:$G$49,MATCH(Orders!$G715,Products!$A$1:$A$49,0),MATCH(Orders!N$1,Products!$A$1:$G$1,0))</f>
        <v>0.2</v>
      </c>
      <c r="O715" s="7">
        <f>INDEX(Products!$A$1:$G$49,MATCH(Orders!$G715,Products!$A$1:$A$49,0),MATCH(Orders!O$1,Products!$A$1:$G$1,0))</f>
        <v>2.9849999999999999</v>
      </c>
      <c r="P715" s="7">
        <f t="shared" si="11"/>
        <v>2.9849999999999999</v>
      </c>
      <c r="Q715" t="str" cm="1">
        <f t="array" ref="Q715">_xlfn.IFS(L715="Rob","Robusta",L715="Exc", "Excelsa",L715="Ara", "Arabica",L715="Lib", "Liberica")</f>
        <v>Robusta</v>
      </c>
      <c r="R715" t="str" cm="1">
        <f t="array" ref="R715">_xlfn.IFS(M715="M","Medium",M715="L","Light",M715="D","Dark")</f>
        <v>Medium</v>
      </c>
    </row>
    <row r="716" spans="1:18">
      <c r="A716" s="2" t="s">
        <v>1435</v>
      </c>
      <c r="B716" s="3">
        <v>44358</v>
      </c>
      <c r="C716" s="9">
        <f>YEAR(Orders_Table[[#This Row],[Order Date]])</f>
        <v>2021</v>
      </c>
      <c r="D716" s="9">
        <f>MONTH(Orders_Table[[#This Row],[Order Date]])</f>
        <v>6</v>
      </c>
      <c r="E716" s="9" t="str" cm="1">
        <f t="array" ref="E7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16" s="2" t="s">
        <v>1436</v>
      </c>
      <c r="G716" t="s">
        <v>98</v>
      </c>
      <c r="H716" s="2">
        <v>4</v>
      </c>
      <c r="I716" s="2" t="str" cm="1">
        <f t="array" ref="I716">_xlfn.XLOOKUP(F716,Customers!A715:$A$1001,Customers!B715:$B$1001,"Not Found",0)</f>
        <v>Alon Pllu</v>
      </c>
      <c r="J716" s="2" t="str" cm="1">
        <f t="array" ref="J716">IF(_xlfn.XLOOKUP(F716,Customers!A715:$A$1001,Customers!C715:$C$1001,"Not Found",0)=0,"",_xlfn.XLOOKUP(F716,Customers!A715:$A$1001,Customers!C715:$C$1001,"Not Found",0))</f>
        <v>aplluju@dagondesign.com</v>
      </c>
      <c r="K716" s="2" t="str" cm="1">
        <f t="array" ref="K716">_xlfn.XLOOKUP(F716,Customers!A715:$A$1001,Customers!G715:$G$1001,"Not Found",0)</f>
        <v>Ireland</v>
      </c>
      <c r="L716" t="str">
        <f>INDEX(Products!$A$1:$G$49,MATCH(Orders!$G716,Products!$A$1:$A$49,0),MATCH(Orders!L$1,Products!$A$1:$G$1,0))</f>
        <v>Exc</v>
      </c>
      <c r="M716" t="str">
        <f>INDEX(Products!$A$1:$G$49,MATCH(Orders!$G716,Products!$A$1:$A$49,0),MATCH(Orders!M$1,Products!$A$1:$G$1,0))</f>
        <v>D</v>
      </c>
      <c r="N716" s="4">
        <f>INDEX(Products!$A$1:$G$49,MATCH(Orders!$G716,Products!$A$1:$A$49,0),MATCH(Orders!N$1,Products!$A$1:$G$1,0))</f>
        <v>0.2</v>
      </c>
      <c r="O716" s="7">
        <f>INDEX(Products!$A$1:$G$49,MATCH(Orders!$G716,Products!$A$1:$A$49,0),MATCH(Orders!O$1,Products!$A$1:$G$1,0))</f>
        <v>3.645</v>
      </c>
      <c r="P716" s="7">
        <f t="shared" si="11"/>
        <v>14.58</v>
      </c>
      <c r="Q716" t="str" cm="1">
        <f t="array" ref="Q716">_xlfn.IFS(L716="Rob","Robusta",L716="Exc", "Excelsa",L716="Ara", "Arabica",L716="Lib", "Liberica")</f>
        <v>Excelsa</v>
      </c>
      <c r="R716" t="str" cm="1">
        <f t="array" ref="R716">_xlfn.IFS(M716="M","Medium",M716="L","Light",M716="D","Dark")</f>
        <v>Dark</v>
      </c>
    </row>
    <row r="717" spans="1:18">
      <c r="A717" s="2" t="s">
        <v>1437</v>
      </c>
      <c r="B717" s="3">
        <v>44504</v>
      </c>
      <c r="C717" s="9">
        <f>YEAR(Orders_Table[[#This Row],[Order Date]])</f>
        <v>2021</v>
      </c>
      <c r="D717" s="9">
        <f>MONTH(Orders_Table[[#This Row],[Order Date]])</f>
        <v>11</v>
      </c>
      <c r="E717" s="9" t="str" cm="1">
        <f t="array" ref="E7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17" s="2" t="s">
        <v>1438</v>
      </c>
      <c r="G717" t="s">
        <v>184</v>
      </c>
      <c r="H717" s="2">
        <v>6</v>
      </c>
      <c r="I717" s="2" t="str" cm="1">
        <f t="array" ref="I717">_xlfn.XLOOKUP(F717,Customers!A716:$A$1001,Customers!B716:$B$1001,"Not Found",0)</f>
        <v>Gilberto Cornier</v>
      </c>
      <c r="J717" s="2" t="str" cm="1">
        <f t="array" ref="J717">IF(_xlfn.XLOOKUP(F717,Customers!A716:$A$1001,Customers!C716:$C$1001,"Not Found",0)=0,"",_xlfn.XLOOKUP(F717,Customers!A716:$A$1001,Customers!C716:$C$1001,"Not Found",0))</f>
        <v>gcornierjv@techcrunch.com</v>
      </c>
      <c r="K717" s="2" t="str" cm="1">
        <f t="array" ref="K717">_xlfn.XLOOKUP(F717,Customers!A716:$A$1001,Customers!G716:$G$1001,"Not Found",0)</f>
        <v>United States</v>
      </c>
      <c r="L717" t="str">
        <f>INDEX(Products!$A$1:$G$49,MATCH(Orders!$G717,Products!$A$1:$A$49,0),MATCH(Orders!L$1,Products!$A$1:$G$1,0))</f>
        <v>Exc</v>
      </c>
      <c r="M717" t="str">
        <f>INDEX(Products!$A$1:$G$49,MATCH(Orders!$G717,Products!$A$1:$A$49,0),MATCH(Orders!M$1,Products!$A$1:$G$1,0))</f>
        <v>L</v>
      </c>
      <c r="N717" s="4">
        <f>INDEX(Products!$A$1:$G$49,MATCH(Orders!$G717,Products!$A$1:$A$49,0),MATCH(Orders!N$1,Products!$A$1:$G$1,0))</f>
        <v>1</v>
      </c>
      <c r="O717" s="7">
        <f>INDEX(Products!$A$1:$G$49,MATCH(Orders!$G717,Products!$A$1:$A$49,0),MATCH(Orders!O$1,Products!$A$1:$G$1,0))</f>
        <v>14.85</v>
      </c>
      <c r="P717" s="7">
        <f t="shared" si="11"/>
        <v>89.1</v>
      </c>
      <c r="Q717" t="str" cm="1">
        <f t="array" ref="Q717">_xlfn.IFS(L717="Rob","Robusta",L717="Exc", "Excelsa",L717="Ara", "Arabica",L717="Lib", "Liberica")</f>
        <v>Excelsa</v>
      </c>
      <c r="R717" t="str" cm="1">
        <f t="array" ref="R717">_xlfn.IFS(M717="M","Medium",M717="L","Light",M717="D","Dark")</f>
        <v>Light</v>
      </c>
    </row>
    <row r="718" spans="1:18">
      <c r="A718" s="2" t="s">
        <v>1439</v>
      </c>
      <c r="B718" s="3">
        <v>44612</v>
      </c>
      <c r="C718" s="9">
        <f>YEAR(Orders_Table[[#This Row],[Order Date]])</f>
        <v>2022</v>
      </c>
      <c r="D718" s="9">
        <f>MONTH(Orders_Table[[#This Row],[Order Date]])</f>
        <v>2</v>
      </c>
      <c r="E718" s="9" t="str" cm="1">
        <f t="array" ref="E7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18" s="2" t="s">
        <v>1391</v>
      </c>
      <c r="G718" t="s">
        <v>236</v>
      </c>
      <c r="H718" s="2">
        <v>3</v>
      </c>
      <c r="I718" s="2" t="str" cm="1">
        <f t="array" ref="I718">_xlfn.XLOOKUP(F718,Customers!A717:$A$1001,Customers!B717:$B$1001,"Not Found",0)</f>
        <v>Not Found</v>
      </c>
      <c r="J718" s="2" t="str" cm="1">
        <f t="array" ref="J718">IF(_xlfn.XLOOKUP(F718,Customers!A717:$A$1001,Customers!C717:$C$1001,"Not Found",0)=0,"",_xlfn.XLOOKUP(F718,Customers!A717:$A$1001,Customers!C717:$C$1001,"Not Found",0))</f>
        <v>Not Found</v>
      </c>
      <c r="K718" s="2" t="str" cm="1">
        <f t="array" ref="K718">_xlfn.XLOOKUP(F718,Customers!A717:$A$1001,Customers!G717:$G$1001,"Not Found",0)</f>
        <v>Not Found</v>
      </c>
      <c r="L718" t="str">
        <f>INDEX(Products!$A$1:$G$49,MATCH(Orders!$G718,Products!$A$1:$A$49,0),MATCH(Orders!L$1,Products!$A$1:$G$1,0))</f>
        <v>Rob</v>
      </c>
      <c r="M718" t="str">
        <f>INDEX(Products!$A$1:$G$49,MATCH(Orders!$G718,Products!$A$1:$A$49,0),MATCH(Orders!M$1,Products!$A$1:$G$1,0))</f>
        <v>L</v>
      </c>
      <c r="N718" s="4">
        <f>INDEX(Products!$A$1:$G$49,MATCH(Orders!$G718,Products!$A$1:$A$49,0),MATCH(Orders!N$1,Products!$A$1:$G$1,0))</f>
        <v>1</v>
      </c>
      <c r="O718" s="7">
        <f>INDEX(Products!$A$1:$G$49,MATCH(Orders!$G718,Products!$A$1:$A$49,0),MATCH(Orders!O$1,Products!$A$1:$G$1,0))</f>
        <v>11.95</v>
      </c>
      <c r="P718" s="7">
        <f t="shared" si="11"/>
        <v>35.849999999999994</v>
      </c>
      <c r="Q718" t="str" cm="1">
        <f t="array" ref="Q718">_xlfn.IFS(L718="Rob","Robusta",L718="Exc", "Excelsa",L718="Ara", "Arabica",L718="Lib", "Liberica")</f>
        <v>Robusta</v>
      </c>
      <c r="R718" t="str" cm="1">
        <f t="array" ref="R718">_xlfn.IFS(M718="M","Medium",M718="L","Light",M718="D","Dark")</f>
        <v>Light</v>
      </c>
    </row>
    <row r="719" spans="1:18">
      <c r="A719" s="2" t="s">
        <v>1440</v>
      </c>
      <c r="B719" s="3">
        <v>43649</v>
      </c>
      <c r="C719" s="9">
        <f>YEAR(Orders_Table[[#This Row],[Order Date]])</f>
        <v>2019</v>
      </c>
      <c r="D719" s="9">
        <f>MONTH(Orders_Table[[#This Row],[Order Date]])</f>
        <v>7</v>
      </c>
      <c r="E719" s="9" t="str" cm="1">
        <f t="array" ref="E7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19" s="2" t="s">
        <v>1441</v>
      </c>
      <c r="G719" t="s">
        <v>165</v>
      </c>
      <c r="H719" s="2">
        <v>3</v>
      </c>
      <c r="I719" s="2" t="str" cm="1">
        <f t="array" ref="I719">_xlfn.XLOOKUP(F719,Customers!A718:$A$1001,Customers!B718:$B$1001,"Not Found",0)</f>
        <v>Willabella Harvison</v>
      </c>
      <c r="J719" s="2" t="str" cm="1">
        <f t="array" ref="J719">IF(_xlfn.XLOOKUP(F719,Customers!A718:$A$1001,Customers!C718:$C$1001,"Not Found",0)=0,"",_xlfn.XLOOKUP(F719,Customers!A718:$A$1001,Customers!C718:$C$1001,"Not Found",0))</f>
        <v>wharvisonjx@gizmodo.com</v>
      </c>
      <c r="K719" s="2" t="str" cm="1">
        <f t="array" ref="K719">_xlfn.XLOOKUP(F719,Customers!A718:$A$1001,Customers!G718:$G$1001,"Not Found",0)</f>
        <v>United States</v>
      </c>
      <c r="L719" t="str">
        <f>INDEX(Products!$A$1:$G$49,MATCH(Orders!$G719,Products!$A$1:$A$49,0),MATCH(Orders!L$1,Products!$A$1:$G$1,0))</f>
        <v>Ara</v>
      </c>
      <c r="M719" t="str">
        <f>INDEX(Products!$A$1:$G$49,MATCH(Orders!$G719,Products!$A$1:$A$49,0),MATCH(Orders!M$1,Products!$A$1:$G$1,0))</f>
        <v>D</v>
      </c>
      <c r="N719" s="4">
        <f>INDEX(Products!$A$1:$G$49,MATCH(Orders!$G719,Products!$A$1:$A$49,0),MATCH(Orders!N$1,Products!$A$1:$G$1,0))</f>
        <v>2.5</v>
      </c>
      <c r="O719" s="7">
        <f>INDEX(Products!$A$1:$G$49,MATCH(Orders!$G719,Products!$A$1:$A$49,0),MATCH(Orders!O$1,Products!$A$1:$G$1,0))</f>
        <v>22.884999999999998</v>
      </c>
      <c r="P719" s="7">
        <f t="shared" si="11"/>
        <v>68.655000000000001</v>
      </c>
      <c r="Q719" t="str" cm="1">
        <f t="array" ref="Q719">_xlfn.IFS(L719="Rob","Robusta",L719="Exc", "Excelsa",L719="Ara", "Arabica",L719="Lib", "Liberica")</f>
        <v>Arabica</v>
      </c>
      <c r="R719" t="str" cm="1">
        <f t="array" ref="R719">_xlfn.IFS(M719="M","Medium",M719="L","Light",M719="D","Dark")</f>
        <v>Dark</v>
      </c>
    </row>
    <row r="720" spans="1:18">
      <c r="A720" s="2" t="s">
        <v>1442</v>
      </c>
      <c r="B720" s="3">
        <v>44348</v>
      </c>
      <c r="C720" s="9">
        <f>YEAR(Orders_Table[[#This Row],[Order Date]])</f>
        <v>2021</v>
      </c>
      <c r="D720" s="9">
        <f>MONTH(Orders_Table[[#This Row],[Order Date]])</f>
        <v>6</v>
      </c>
      <c r="E720" s="9" t="str" cm="1">
        <f t="array" ref="E7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20" s="2" t="s">
        <v>1443</v>
      </c>
      <c r="G720" t="s">
        <v>60</v>
      </c>
      <c r="H720" s="2">
        <v>3</v>
      </c>
      <c r="I720" s="2" t="str" cm="1">
        <f t="array" ref="I720">_xlfn.XLOOKUP(F720,Customers!A719:$A$1001,Customers!B719:$B$1001,"Not Found",0)</f>
        <v>Darice Heaford</v>
      </c>
      <c r="J720" s="2" t="str" cm="1">
        <f t="array" ref="J720">IF(_xlfn.XLOOKUP(F720,Customers!A719:$A$1001,Customers!C719:$C$1001,"Not Found",0)=0,"",_xlfn.XLOOKUP(F720,Customers!A719:$A$1001,Customers!C719:$C$1001,"Not Found",0))</f>
        <v>dheafordjy@twitpic.com</v>
      </c>
      <c r="K720" s="2" t="str" cm="1">
        <f t="array" ref="K720">_xlfn.XLOOKUP(F720,Customers!A719:$A$1001,Customers!G719:$G$1001,"Not Found",0)</f>
        <v>United States</v>
      </c>
      <c r="L720" t="str">
        <f>INDEX(Products!$A$1:$G$49,MATCH(Orders!$G720,Products!$A$1:$A$49,0),MATCH(Orders!L$1,Products!$A$1:$G$1,0))</f>
        <v>Lib</v>
      </c>
      <c r="M720" t="str">
        <f>INDEX(Products!$A$1:$G$49,MATCH(Orders!$G720,Products!$A$1:$A$49,0),MATCH(Orders!M$1,Products!$A$1:$G$1,0))</f>
        <v>D</v>
      </c>
      <c r="N720" s="4">
        <f>INDEX(Products!$A$1:$G$49,MATCH(Orders!$G720,Products!$A$1:$A$49,0),MATCH(Orders!N$1,Products!$A$1:$G$1,0))</f>
        <v>1</v>
      </c>
      <c r="O720" s="7">
        <f>INDEX(Products!$A$1:$G$49,MATCH(Orders!$G720,Products!$A$1:$A$49,0),MATCH(Orders!O$1,Products!$A$1:$G$1,0))</f>
        <v>12.95</v>
      </c>
      <c r="P720" s="7">
        <f t="shared" si="11"/>
        <v>38.849999999999994</v>
      </c>
      <c r="Q720" t="str" cm="1">
        <f t="array" ref="Q720">_xlfn.IFS(L720="Rob","Robusta",L720="Exc", "Excelsa",L720="Ara", "Arabica",L720="Lib", "Liberica")</f>
        <v>Liberica</v>
      </c>
      <c r="R720" t="str" cm="1">
        <f t="array" ref="R720">_xlfn.IFS(M720="M","Medium",M720="L","Light",M720="D","Dark")</f>
        <v>Dark</v>
      </c>
    </row>
    <row r="721" spans="1:18">
      <c r="A721" s="2" t="s">
        <v>1444</v>
      </c>
      <c r="B721" s="3">
        <v>44150</v>
      </c>
      <c r="C721" s="9">
        <f>YEAR(Orders_Table[[#This Row],[Order Date]])</f>
        <v>2020</v>
      </c>
      <c r="D721" s="9">
        <f>MONTH(Orders_Table[[#This Row],[Order Date]])</f>
        <v>11</v>
      </c>
      <c r="E721" s="9" t="str" cm="1">
        <f t="array" ref="E7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21" s="2" t="s">
        <v>1445</v>
      </c>
      <c r="G721" t="s">
        <v>179</v>
      </c>
      <c r="H721" s="2">
        <v>5</v>
      </c>
      <c r="I721" s="2" t="str" cm="1">
        <f t="array" ref="I721">_xlfn.XLOOKUP(F721,Customers!A720:$A$1001,Customers!B720:$B$1001,"Not Found",0)</f>
        <v>Granger Fantham</v>
      </c>
      <c r="J721" s="2" t="str" cm="1">
        <f t="array" ref="J721">IF(_xlfn.XLOOKUP(F721,Customers!A720:$A$1001,Customers!C720:$C$1001,"Not Found",0)=0,"",_xlfn.XLOOKUP(F721,Customers!A720:$A$1001,Customers!C720:$C$1001,"Not Found",0))</f>
        <v>gfanthamjz@hexun.com</v>
      </c>
      <c r="K721" s="2" t="str" cm="1">
        <f t="array" ref="K721">_xlfn.XLOOKUP(F721,Customers!A720:$A$1001,Customers!G720:$G$1001,"Not Found",0)</f>
        <v>United States</v>
      </c>
      <c r="L721" t="str">
        <f>INDEX(Products!$A$1:$G$49,MATCH(Orders!$G721,Products!$A$1:$A$49,0),MATCH(Orders!L$1,Products!$A$1:$G$1,0))</f>
        <v>Lib</v>
      </c>
      <c r="M721" t="str">
        <f>INDEX(Products!$A$1:$G$49,MATCH(Orders!$G721,Products!$A$1:$A$49,0),MATCH(Orders!M$1,Products!$A$1:$G$1,0))</f>
        <v>L</v>
      </c>
      <c r="N721" s="4">
        <f>INDEX(Products!$A$1:$G$49,MATCH(Orders!$G721,Products!$A$1:$A$49,0),MATCH(Orders!N$1,Products!$A$1:$G$1,0))</f>
        <v>1</v>
      </c>
      <c r="O721" s="7">
        <f>INDEX(Products!$A$1:$G$49,MATCH(Orders!$G721,Products!$A$1:$A$49,0),MATCH(Orders!O$1,Products!$A$1:$G$1,0))</f>
        <v>15.85</v>
      </c>
      <c r="P721" s="7">
        <f t="shared" si="11"/>
        <v>79.25</v>
      </c>
      <c r="Q721" t="str" cm="1">
        <f t="array" ref="Q721">_xlfn.IFS(L721="Rob","Robusta",L721="Exc", "Excelsa",L721="Ara", "Arabica",L721="Lib", "Liberica")</f>
        <v>Liberica</v>
      </c>
      <c r="R721" t="str" cm="1">
        <f t="array" ref="R721">_xlfn.IFS(M721="M","Medium",M721="L","Light",M721="D","Dark")</f>
        <v>Light</v>
      </c>
    </row>
    <row r="722" spans="1:18">
      <c r="A722" s="2" t="s">
        <v>1446</v>
      </c>
      <c r="B722" s="3">
        <v>44215</v>
      </c>
      <c r="C722" s="9">
        <f>YEAR(Orders_Table[[#This Row],[Order Date]])</f>
        <v>2021</v>
      </c>
      <c r="D722" s="9">
        <f>MONTH(Orders_Table[[#This Row],[Order Date]])</f>
        <v>1</v>
      </c>
      <c r="E722" s="9" t="str" cm="1">
        <f t="array" ref="E7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22" s="2" t="s">
        <v>1447</v>
      </c>
      <c r="G722" t="s">
        <v>63</v>
      </c>
      <c r="H722" s="2">
        <v>5</v>
      </c>
      <c r="I722" s="2" t="str" cm="1">
        <f t="array" ref="I722">_xlfn.XLOOKUP(F722,Customers!A721:$A$1001,Customers!B721:$B$1001,"Not Found",0)</f>
        <v>Reynolds Crookshanks</v>
      </c>
      <c r="J722" s="2" t="str" cm="1">
        <f t="array" ref="J722">IF(_xlfn.XLOOKUP(F722,Customers!A721:$A$1001,Customers!C721:$C$1001,"Not Found",0)=0,"",_xlfn.XLOOKUP(F722,Customers!A721:$A$1001,Customers!C721:$C$1001,"Not Found",0))</f>
        <v>rcrookshanksk0@unc.edu</v>
      </c>
      <c r="K722" s="2" t="str" cm="1">
        <f t="array" ref="K722">_xlfn.XLOOKUP(F722,Customers!A721:$A$1001,Customers!G721:$G$1001,"Not Found",0)</f>
        <v>United States</v>
      </c>
      <c r="L722" t="str">
        <f>INDEX(Products!$A$1:$G$49,MATCH(Orders!$G722,Products!$A$1:$A$49,0),MATCH(Orders!L$1,Products!$A$1:$G$1,0))</f>
        <v>Exc</v>
      </c>
      <c r="M722" t="str">
        <f>INDEX(Products!$A$1:$G$49,MATCH(Orders!$G722,Products!$A$1:$A$49,0),MATCH(Orders!M$1,Products!$A$1:$G$1,0))</f>
        <v>D</v>
      </c>
      <c r="N722" s="4">
        <f>INDEX(Products!$A$1:$G$49,MATCH(Orders!$G722,Products!$A$1:$A$49,0),MATCH(Orders!N$1,Products!$A$1:$G$1,0))</f>
        <v>0.5</v>
      </c>
      <c r="O722" s="7">
        <f>INDEX(Products!$A$1:$G$49,MATCH(Orders!$G722,Products!$A$1:$A$49,0),MATCH(Orders!O$1,Products!$A$1:$G$1,0))</f>
        <v>7.29</v>
      </c>
      <c r="P722" s="7">
        <f t="shared" si="11"/>
        <v>36.450000000000003</v>
      </c>
      <c r="Q722" t="str" cm="1">
        <f t="array" ref="Q722">_xlfn.IFS(L722="Rob","Robusta",L722="Exc", "Excelsa",L722="Ara", "Arabica",L722="Lib", "Liberica")</f>
        <v>Excelsa</v>
      </c>
      <c r="R722" t="str" cm="1">
        <f t="array" ref="R722">_xlfn.IFS(M722="M","Medium",M722="L","Light",M722="D","Dark")</f>
        <v>Dark</v>
      </c>
    </row>
    <row r="723" spans="1:18">
      <c r="A723" s="2" t="s">
        <v>1448</v>
      </c>
      <c r="B723" s="3">
        <v>44479</v>
      </c>
      <c r="C723" s="9">
        <f>YEAR(Orders_Table[[#This Row],[Order Date]])</f>
        <v>2021</v>
      </c>
      <c r="D723" s="9">
        <f>MONTH(Orders_Table[[#This Row],[Order Date]])</f>
        <v>10</v>
      </c>
      <c r="E723" s="9" t="str" cm="1">
        <f t="array" ref="E7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23" s="2" t="s">
        <v>1449</v>
      </c>
      <c r="G723" t="s">
        <v>209</v>
      </c>
      <c r="H723" s="2">
        <v>3</v>
      </c>
      <c r="I723" s="2" t="str" cm="1">
        <f t="array" ref="I723">_xlfn.XLOOKUP(F723,Customers!A722:$A$1001,Customers!B722:$B$1001,"Not Found",0)</f>
        <v>Niels Leake</v>
      </c>
      <c r="J723" s="2" t="str" cm="1">
        <f t="array" ref="J723">IF(_xlfn.XLOOKUP(F723,Customers!A722:$A$1001,Customers!C722:$C$1001,"Not Found",0)=0,"",_xlfn.XLOOKUP(F723,Customers!A722:$A$1001,Customers!C722:$C$1001,"Not Found",0))</f>
        <v>nleakek1@cmu.edu</v>
      </c>
      <c r="K723" s="2" t="str" cm="1">
        <f t="array" ref="K723">_xlfn.XLOOKUP(F723,Customers!A722:$A$1001,Customers!G722:$G$1001,"Not Found",0)</f>
        <v>United States</v>
      </c>
      <c r="L723" t="str">
        <f>INDEX(Products!$A$1:$G$49,MATCH(Orders!$G723,Products!$A$1:$A$49,0),MATCH(Orders!L$1,Products!$A$1:$G$1,0))</f>
        <v>Rob</v>
      </c>
      <c r="M723" t="str">
        <f>INDEX(Products!$A$1:$G$49,MATCH(Orders!$G723,Products!$A$1:$A$49,0),MATCH(Orders!M$1,Products!$A$1:$G$1,0))</f>
        <v>M</v>
      </c>
      <c r="N723" s="4">
        <f>INDEX(Products!$A$1:$G$49,MATCH(Orders!$G723,Products!$A$1:$A$49,0),MATCH(Orders!N$1,Products!$A$1:$G$1,0))</f>
        <v>0.2</v>
      </c>
      <c r="O723" s="7">
        <f>INDEX(Products!$A$1:$G$49,MATCH(Orders!$G723,Products!$A$1:$A$49,0),MATCH(Orders!O$1,Products!$A$1:$G$1,0))</f>
        <v>2.9849999999999999</v>
      </c>
      <c r="P723" s="7">
        <f t="shared" si="11"/>
        <v>8.9550000000000001</v>
      </c>
      <c r="Q723" t="str" cm="1">
        <f t="array" ref="Q723">_xlfn.IFS(L723="Rob","Robusta",L723="Exc", "Excelsa",L723="Ara", "Arabica",L723="Lib", "Liberica")</f>
        <v>Robusta</v>
      </c>
      <c r="R723" t="str" cm="1">
        <f t="array" ref="R723">_xlfn.IFS(M723="M","Medium",M723="L","Light",M723="D","Dark")</f>
        <v>Medium</v>
      </c>
    </row>
    <row r="724" spans="1:18">
      <c r="A724" s="2" t="s">
        <v>1450</v>
      </c>
      <c r="B724" s="3">
        <v>44620</v>
      </c>
      <c r="C724" s="9">
        <f>YEAR(Orders_Table[[#This Row],[Order Date]])</f>
        <v>2022</v>
      </c>
      <c r="D724" s="9">
        <f>MONTH(Orders_Table[[#This Row],[Order Date]])</f>
        <v>2</v>
      </c>
      <c r="E724" s="9" t="str" cm="1">
        <f t="array" ref="E7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24" s="2" t="s">
        <v>1451</v>
      </c>
      <c r="G724" t="s">
        <v>292</v>
      </c>
      <c r="H724" s="2">
        <v>2</v>
      </c>
      <c r="I724" s="2" t="str" cm="1">
        <f t="array" ref="I724">_xlfn.XLOOKUP(F724,Customers!A723:$A$1001,Customers!B723:$B$1001,"Not Found",0)</f>
        <v>Hetti Measures</v>
      </c>
      <c r="J724" s="2" t="str" cm="1">
        <f t="array" ref="J724">IF(_xlfn.XLOOKUP(F724,Customers!A723:$A$1001,Customers!C723:$C$1001,"Not Found",0)=0,"",_xlfn.XLOOKUP(F724,Customers!A723:$A$1001,Customers!C723:$C$1001,"Not Found",0))</f>
        <v/>
      </c>
      <c r="K724" s="2" t="str" cm="1">
        <f t="array" ref="K724">_xlfn.XLOOKUP(F724,Customers!A723:$A$1001,Customers!G723:$G$1001,"Not Found",0)</f>
        <v>United States</v>
      </c>
      <c r="L724" t="str">
        <f>INDEX(Products!$A$1:$G$49,MATCH(Orders!$G724,Products!$A$1:$A$49,0),MATCH(Orders!L$1,Products!$A$1:$G$1,0))</f>
        <v>Exc</v>
      </c>
      <c r="M724" t="str">
        <f>INDEX(Products!$A$1:$G$49,MATCH(Orders!$G724,Products!$A$1:$A$49,0),MATCH(Orders!M$1,Products!$A$1:$G$1,0))</f>
        <v>D</v>
      </c>
      <c r="N724" s="4">
        <f>INDEX(Products!$A$1:$G$49,MATCH(Orders!$G724,Products!$A$1:$A$49,0),MATCH(Orders!N$1,Products!$A$1:$G$1,0))</f>
        <v>1</v>
      </c>
      <c r="O724" s="7">
        <f>INDEX(Products!$A$1:$G$49,MATCH(Orders!$G724,Products!$A$1:$A$49,0),MATCH(Orders!O$1,Products!$A$1:$G$1,0))</f>
        <v>12.15</v>
      </c>
      <c r="P724" s="7">
        <f t="shared" si="11"/>
        <v>24.3</v>
      </c>
      <c r="Q724" t="str" cm="1">
        <f t="array" ref="Q724">_xlfn.IFS(L724="Rob","Robusta",L724="Exc", "Excelsa",L724="Ara", "Arabica",L724="Lib", "Liberica")</f>
        <v>Excelsa</v>
      </c>
      <c r="R724" t="str" cm="1">
        <f t="array" ref="R724">_xlfn.IFS(M724="M","Medium",M724="L","Light",M724="D","Dark")</f>
        <v>Dark</v>
      </c>
    </row>
    <row r="725" spans="1:18">
      <c r="A725" s="2" t="s">
        <v>1452</v>
      </c>
      <c r="B725" s="3">
        <v>44470</v>
      </c>
      <c r="C725" s="9">
        <f>YEAR(Orders_Table[[#This Row],[Order Date]])</f>
        <v>2021</v>
      </c>
      <c r="D725" s="9">
        <f>MONTH(Orders_Table[[#This Row],[Order Date]])</f>
        <v>10</v>
      </c>
      <c r="E725" s="9" t="str" cm="1">
        <f t="array" ref="E7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25" s="2" t="s">
        <v>1453</v>
      </c>
      <c r="G725" t="s">
        <v>159</v>
      </c>
      <c r="H725" s="2">
        <v>2</v>
      </c>
      <c r="I725" s="2" t="str" cm="1">
        <f t="array" ref="I725">_xlfn.XLOOKUP(F725,Customers!A724:$A$1001,Customers!B724:$B$1001,"Not Found",0)</f>
        <v>Gay Eilhersen</v>
      </c>
      <c r="J725" s="2" t="str" cm="1">
        <f t="array" ref="J725">IF(_xlfn.XLOOKUP(F725,Customers!A724:$A$1001,Customers!C724:$C$1001,"Not Found",0)=0,"",_xlfn.XLOOKUP(F725,Customers!A724:$A$1001,Customers!C724:$C$1001,"Not Found",0))</f>
        <v>geilhersenk3@networksolutions.com</v>
      </c>
      <c r="K725" s="2" t="str" cm="1">
        <f t="array" ref="K725">_xlfn.XLOOKUP(F725,Customers!A724:$A$1001,Customers!G724:$G$1001,"Not Found",0)</f>
        <v>United States</v>
      </c>
      <c r="L725" t="str">
        <f>INDEX(Products!$A$1:$G$49,MATCH(Orders!$G725,Products!$A$1:$A$49,0),MATCH(Orders!L$1,Products!$A$1:$G$1,0))</f>
        <v>Exc</v>
      </c>
      <c r="M725" t="str">
        <f>INDEX(Products!$A$1:$G$49,MATCH(Orders!$G725,Products!$A$1:$A$49,0),MATCH(Orders!M$1,Products!$A$1:$G$1,0))</f>
        <v>M</v>
      </c>
      <c r="N725" s="4">
        <f>INDEX(Products!$A$1:$G$49,MATCH(Orders!$G725,Products!$A$1:$A$49,0),MATCH(Orders!N$1,Products!$A$1:$G$1,0))</f>
        <v>2.5</v>
      </c>
      <c r="O725" s="7">
        <f>INDEX(Products!$A$1:$G$49,MATCH(Orders!$G725,Products!$A$1:$A$49,0),MATCH(Orders!O$1,Products!$A$1:$G$1,0))</f>
        <v>31.624999999999996</v>
      </c>
      <c r="P725" s="7">
        <f t="shared" si="11"/>
        <v>63.249999999999993</v>
      </c>
      <c r="Q725" t="str" cm="1">
        <f t="array" ref="Q725">_xlfn.IFS(L725="Rob","Robusta",L725="Exc", "Excelsa",L725="Ara", "Arabica",L725="Lib", "Liberica")</f>
        <v>Excelsa</v>
      </c>
      <c r="R725" t="str" cm="1">
        <f t="array" ref="R725">_xlfn.IFS(M725="M","Medium",M725="L","Light",M725="D","Dark")</f>
        <v>Medium</v>
      </c>
    </row>
    <row r="726" spans="1:18">
      <c r="A726" s="2" t="s">
        <v>1454</v>
      </c>
      <c r="B726" s="3">
        <v>44076</v>
      </c>
      <c r="C726" s="9">
        <f>YEAR(Orders_Table[[#This Row],[Order Date]])</f>
        <v>2020</v>
      </c>
      <c r="D726" s="9">
        <f>MONTH(Orders_Table[[#This Row],[Order Date]])</f>
        <v>9</v>
      </c>
      <c r="E726" s="9" t="str" cm="1">
        <f t="array" ref="E7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726" s="2" t="s">
        <v>1455</v>
      </c>
      <c r="G726" t="s">
        <v>91</v>
      </c>
      <c r="H726" s="2">
        <v>2</v>
      </c>
      <c r="I726" s="2" t="str" cm="1">
        <f t="array" ref="I726">_xlfn.XLOOKUP(F726,Customers!A725:$A$1001,Customers!B725:$B$1001,"Not Found",0)</f>
        <v>Nico Hubert</v>
      </c>
      <c r="J726" s="2" t="str" cm="1">
        <f t="array" ref="J726">IF(_xlfn.XLOOKUP(F726,Customers!A725:$A$1001,Customers!C725:$C$1001,"Not Found",0)=0,"",_xlfn.XLOOKUP(F726,Customers!A725:$A$1001,Customers!C725:$C$1001,"Not Found",0))</f>
        <v/>
      </c>
      <c r="K726" s="2" t="str" cm="1">
        <f t="array" ref="K726">_xlfn.XLOOKUP(F726,Customers!A725:$A$1001,Customers!G725:$G$1001,"Not Found",0)</f>
        <v>United States</v>
      </c>
      <c r="L726" t="str">
        <f>INDEX(Products!$A$1:$G$49,MATCH(Orders!$G726,Products!$A$1:$A$49,0),MATCH(Orders!L$1,Products!$A$1:$G$1,0))</f>
        <v>Ara</v>
      </c>
      <c r="M726" t="str">
        <f>INDEX(Products!$A$1:$G$49,MATCH(Orders!$G726,Products!$A$1:$A$49,0),MATCH(Orders!M$1,Products!$A$1:$G$1,0))</f>
        <v>M</v>
      </c>
      <c r="N726" s="4">
        <f>INDEX(Products!$A$1:$G$49,MATCH(Orders!$G726,Products!$A$1:$A$49,0),MATCH(Orders!N$1,Products!$A$1:$G$1,0))</f>
        <v>0.2</v>
      </c>
      <c r="O726" s="7">
        <f>INDEX(Products!$A$1:$G$49,MATCH(Orders!$G726,Products!$A$1:$A$49,0),MATCH(Orders!O$1,Products!$A$1:$G$1,0))</f>
        <v>3.375</v>
      </c>
      <c r="P726" s="7">
        <f t="shared" si="11"/>
        <v>6.75</v>
      </c>
      <c r="Q726" t="str" cm="1">
        <f t="array" ref="Q726">_xlfn.IFS(L726="Rob","Robusta",L726="Exc", "Excelsa",L726="Ara", "Arabica",L726="Lib", "Liberica")</f>
        <v>Arabica</v>
      </c>
      <c r="R726" t="str" cm="1">
        <f t="array" ref="R726">_xlfn.IFS(M726="M","Medium",M726="L","Light",M726="D","Dark")</f>
        <v>Medium</v>
      </c>
    </row>
    <row r="727" spans="1:18">
      <c r="A727" s="2" t="s">
        <v>1456</v>
      </c>
      <c r="B727" s="3">
        <v>44043</v>
      </c>
      <c r="C727" s="9">
        <f>YEAR(Orders_Table[[#This Row],[Order Date]])</f>
        <v>2020</v>
      </c>
      <c r="D727" s="9">
        <f>MONTH(Orders_Table[[#This Row],[Order Date]])</f>
        <v>7</v>
      </c>
      <c r="E727" s="9" t="str" cm="1">
        <f t="array" ref="E7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27" s="2" t="s">
        <v>1457</v>
      </c>
      <c r="G727" t="s">
        <v>162</v>
      </c>
      <c r="H727" s="2">
        <v>6</v>
      </c>
      <c r="I727" s="2" t="str" cm="1">
        <f t="array" ref="I727">_xlfn.XLOOKUP(F727,Customers!A726:$A$1001,Customers!B726:$B$1001,"Not Found",0)</f>
        <v>Cristina Aleixo</v>
      </c>
      <c r="J727" s="2" t="str" cm="1">
        <f t="array" ref="J727">IF(_xlfn.XLOOKUP(F727,Customers!A726:$A$1001,Customers!C726:$C$1001,"Not Found",0)=0,"",_xlfn.XLOOKUP(F727,Customers!A726:$A$1001,Customers!C726:$C$1001,"Not Found",0))</f>
        <v>caleixok5@globo.com</v>
      </c>
      <c r="K727" s="2" t="str" cm="1">
        <f t="array" ref="K727">_xlfn.XLOOKUP(F727,Customers!A726:$A$1001,Customers!G726:$G$1001,"Not Found",0)</f>
        <v>United States</v>
      </c>
      <c r="L727" t="str">
        <f>INDEX(Products!$A$1:$G$49,MATCH(Orders!$G727,Products!$A$1:$A$49,0),MATCH(Orders!L$1,Products!$A$1:$G$1,0))</f>
        <v>Ara</v>
      </c>
      <c r="M727" t="str">
        <f>INDEX(Products!$A$1:$G$49,MATCH(Orders!$G727,Products!$A$1:$A$49,0),MATCH(Orders!M$1,Products!$A$1:$G$1,0))</f>
        <v>L</v>
      </c>
      <c r="N727" s="4">
        <f>INDEX(Products!$A$1:$G$49,MATCH(Orders!$G727,Products!$A$1:$A$49,0),MATCH(Orders!N$1,Products!$A$1:$G$1,0))</f>
        <v>0.2</v>
      </c>
      <c r="O727" s="7">
        <f>INDEX(Products!$A$1:$G$49,MATCH(Orders!$G727,Products!$A$1:$A$49,0),MATCH(Orders!O$1,Products!$A$1:$G$1,0))</f>
        <v>3.8849999999999998</v>
      </c>
      <c r="P727" s="7">
        <f t="shared" si="11"/>
        <v>23.31</v>
      </c>
      <c r="Q727" t="str" cm="1">
        <f t="array" ref="Q727">_xlfn.IFS(L727="Rob","Robusta",L727="Exc", "Excelsa",L727="Ara", "Arabica",L727="Lib", "Liberica")</f>
        <v>Arabica</v>
      </c>
      <c r="R727" t="str" cm="1">
        <f t="array" ref="R727">_xlfn.IFS(M727="M","Medium",M727="L","Light",M727="D","Dark")</f>
        <v>Light</v>
      </c>
    </row>
    <row r="728" spans="1:18">
      <c r="A728" s="2" t="s">
        <v>1458</v>
      </c>
      <c r="B728" s="3">
        <v>44571</v>
      </c>
      <c r="C728" s="9">
        <f>YEAR(Orders_Table[[#This Row],[Order Date]])</f>
        <v>2022</v>
      </c>
      <c r="D728" s="9">
        <f>MONTH(Orders_Table[[#This Row],[Order Date]])</f>
        <v>1</v>
      </c>
      <c r="E728" s="9" t="str" cm="1">
        <f t="array" ref="E7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28" s="2" t="s">
        <v>1459</v>
      </c>
      <c r="G728" t="s">
        <v>151</v>
      </c>
      <c r="H728" s="2">
        <v>4</v>
      </c>
      <c r="I728" s="2" t="str" cm="1">
        <f t="array" ref="I728">_xlfn.XLOOKUP(F728,Customers!A727:$A$1001,Customers!B727:$B$1001,"Not Found",0)</f>
        <v>Derrek Allpress</v>
      </c>
      <c r="J728" s="2" t="str" cm="1">
        <f t="array" ref="J728">IF(_xlfn.XLOOKUP(F728,Customers!A727:$A$1001,Customers!C727:$C$1001,"Not Found",0)=0,"",_xlfn.XLOOKUP(F728,Customers!A727:$A$1001,Customers!C727:$C$1001,"Not Found",0))</f>
        <v/>
      </c>
      <c r="K728" s="2" t="str" cm="1">
        <f t="array" ref="K728">_xlfn.XLOOKUP(F728,Customers!A727:$A$1001,Customers!G727:$G$1001,"Not Found",0)</f>
        <v>United States</v>
      </c>
      <c r="L728" t="str">
        <f>INDEX(Products!$A$1:$G$49,MATCH(Orders!$G728,Products!$A$1:$A$49,0),MATCH(Orders!L$1,Products!$A$1:$G$1,0))</f>
        <v>Lib</v>
      </c>
      <c r="M728" t="str">
        <f>INDEX(Products!$A$1:$G$49,MATCH(Orders!$G728,Products!$A$1:$A$49,0),MATCH(Orders!M$1,Products!$A$1:$G$1,0))</f>
        <v>L</v>
      </c>
      <c r="N728" s="4">
        <f>INDEX(Products!$A$1:$G$49,MATCH(Orders!$G728,Products!$A$1:$A$49,0),MATCH(Orders!N$1,Products!$A$1:$G$1,0))</f>
        <v>2.5</v>
      </c>
      <c r="O728" s="7">
        <f>INDEX(Products!$A$1:$G$49,MATCH(Orders!$G728,Products!$A$1:$A$49,0),MATCH(Orders!O$1,Products!$A$1:$G$1,0))</f>
        <v>36.454999999999998</v>
      </c>
      <c r="P728" s="7">
        <f t="shared" si="11"/>
        <v>145.82</v>
      </c>
      <c r="Q728" t="str" cm="1">
        <f t="array" ref="Q728">_xlfn.IFS(L728="Rob","Robusta",L728="Exc", "Excelsa",L728="Ara", "Arabica",L728="Lib", "Liberica")</f>
        <v>Liberica</v>
      </c>
      <c r="R728" t="str" cm="1">
        <f t="array" ref="R728">_xlfn.IFS(M728="M","Medium",M728="L","Light",M728="D","Dark")</f>
        <v>Light</v>
      </c>
    </row>
    <row r="729" spans="1:18">
      <c r="A729" s="2" t="s">
        <v>1460</v>
      </c>
      <c r="B729" s="3">
        <v>44264</v>
      </c>
      <c r="C729" s="9">
        <f>YEAR(Orders_Table[[#This Row],[Order Date]])</f>
        <v>2021</v>
      </c>
      <c r="D729" s="9">
        <f>MONTH(Orders_Table[[#This Row],[Order Date]])</f>
        <v>3</v>
      </c>
      <c r="E729" s="9" t="str" cm="1">
        <f t="array" ref="E7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29" s="2" t="s">
        <v>1461</v>
      </c>
      <c r="G729" t="s">
        <v>69</v>
      </c>
      <c r="H729" s="2">
        <v>5</v>
      </c>
      <c r="I729" s="2" t="str" cm="1">
        <f t="array" ref="I729">_xlfn.XLOOKUP(F729,Customers!A728:$A$1001,Customers!B728:$B$1001,"Not Found",0)</f>
        <v>Rikki Tomkowicz</v>
      </c>
      <c r="J729" s="2" t="str" cm="1">
        <f t="array" ref="J729">IF(_xlfn.XLOOKUP(F729,Customers!A728:$A$1001,Customers!C728:$C$1001,"Not Found",0)=0,"",_xlfn.XLOOKUP(F729,Customers!A728:$A$1001,Customers!C728:$C$1001,"Not Found",0))</f>
        <v>rtomkowiczk7@bravesites.com</v>
      </c>
      <c r="K729" s="2" t="str" cm="1">
        <f t="array" ref="K729">_xlfn.XLOOKUP(F729,Customers!A728:$A$1001,Customers!G728:$G$1001,"Not Found",0)</f>
        <v>Ireland</v>
      </c>
      <c r="L729" t="str">
        <f>INDEX(Products!$A$1:$G$49,MATCH(Orders!$G729,Products!$A$1:$A$49,0),MATCH(Orders!L$1,Products!$A$1:$G$1,0))</f>
        <v>Rob</v>
      </c>
      <c r="M729" t="str">
        <f>INDEX(Products!$A$1:$G$49,MATCH(Orders!$G729,Products!$A$1:$A$49,0),MATCH(Orders!M$1,Products!$A$1:$G$1,0))</f>
        <v>M</v>
      </c>
      <c r="N729" s="4">
        <f>INDEX(Products!$A$1:$G$49,MATCH(Orders!$G729,Products!$A$1:$A$49,0),MATCH(Orders!N$1,Products!$A$1:$G$1,0))</f>
        <v>0.5</v>
      </c>
      <c r="O729" s="7">
        <f>INDEX(Products!$A$1:$G$49,MATCH(Orders!$G729,Products!$A$1:$A$49,0),MATCH(Orders!O$1,Products!$A$1:$G$1,0))</f>
        <v>5.97</v>
      </c>
      <c r="P729" s="7">
        <f t="shared" si="11"/>
        <v>29.849999999999998</v>
      </c>
      <c r="Q729" t="str" cm="1">
        <f t="array" ref="Q729">_xlfn.IFS(L729="Rob","Robusta",L729="Exc", "Excelsa",L729="Ara", "Arabica",L729="Lib", "Liberica")</f>
        <v>Robusta</v>
      </c>
      <c r="R729" t="str" cm="1">
        <f t="array" ref="R729">_xlfn.IFS(M729="M","Medium",M729="L","Light",M729="D","Dark")</f>
        <v>Medium</v>
      </c>
    </row>
    <row r="730" spans="1:18">
      <c r="A730" s="2" t="s">
        <v>1462</v>
      </c>
      <c r="B730" s="3">
        <v>44155</v>
      </c>
      <c r="C730" s="9">
        <f>YEAR(Orders_Table[[#This Row],[Order Date]])</f>
        <v>2020</v>
      </c>
      <c r="D730" s="9">
        <f>MONTH(Orders_Table[[#This Row],[Order Date]])</f>
        <v>11</v>
      </c>
      <c r="E730" s="9" t="str" cm="1">
        <f t="array" ref="E7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30" s="2" t="s">
        <v>1463</v>
      </c>
      <c r="G730" t="s">
        <v>63</v>
      </c>
      <c r="H730" s="2">
        <v>3</v>
      </c>
      <c r="I730" s="2" t="str" cm="1">
        <f t="array" ref="I730">_xlfn.XLOOKUP(F730,Customers!A729:$A$1001,Customers!B729:$B$1001,"Not Found",0)</f>
        <v>Rochette Huscroft</v>
      </c>
      <c r="J730" s="2" t="str" cm="1">
        <f t="array" ref="J730">IF(_xlfn.XLOOKUP(F730,Customers!A729:$A$1001,Customers!C729:$C$1001,"Not Found",0)=0,"",_xlfn.XLOOKUP(F730,Customers!A729:$A$1001,Customers!C729:$C$1001,"Not Found",0))</f>
        <v>rhuscroftk8@jimdo.com</v>
      </c>
      <c r="K730" s="2" t="str" cm="1">
        <f t="array" ref="K730">_xlfn.XLOOKUP(F730,Customers!A729:$A$1001,Customers!G729:$G$1001,"Not Found",0)</f>
        <v>United States</v>
      </c>
      <c r="L730" t="str">
        <f>INDEX(Products!$A$1:$G$49,MATCH(Orders!$G730,Products!$A$1:$A$49,0),MATCH(Orders!L$1,Products!$A$1:$G$1,0))</f>
        <v>Exc</v>
      </c>
      <c r="M730" t="str">
        <f>INDEX(Products!$A$1:$G$49,MATCH(Orders!$G730,Products!$A$1:$A$49,0),MATCH(Orders!M$1,Products!$A$1:$G$1,0))</f>
        <v>D</v>
      </c>
      <c r="N730" s="4">
        <f>INDEX(Products!$A$1:$G$49,MATCH(Orders!$G730,Products!$A$1:$A$49,0),MATCH(Orders!N$1,Products!$A$1:$G$1,0))</f>
        <v>0.5</v>
      </c>
      <c r="O730" s="7">
        <f>INDEX(Products!$A$1:$G$49,MATCH(Orders!$G730,Products!$A$1:$A$49,0),MATCH(Orders!O$1,Products!$A$1:$G$1,0))</f>
        <v>7.29</v>
      </c>
      <c r="P730" s="7">
        <f t="shared" si="11"/>
        <v>21.87</v>
      </c>
      <c r="Q730" t="str" cm="1">
        <f t="array" ref="Q730">_xlfn.IFS(L730="Rob","Robusta",L730="Exc", "Excelsa",L730="Ara", "Arabica",L730="Lib", "Liberica")</f>
        <v>Excelsa</v>
      </c>
      <c r="R730" t="str" cm="1">
        <f t="array" ref="R730">_xlfn.IFS(M730="M","Medium",M730="L","Light",M730="D","Dark")</f>
        <v>Dark</v>
      </c>
    </row>
    <row r="731" spans="1:18">
      <c r="A731" s="2" t="s">
        <v>1464</v>
      </c>
      <c r="B731" s="3">
        <v>44634</v>
      </c>
      <c r="C731" s="9">
        <f>YEAR(Orders_Table[[#This Row],[Order Date]])</f>
        <v>2022</v>
      </c>
      <c r="D731" s="9">
        <f>MONTH(Orders_Table[[#This Row],[Order Date]])</f>
        <v>3</v>
      </c>
      <c r="E731" s="9" t="str" cm="1">
        <f t="array" ref="E7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31" s="2" t="s">
        <v>1465</v>
      </c>
      <c r="G731" t="s">
        <v>124</v>
      </c>
      <c r="H731" s="2">
        <v>1</v>
      </c>
      <c r="I731" s="2" t="str" cm="1">
        <f t="array" ref="I731">_xlfn.XLOOKUP(F731,Customers!A730:$A$1001,Customers!B730:$B$1001,"Not Found",0)</f>
        <v>Selle Scurrer</v>
      </c>
      <c r="J731" s="2" t="str" cm="1">
        <f t="array" ref="J731">IF(_xlfn.XLOOKUP(F731,Customers!A730:$A$1001,Customers!C730:$C$1001,"Not Found",0)=0,"",_xlfn.XLOOKUP(F731,Customers!A730:$A$1001,Customers!C730:$C$1001,"Not Found",0))</f>
        <v>sscurrerk9@flavors.me</v>
      </c>
      <c r="K731" s="2" t="str" cm="1">
        <f t="array" ref="K731">_xlfn.XLOOKUP(F731,Customers!A730:$A$1001,Customers!G730:$G$1001,"Not Found",0)</f>
        <v>United Kingdom</v>
      </c>
      <c r="L731" t="str">
        <f>INDEX(Products!$A$1:$G$49,MATCH(Orders!$G731,Products!$A$1:$A$49,0),MATCH(Orders!L$1,Products!$A$1:$G$1,0))</f>
        <v>Lib</v>
      </c>
      <c r="M731" t="str">
        <f>INDEX(Products!$A$1:$G$49,MATCH(Orders!$G731,Products!$A$1:$A$49,0),MATCH(Orders!M$1,Products!$A$1:$G$1,0))</f>
        <v>M</v>
      </c>
      <c r="N731" s="4">
        <f>INDEX(Products!$A$1:$G$49,MATCH(Orders!$G731,Products!$A$1:$A$49,0),MATCH(Orders!N$1,Products!$A$1:$G$1,0))</f>
        <v>0.2</v>
      </c>
      <c r="O731" s="7">
        <f>INDEX(Products!$A$1:$G$49,MATCH(Orders!$G731,Products!$A$1:$A$49,0),MATCH(Orders!O$1,Products!$A$1:$G$1,0))</f>
        <v>4.3650000000000002</v>
      </c>
      <c r="P731" s="7">
        <f t="shared" si="11"/>
        <v>4.3650000000000002</v>
      </c>
      <c r="Q731" t="str" cm="1">
        <f t="array" ref="Q731">_xlfn.IFS(L731="Rob","Robusta",L731="Exc", "Excelsa",L731="Ara", "Arabica",L731="Lib", "Liberica")</f>
        <v>Liberica</v>
      </c>
      <c r="R731" t="str" cm="1">
        <f t="array" ref="R731">_xlfn.IFS(M731="M","Medium",M731="L","Light",M731="D","Dark")</f>
        <v>Medium</v>
      </c>
    </row>
    <row r="732" spans="1:18">
      <c r="A732" s="2" t="s">
        <v>1466</v>
      </c>
      <c r="B732" s="3">
        <v>43475</v>
      </c>
      <c r="C732" s="9">
        <f>YEAR(Orders_Table[[#This Row],[Order Date]])</f>
        <v>2019</v>
      </c>
      <c r="D732" s="9">
        <f>MONTH(Orders_Table[[#This Row],[Order Date]])</f>
        <v>1</v>
      </c>
      <c r="E732" s="9" t="str" cm="1">
        <f t="array" ref="E7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32" s="2" t="s">
        <v>1467</v>
      </c>
      <c r="G732" t="s">
        <v>151</v>
      </c>
      <c r="H732" s="2">
        <v>1</v>
      </c>
      <c r="I732" s="2" t="str" cm="1">
        <f t="array" ref="I732">_xlfn.XLOOKUP(F732,Customers!A731:$A$1001,Customers!B731:$B$1001,"Not Found",0)</f>
        <v>Andie Rudram</v>
      </c>
      <c r="J732" s="2" t="str" cm="1">
        <f t="array" ref="J732">IF(_xlfn.XLOOKUP(F732,Customers!A731:$A$1001,Customers!C731:$C$1001,"Not Found",0)=0,"",_xlfn.XLOOKUP(F732,Customers!A731:$A$1001,Customers!C731:$C$1001,"Not Found",0))</f>
        <v>arudramka@prnewswire.com</v>
      </c>
      <c r="K732" s="2" t="str" cm="1">
        <f t="array" ref="K732">_xlfn.XLOOKUP(F732,Customers!A731:$A$1001,Customers!G731:$G$1001,"Not Found",0)</f>
        <v>United States</v>
      </c>
      <c r="L732" t="str">
        <f>INDEX(Products!$A$1:$G$49,MATCH(Orders!$G732,Products!$A$1:$A$49,0),MATCH(Orders!L$1,Products!$A$1:$G$1,0))</f>
        <v>Lib</v>
      </c>
      <c r="M732" t="str">
        <f>INDEX(Products!$A$1:$G$49,MATCH(Orders!$G732,Products!$A$1:$A$49,0),MATCH(Orders!M$1,Products!$A$1:$G$1,0))</f>
        <v>L</v>
      </c>
      <c r="N732" s="4">
        <f>INDEX(Products!$A$1:$G$49,MATCH(Orders!$G732,Products!$A$1:$A$49,0),MATCH(Orders!N$1,Products!$A$1:$G$1,0))</f>
        <v>2.5</v>
      </c>
      <c r="O732" s="7">
        <f>INDEX(Products!$A$1:$G$49,MATCH(Orders!$G732,Products!$A$1:$A$49,0),MATCH(Orders!O$1,Products!$A$1:$G$1,0))</f>
        <v>36.454999999999998</v>
      </c>
      <c r="P732" s="7">
        <f t="shared" si="11"/>
        <v>36.454999999999998</v>
      </c>
      <c r="Q732" t="str" cm="1">
        <f t="array" ref="Q732">_xlfn.IFS(L732="Rob","Robusta",L732="Exc", "Excelsa",L732="Ara", "Arabica",L732="Lib", "Liberica")</f>
        <v>Liberica</v>
      </c>
      <c r="R732" t="str" cm="1">
        <f t="array" ref="R732">_xlfn.IFS(M732="M","Medium",M732="L","Light",M732="D","Dark")</f>
        <v>Light</v>
      </c>
    </row>
    <row r="733" spans="1:18">
      <c r="A733" s="2" t="s">
        <v>1468</v>
      </c>
      <c r="B733" s="3">
        <v>44222</v>
      </c>
      <c r="C733" s="9">
        <f>YEAR(Orders_Table[[#This Row],[Order Date]])</f>
        <v>2021</v>
      </c>
      <c r="D733" s="9">
        <f>MONTH(Orders_Table[[#This Row],[Order Date]])</f>
        <v>1</v>
      </c>
      <c r="E733" s="9" t="str" cm="1">
        <f t="array" ref="E7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33" s="2" t="s">
        <v>1469</v>
      </c>
      <c r="G733" t="s">
        <v>85</v>
      </c>
      <c r="H733" s="2">
        <v>4</v>
      </c>
      <c r="I733" s="2" t="str" cm="1">
        <f t="array" ref="I733">_xlfn.XLOOKUP(F733,Customers!A732:$A$1001,Customers!B732:$B$1001,"Not Found",0)</f>
        <v>Leta Clarricoates</v>
      </c>
      <c r="J733" s="2" t="str" cm="1">
        <f t="array" ref="J733">IF(_xlfn.XLOOKUP(F733,Customers!A732:$A$1001,Customers!C732:$C$1001,"Not Found",0)=0,"",_xlfn.XLOOKUP(F733,Customers!A732:$A$1001,Customers!C732:$C$1001,"Not Found",0))</f>
        <v/>
      </c>
      <c r="K733" s="2" t="str" cm="1">
        <f t="array" ref="K733">_xlfn.XLOOKUP(F733,Customers!A732:$A$1001,Customers!G732:$G$1001,"Not Found",0)</f>
        <v>United States</v>
      </c>
      <c r="L733" t="str">
        <f>INDEX(Products!$A$1:$G$49,MATCH(Orders!$G733,Products!$A$1:$A$49,0),MATCH(Orders!L$1,Products!$A$1:$G$1,0))</f>
        <v>Lib</v>
      </c>
      <c r="M733" t="str">
        <f>INDEX(Products!$A$1:$G$49,MATCH(Orders!$G733,Products!$A$1:$A$49,0),MATCH(Orders!M$1,Products!$A$1:$G$1,0))</f>
        <v>D</v>
      </c>
      <c r="N733" s="4">
        <f>INDEX(Products!$A$1:$G$49,MATCH(Orders!$G733,Products!$A$1:$A$49,0),MATCH(Orders!N$1,Products!$A$1:$G$1,0))</f>
        <v>0.2</v>
      </c>
      <c r="O733" s="7">
        <f>INDEX(Products!$A$1:$G$49,MATCH(Orders!$G733,Products!$A$1:$A$49,0),MATCH(Orders!O$1,Products!$A$1:$G$1,0))</f>
        <v>3.8849999999999998</v>
      </c>
      <c r="P733" s="7">
        <f t="shared" si="11"/>
        <v>15.54</v>
      </c>
      <c r="Q733" t="str" cm="1">
        <f t="array" ref="Q733">_xlfn.IFS(L733="Rob","Robusta",L733="Exc", "Excelsa",L733="Ara", "Arabica",L733="Lib", "Liberica")</f>
        <v>Liberica</v>
      </c>
      <c r="R733" t="str" cm="1">
        <f t="array" ref="R733">_xlfn.IFS(M733="M","Medium",M733="L","Light",M733="D","Dark")</f>
        <v>Dark</v>
      </c>
    </row>
    <row r="734" spans="1:18">
      <c r="A734" s="2" t="s">
        <v>1470</v>
      </c>
      <c r="B734" s="3">
        <v>44312</v>
      </c>
      <c r="C734" s="9">
        <f>YEAR(Orders_Table[[#This Row],[Order Date]])</f>
        <v>2021</v>
      </c>
      <c r="D734" s="9">
        <f>MONTH(Orders_Table[[#This Row],[Order Date]])</f>
        <v>4</v>
      </c>
      <c r="E734" s="9" t="str" cm="1">
        <f t="array" ref="E7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34" s="2" t="s">
        <v>1471</v>
      </c>
      <c r="G734" t="s">
        <v>301</v>
      </c>
      <c r="H734" s="2">
        <v>2</v>
      </c>
      <c r="I734" s="2" t="str" cm="1">
        <f t="array" ref="I734">_xlfn.XLOOKUP(F734,Customers!A733:$A$1001,Customers!B733:$B$1001,"Not Found",0)</f>
        <v>Jacquelyn Maha</v>
      </c>
      <c r="J734" s="2" t="str" cm="1">
        <f t="array" ref="J734">IF(_xlfn.XLOOKUP(F734,Customers!A733:$A$1001,Customers!C733:$C$1001,"Not Found",0)=0,"",_xlfn.XLOOKUP(F734,Customers!A733:$A$1001,Customers!C733:$C$1001,"Not Found",0))</f>
        <v>jmahakc@cyberchimps.com</v>
      </c>
      <c r="K734" s="2" t="str" cm="1">
        <f t="array" ref="K734">_xlfn.XLOOKUP(F734,Customers!A733:$A$1001,Customers!G733:$G$1001,"Not Found",0)</f>
        <v>United States</v>
      </c>
      <c r="L734" t="str">
        <f>INDEX(Products!$A$1:$G$49,MATCH(Orders!$G734,Products!$A$1:$A$49,0),MATCH(Orders!L$1,Products!$A$1:$G$1,0))</f>
        <v>Exc</v>
      </c>
      <c r="M734" t="str">
        <f>INDEX(Products!$A$1:$G$49,MATCH(Orders!$G734,Products!$A$1:$A$49,0),MATCH(Orders!M$1,Products!$A$1:$G$1,0))</f>
        <v>L</v>
      </c>
      <c r="N734" s="4">
        <f>INDEX(Products!$A$1:$G$49,MATCH(Orders!$G734,Products!$A$1:$A$49,0),MATCH(Orders!N$1,Products!$A$1:$G$1,0))</f>
        <v>0.2</v>
      </c>
      <c r="O734" s="7">
        <f>INDEX(Products!$A$1:$G$49,MATCH(Orders!$G734,Products!$A$1:$A$49,0),MATCH(Orders!O$1,Products!$A$1:$G$1,0))</f>
        <v>4.4550000000000001</v>
      </c>
      <c r="P734" s="7">
        <f t="shared" si="11"/>
        <v>8.91</v>
      </c>
      <c r="Q734" t="str" cm="1">
        <f t="array" ref="Q734">_xlfn.IFS(L734="Rob","Robusta",L734="Exc", "Excelsa",L734="Ara", "Arabica",L734="Lib", "Liberica")</f>
        <v>Excelsa</v>
      </c>
      <c r="R734" t="str" cm="1">
        <f t="array" ref="R734">_xlfn.IFS(M734="M","Medium",M734="L","Light",M734="D","Dark")</f>
        <v>Light</v>
      </c>
    </row>
    <row r="735" spans="1:18">
      <c r="A735" s="2" t="s">
        <v>1472</v>
      </c>
      <c r="B735" s="3">
        <v>44565</v>
      </c>
      <c r="C735" s="9">
        <f>YEAR(Orders_Table[[#This Row],[Order Date]])</f>
        <v>2022</v>
      </c>
      <c r="D735" s="9">
        <f>MONTH(Orders_Table[[#This Row],[Order Date]])</f>
        <v>1</v>
      </c>
      <c r="E735" s="9" t="str" cm="1">
        <f t="array" ref="E7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35" s="2" t="s">
        <v>1473</v>
      </c>
      <c r="G735" t="s">
        <v>244</v>
      </c>
      <c r="H735" s="2">
        <v>3</v>
      </c>
      <c r="I735" s="2" t="str" cm="1">
        <f t="array" ref="I735">_xlfn.XLOOKUP(F735,Customers!A734:$A$1001,Customers!B734:$B$1001,"Not Found",0)</f>
        <v>Glory Clemon</v>
      </c>
      <c r="J735" s="2" t="str" cm="1">
        <f t="array" ref="J735">IF(_xlfn.XLOOKUP(F735,Customers!A734:$A$1001,Customers!C734:$C$1001,"Not Found",0)=0,"",_xlfn.XLOOKUP(F735,Customers!A734:$A$1001,Customers!C734:$C$1001,"Not Found",0))</f>
        <v>gclemonkd@networksolutions.com</v>
      </c>
      <c r="K735" s="2" t="str" cm="1">
        <f t="array" ref="K735">_xlfn.XLOOKUP(F735,Customers!A734:$A$1001,Customers!G734:$G$1001,"Not Found",0)</f>
        <v>United States</v>
      </c>
      <c r="L735" t="str">
        <f>INDEX(Products!$A$1:$G$49,MATCH(Orders!$G735,Products!$A$1:$A$49,0),MATCH(Orders!L$1,Products!$A$1:$G$1,0))</f>
        <v>Lib</v>
      </c>
      <c r="M735" t="str">
        <f>INDEX(Products!$A$1:$G$49,MATCH(Orders!$G735,Products!$A$1:$A$49,0),MATCH(Orders!M$1,Products!$A$1:$G$1,0))</f>
        <v>M</v>
      </c>
      <c r="N735" s="4">
        <f>INDEX(Products!$A$1:$G$49,MATCH(Orders!$G735,Products!$A$1:$A$49,0),MATCH(Orders!N$1,Products!$A$1:$G$1,0))</f>
        <v>2.5</v>
      </c>
      <c r="O735" s="7">
        <f>INDEX(Products!$A$1:$G$49,MATCH(Orders!$G735,Products!$A$1:$A$49,0),MATCH(Orders!O$1,Products!$A$1:$G$1,0))</f>
        <v>33.464999999999996</v>
      </c>
      <c r="P735" s="7">
        <f t="shared" si="11"/>
        <v>100.39499999999998</v>
      </c>
      <c r="Q735" t="str" cm="1">
        <f t="array" ref="Q735">_xlfn.IFS(L735="Rob","Robusta",L735="Exc", "Excelsa",L735="Ara", "Arabica",L735="Lib", "Liberica")</f>
        <v>Liberica</v>
      </c>
      <c r="R735" t="str" cm="1">
        <f t="array" ref="R735">_xlfn.IFS(M735="M","Medium",M735="L","Light",M735="D","Dark")</f>
        <v>Medium</v>
      </c>
    </row>
    <row r="736" spans="1:18">
      <c r="A736" s="2" t="s">
        <v>1474</v>
      </c>
      <c r="B736" s="3">
        <v>43697</v>
      </c>
      <c r="C736" s="9">
        <f>YEAR(Orders_Table[[#This Row],[Order Date]])</f>
        <v>2019</v>
      </c>
      <c r="D736" s="9">
        <f>MONTH(Orders_Table[[#This Row],[Order Date]])</f>
        <v>8</v>
      </c>
      <c r="E736" s="9" t="str" cm="1">
        <f t="array" ref="E7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736" s="2" t="s">
        <v>1475</v>
      </c>
      <c r="G736" t="s">
        <v>148</v>
      </c>
      <c r="H736" s="2">
        <v>5</v>
      </c>
      <c r="I736" s="2" t="str" cm="1">
        <f t="array" ref="I736">_xlfn.XLOOKUP(F736,Customers!A735:$A$1001,Customers!B735:$B$1001,"Not Found",0)</f>
        <v>Alica Kift</v>
      </c>
      <c r="J736" s="2" t="str" cm="1">
        <f t="array" ref="J736">IF(_xlfn.XLOOKUP(F736,Customers!A735:$A$1001,Customers!C735:$C$1001,"Not Found",0)=0,"",_xlfn.XLOOKUP(F736,Customers!A735:$A$1001,Customers!C735:$C$1001,"Not Found",0))</f>
        <v/>
      </c>
      <c r="K736" s="2" t="str" cm="1">
        <f t="array" ref="K736">_xlfn.XLOOKUP(F736,Customers!A735:$A$1001,Customers!G735:$G$1001,"Not Found",0)</f>
        <v>United States</v>
      </c>
      <c r="L736" t="str">
        <f>INDEX(Products!$A$1:$G$49,MATCH(Orders!$G736,Products!$A$1:$A$49,0),MATCH(Orders!L$1,Products!$A$1:$G$1,0))</f>
        <v>Rob</v>
      </c>
      <c r="M736" t="str">
        <f>INDEX(Products!$A$1:$G$49,MATCH(Orders!$G736,Products!$A$1:$A$49,0),MATCH(Orders!M$1,Products!$A$1:$G$1,0))</f>
        <v>D</v>
      </c>
      <c r="N736" s="4">
        <f>INDEX(Products!$A$1:$G$49,MATCH(Orders!$G736,Products!$A$1:$A$49,0),MATCH(Orders!N$1,Products!$A$1:$G$1,0))</f>
        <v>0.2</v>
      </c>
      <c r="O736" s="7">
        <f>INDEX(Products!$A$1:$G$49,MATCH(Orders!$G736,Products!$A$1:$A$49,0),MATCH(Orders!O$1,Products!$A$1:$G$1,0))</f>
        <v>2.6849999999999996</v>
      </c>
      <c r="P736" s="7">
        <f t="shared" si="11"/>
        <v>13.424999999999997</v>
      </c>
      <c r="Q736" t="str" cm="1">
        <f t="array" ref="Q736">_xlfn.IFS(L736="Rob","Robusta",L736="Exc", "Excelsa",L736="Ara", "Arabica",L736="Lib", "Liberica")</f>
        <v>Robusta</v>
      </c>
      <c r="R736" t="str" cm="1">
        <f t="array" ref="R736">_xlfn.IFS(M736="M","Medium",M736="L","Light",M736="D","Dark")</f>
        <v>Dark</v>
      </c>
    </row>
    <row r="737" spans="1:18">
      <c r="A737" s="2" t="s">
        <v>1476</v>
      </c>
      <c r="B737" s="3">
        <v>44757</v>
      </c>
      <c r="C737" s="9">
        <f>YEAR(Orders_Table[[#This Row],[Order Date]])</f>
        <v>2022</v>
      </c>
      <c r="D737" s="9">
        <f>MONTH(Orders_Table[[#This Row],[Order Date]])</f>
        <v>7</v>
      </c>
      <c r="E737" s="9" t="str" cm="1">
        <f t="array" ref="E7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37" s="2" t="s">
        <v>1477</v>
      </c>
      <c r="G737" t="s">
        <v>98</v>
      </c>
      <c r="H737" s="2">
        <v>6</v>
      </c>
      <c r="I737" s="2" t="str" cm="1">
        <f t="array" ref="I737">_xlfn.XLOOKUP(F737,Customers!A736:$A$1001,Customers!B736:$B$1001,"Not Found",0)</f>
        <v>Babb Pollins</v>
      </c>
      <c r="J737" s="2" t="str" cm="1">
        <f t="array" ref="J737">IF(_xlfn.XLOOKUP(F737,Customers!A736:$A$1001,Customers!C736:$C$1001,"Not Found",0)=0,"",_xlfn.XLOOKUP(F737,Customers!A736:$A$1001,Customers!C736:$C$1001,"Not Found",0))</f>
        <v>bpollinskf@shinystat.com</v>
      </c>
      <c r="K737" s="2" t="str" cm="1">
        <f t="array" ref="K737">_xlfn.XLOOKUP(F737,Customers!A736:$A$1001,Customers!G736:$G$1001,"Not Found",0)</f>
        <v>United States</v>
      </c>
      <c r="L737" t="str">
        <f>INDEX(Products!$A$1:$G$49,MATCH(Orders!$G737,Products!$A$1:$A$49,0),MATCH(Orders!L$1,Products!$A$1:$G$1,0))</f>
        <v>Exc</v>
      </c>
      <c r="M737" t="str">
        <f>INDEX(Products!$A$1:$G$49,MATCH(Orders!$G737,Products!$A$1:$A$49,0),MATCH(Orders!M$1,Products!$A$1:$G$1,0))</f>
        <v>D</v>
      </c>
      <c r="N737" s="4">
        <f>INDEX(Products!$A$1:$G$49,MATCH(Orders!$G737,Products!$A$1:$A$49,0),MATCH(Orders!N$1,Products!$A$1:$G$1,0))</f>
        <v>0.2</v>
      </c>
      <c r="O737" s="7">
        <f>INDEX(Products!$A$1:$G$49,MATCH(Orders!$G737,Products!$A$1:$A$49,0),MATCH(Orders!O$1,Products!$A$1:$G$1,0))</f>
        <v>3.645</v>
      </c>
      <c r="P737" s="7">
        <f t="shared" si="11"/>
        <v>21.87</v>
      </c>
      <c r="Q737" t="str" cm="1">
        <f t="array" ref="Q737">_xlfn.IFS(L737="Rob","Robusta",L737="Exc", "Excelsa",L737="Ara", "Arabica",L737="Lib", "Liberica")</f>
        <v>Excelsa</v>
      </c>
      <c r="R737" t="str" cm="1">
        <f t="array" ref="R737">_xlfn.IFS(M737="M","Medium",M737="L","Light",M737="D","Dark")</f>
        <v>Dark</v>
      </c>
    </row>
    <row r="738" spans="1:18">
      <c r="A738" s="2" t="s">
        <v>1478</v>
      </c>
      <c r="B738" s="3">
        <v>43508</v>
      </c>
      <c r="C738" s="9">
        <f>YEAR(Orders_Table[[#This Row],[Order Date]])</f>
        <v>2019</v>
      </c>
      <c r="D738" s="9">
        <f>MONTH(Orders_Table[[#This Row],[Order Date]])</f>
        <v>2</v>
      </c>
      <c r="E738" s="9" t="str" cm="1">
        <f t="array" ref="E7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38" s="2" t="s">
        <v>1479</v>
      </c>
      <c r="G738" t="s">
        <v>60</v>
      </c>
      <c r="H738" s="2">
        <v>2</v>
      </c>
      <c r="I738" s="2" t="str" cm="1">
        <f t="array" ref="I738">_xlfn.XLOOKUP(F738,Customers!A737:$A$1001,Customers!B737:$B$1001,"Not Found",0)</f>
        <v>Jarret Toye</v>
      </c>
      <c r="J738" s="2" t="str" cm="1">
        <f t="array" ref="J738">IF(_xlfn.XLOOKUP(F738,Customers!A737:$A$1001,Customers!C737:$C$1001,"Not Found",0)=0,"",_xlfn.XLOOKUP(F738,Customers!A737:$A$1001,Customers!C737:$C$1001,"Not Found",0))</f>
        <v>jtoyekg@pinterest.com</v>
      </c>
      <c r="K738" s="2" t="str" cm="1">
        <f t="array" ref="K738">_xlfn.XLOOKUP(F738,Customers!A737:$A$1001,Customers!G737:$G$1001,"Not Found",0)</f>
        <v>Ireland</v>
      </c>
      <c r="L738" t="str">
        <f>INDEX(Products!$A$1:$G$49,MATCH(Orders!$G738,Products!$A$1:$A$49,0),MATCH(Orders!L$1,Products!$A$1:$G$1,0))</f>
        <v>Lib</v>
      </c>
      <c r="M738" t="str">
        <f>INDEX(Products!$A$1:$G$49,MATCH(Orders!$G738,Products!$A$1:$A$49,0),MATCH(Orders!M$1,Products!$A$1:$G$1,0))</f>
        <v>D</v>
      </c>
      <c r="N738" s="4">
        <f>INDEX(Products!$A$1:$G$49,MATCH(Orders!$G738,Products!$A$1:$A$49,0),MATCH(Orders!N$1,Products!$A$1:$G$1,0))</f>
        <v>1</v>
      </c>
      <c r="O738" s="7">
        <f>INDEX(Products!$A$1:$G$49,MATCH(Orders!$G738,Products!$A$1:$A$49,0),MATCH(Orders!O$1,Products!$A$1:$G$1,0))</f>
        <v>12.95</v>
      </c>
      <c r="P738" s="7">
        <f t="shared" si="11"/>
        <v>25.9</v>
      </c>
      <c r="Q738" t="str" cm="1">
        <f t="array" ref="Q738">_xlfn.IFS(L738="Rob","Robusta",L738="Exc", "Excelsa",L738="Ara", "Arabica",L738="Lib", "Liberica")</f>
        <v>Liberica</v>
      </c>
      <c r="R738" t="str" cm="1">
        <f t="array" ref="R738">_xlfn.IFS(M738="M","Medium",M738="L","Light",M738="D","Dark")</f>
        <v>Dark</v>
      </c>
    </row>
    <row r="739" spans="1:18">
      <c r="A739" s="2" t="s">
        <v>1480</v>
      </c>
      <c r="B739" s="3">
        <v>44447</v>
      </c>
      <c r="C739" s="9">
        <f>YEAR(Orders_Table[[#This Row],[Order Date]])</f>
        <v>2021</v>
      </c>
      <c r="D739" s="9">
        <f>MONTH(Orders_Table[[#This Row],[Order Date]])</f>
        <v>9</v>
      </c>
      <c r="E739" s="9" t="str" cm="1">
        <f t="array" ref="E7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739" s="2" t="s">
        <v>1481</v>
      </c>
      <c r="G739" t="s">
        <v>108</v>
      </c>
      <c r="H739" s="2">
        <v>5</v>
      </c>
      <c r="I739" s="2" t="str" cm="1">
        <f t="array" ref="I739">_xlfn.XLOOKUP(F739,Customers!A738:$A$1001,Customers!B738:$B$1001,"Not Found",0)</f>
        <v>Carlie Linskill</v>
      </c>
      <c r="J739" s="2" t="str" cm="1">
        <f t="array" ref="J739">IF(_xlfn.XLOOKUP(F739,Customers!A738:$A$1001,Customers!C738:$C$1001,"Not Found",0)=0,"",_xlfn.XLOOKUP(F739,Customers!A738:$A$1001,Customers!C738:$C$1001,"Not Found",0))</f>
        <v>clinskillkh@sphinn.com</v>
      </c>
      <c r="K739" s="2" t="str" cm="1">
        <f t="array" ref="K739">_xlfn.XLOOKUP(F739,Customers!A738:$A$1001,Customers!G738:$G$1001,"Not Found",0)</f>
        <v>United States</v>
      </c>
      <c r="L739" t="str">
        <f>INDEX(Products!$A$1:$G$49,MATCH(Orders!$G739,Products!$A$1:$A$49,0),MATCH(Orders!L$1,Products!$A$1:$G$1,0))</f>
        <v>Ara</v>
      </c>
      <c r="M739" t="str">
        <f>INDEX(Products!$A$1:$G$49,MATCH(Orders!$G739,Products!$A$1:$A$49,0),MATCH(Orders!M$1,Products!$A$1:$G$1,0))</f>
        <v>M</v>
      </c>
      <c r="N739" s="4">
        <f>INDEX(Products!$A$1:$G$49,MATCH(Orders!$G739,Products!$A$1:$A$49,0),MATCH(Orders!N$1,Products!$A$1:$G$1,0))</f>
        <v>1</v>
      </c>
      <c r="O739" s="7">
        <f>INDEX(Products!$A$1:$G$49,MATCH(Orders!$G739,Products!$A$1:$A$49,0),MATCH(Orders!O$1,Products!$A$1:$G$1,0))</f>
        <v>11.25</v>
      </c>
      <c r="P739" s="7">
        <f t="shared" si="11"/>
        <v>56.25</v>
      </c>
      <c r="Q739" t="str" cm="1">
        <f t="array" ref="Q739">_xlfn.IFS(L739="Rob","Robusta",L739="Exc", "Excelsa",L739="Ara", "Arabica",L739="Lib", "Liberica")</f>
        <v>Arabica</v>
      </c>
      <c r="R739" t="str" cm="1">
        <f t="array" ref="R739">_xlfn.IFS(M739="M","Medium",M739="L","Light",M739="D","Dark")</f>
        <v>Medium</v>
      </c>
    </row>
    <row r="740" spans="1:18">
      <c r="A740" s="2" t="s">
        <v>1482</v>
      </c>
      <c r="B740" s="3">
        <v>43812</v>
      </c>
      <c r="C740" s="9">
        <f>YEAR(Orders_Table[[#This Row],[Order Date]])</f>
        <v>2019</v>
      </c>
      <c r="D740" s="9">
        <f>MONTH(Orders_Table[[#This Row],[Order Date]])</f>
        <v>12</v>
      </c>
      <c r="E740" s="9" t="str" cm="1">
        <f t="array" ref="E7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40" s="2" t="s">
        <v>1483</v>
      </c>
      <c r="G740" t="s">
        <v>229</v>
      </c>
      <c r="H740" s="2">
        <v>3</v>
      </c>
      <c r="I740" s="2" t="str" cm="1">
        <f t="array" ref="I740">_xlfn.XLOOKUP(F740,Customers!A739:$A$1001,Customers!B739:$B$1001,"Not Found",0)</f>
        <v>Natal Vigrass</v>
      </c>
      <c r="J740" s="2" t="str" cm="1">
        <f t="array" ref="J740">IF(_xlfn.XLOOKUP(F740,Customers!A739:$A$1001,Customers!C739:$C$1001,"Not Found",0)=0,"",_xlfn.XLOOKUP(F740,Customers!A739:$A$1001,Customers!C739:$C$1001,"Not Found",0))</f>
        <v>nvigrasski@ezinearticles.com</v>
      </c>
      <c r="K740" s="2" t="str" cm="1">
        <f t="array" ref="K740">_xlfn.XLOOKUP(F740,Customers!A739:$A$1001,Customers!G739:$G$1001,"Not Found",0)</f>
        <v>United Kingdom</v>
      </c>
      <c r="L740" t="str">
        <f>INDEX(Products!$A$1:$G$49,MATCH(Orders!$G740,Products!$A$1:$A$49,0),MATCH(Orders!L$1,Products!$A$1:$G$1,0))</f>
        <v>Rob</v>
      </c>
      <c r="M740" t="str">
        <f>INDEX(Products!$A$1:$G$49,MATCH(Orders!$G740,Products!$A$1:$A$49,0),MATCH(Orders!M$1,Products!$A$1:$G$1,0))</f>
        <v>L</v>
      </c>
      <c r="N740" s="4">
        <f>INDEX(Products!$A$1:$G$49,MATCH(Orders!$G740,Products!$A$1:$A$49,0),MATCH(Orders!N$1,Products!$A$1:$G$1,0))</f>
        <v>0.2</v>
      </c>
      <c r="O740" s="7">
        <f>INDEX(Products!$A$1:$G$49,MATCH(Orders!$G740,Products!$A$1:$A$49,0),MATCH(Orders!O$1,Products!$A$1:$G$1,0))</f>
        <v>3.5849999999999995</v>
      </c>
      <c r="P740" s="7">
        <f t="shared" si="11"/>
        <v>10.754999999999999</v>
      </c>
      <c r="Q740" t="str" cm="1">
        <f t="array" ref="Q740">_xlfn.IFS(L740="Rob","Robusta",L740="Exc", "Excelsa",L740="Ara", "Arabica",L740="Lib", "Liberica")</f>
        <v>Robusta</v>
      </c>
      <c r="R740" t="str" cm="1">
        <f t="array" ref="R740">_xlfn.IFS(M740="M","Medium",M740="L","Light",M740="D","Dark")</f>
        <v>Light</v>
      </c>
    </row>
    <row r="741" spans="1:18">
      <c r="A741" s="2" t="s">
        <v>1484</v>
      </c>
      <c r="B741" s="3">
        <v>44433</v>
      </c>
      <c r="C741" s="9">
        <f>YEAR(Orders_Table[[#This Row],[Order Date]])</f>
        <v>2021</v>
      </c>
      <c r="D741" s="9">
        <f>MONTH(Orders_Table[[#This Row],[Order Date]])</f>
        <v>8</v>
      </c>
      <c r="E741" s="9" t="str" cm="1">
        <f t="array" ref="E7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741" s="2" t="s">
        <v>1391</v>
      </c>
      <c r="G741" t="s">
        <v>98</v>
      </c>
      <c r="H741" s="2">
        <v>5</v>
      </c>
      <c r="I741" s="2" t="str" cm="1">
        <f t="array" ref="I741">_xlfn.XLOOKUP(F741,Customers!A740:$A$1001,Customers!B740:$B$1001,"Not Found",0)</f>
        <v>Not Found</v>
      </c>
      <c r="J741" s="2" t="str" cm="1">
        <f t="array" ref="J741">IF(_xlfn.XLOOKUP(F741,Customers!A740:$A$1001,Customers!C740:$C$1001,"Not Found",0)=0,"",_xlfn.XLOOKUP(F741,Customers!A740:$A$1001,Customers!C740:$C$1001,"Not Found",0))</f>
        <v>Not Found</v>
      </c>
      <c r="K741" s="2" t="str" cm="1">
        <f t="array" ref="K741">_xlfn.XLOOKUP(F741,Customers!A740:$A$1001,Customers!G740:$G$1001,"Not Found",0)</f>
        <v>Not Found</v>
      </c>
      <c r="L741" t="str">
        <f>INDEX(Products!$A$1:$G$49,MATCH(Orders!$G741,Products!$A$1:$A$49,0),MATCH(Orders!L$1,Products!$A$1:$G$1,0))</f>
        <v>Exc</v>
      </c>
      <c r="M741" t="str">
        <f>INDEX(Products!$A$1:$G$49,MATCH(Orders!$G741,Products!$A$1:$A$49,0),MATCH(Orders!M$1,Products!$A$1:$G$1,0))</f>
        <v>D</v>
      </c>
      <c r="N741" s="4">
        <f>INDEX(Products!$A$1:$G$49,MATCH(Orders!$G741,Products!$A$1:$A$49,0),MATCH(Orders!N$1,Products!$A$1:$G$1,0))</f>
        <v>0.2</v>
      </c>
      <c r="O741" s="7">
        <f>INDEX(Products!$A$1:$G$49,MATCH(Orders!$G741,Products!$A$1:$A$49,0),MATCH(Orders!O$1,Products!$A$1:$G$1,0))</f>
        <v>3.645</v>
      </c>
      <c r="P741" s="7">
        <f t="shared" si="11"/>
        <v>18.225000000000001</v>
      </c>
      <c r="Q741" t="str" cm="1">
        <f t="array" ref="Q741">_xlfn.IFS(L741="Rob","Robusta",L741="Exc", "Excelsa",L741="Ara", "Arabica",L741="Lib", "Liberica")</f>
        <v>Excelsa</v>
      </c>
      <c r="R741" t="str" cm="1">
        <f t="array" ref="R741">_xlfn.IFS(M741="M","Medium",M741="L","Light",M741="D","Dark")</f>
        <v>Dark</v>
      </c>
    </row>
    <row r="742" spans="1:18">
      <c r="A742" s="2" t="s">
        <v>1485</v>
      </c>
      <c r="B742" s="3">
        <v>44643</v>
      </c>
      <c r="C742" s="9">
        <f>YEAR(Orders_Table[[#This Row],[Order Date]])</f>
        <v>2022</v>
      </c>
      <c r="D742" s="9">
        <f>MONTH(Orders_Table[[#This Row],[Order Date]])</f>
        <v>3</v>
      </c>
      <c r="E742" s="9" t="str" cm="1">
        <f t="array" ref="E7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42" s="2" t="s">
        <v>1486</v>
      </c>
      <c r="G742" t="s">
        <v>204</v>
      </c>
      <c r="H742" s="2">
        <v>4</v>
      </c>
      <c r="I742" s="2" t="str" cm="1">
        <f t="array" ref="I742">_xlfn.XLOOKUP(F742,Customers!A741:$A$1001,Customers!B741:$B$1001,"Not Found",0)</f>
        <v>Kandace Cragell</v>
      </c>
      <c r="J742" s="2" t="str" cm="1">
        <f t="array" ref="J742">IF(_xlfn.XLOOKUP(F742,Customers!A741:$A$1001,Customers!C741:$C$1001,"Not Found",0)=0,"",_xlfn.XLOOKUP(F742,Customers!A741:$A$1001,Customers!C741:$C$1001,"Not Found",0))</f>
        <v>kcragellkk@google.com</v>
      </c>
      <c r="K742" s="2" t="str" cm="1">
        <f t="array" ref="K742">_xlfn.XLOOKUP(F742,Customers!A741:$A$1001,Customers!G741:$G$1001,"Not Found",0)</f>
        <v>Ireland</v>
      </c>
      <c r="L742" t="str">
        <f>INDEX(Products!$A$1:$G$49,MATCH(Orders!$G742,Products!$A$1:$A$49,0),MATCH(Orders!L$1,Products!$A$1:$G$1,0))</f>
        <v>Rob</v>
      </c>
      <c r="M742" t="str">
        <f>INDEX(Products!$A$1:$G$49,MATCH(Orders!$G742,Products!$A$1:$A$49,0),MATCH(Orders!M$1,Products!$A$1:$G$1,0))</f>
        <v>L</v>
      </c>
      <c r="N742" s="4">
        <f>INDEX(Products!$A$1:$G$49,MATCH(Orders!$G742,Products!$A$1:$A$49,0),MATCH(Orders!N$1,Products!$A$1:$G$1,0))</f>
        <v>0.5</v>
      </c>
      <c r="O742" s="7">
        <f>INDEX(Products!$A$1:$G$49,MATCH(Orders!$G742,Products!$A$1:$A$49,0),MATCH(Orders!O$1,Products!$A$1:$G$1,0))</f>
        <v>7.169999999999999</v>
      </c>
      <c r="P742" s="7">
        <f t="shared" si="11"/>
        <v>28.679999999999996</v>
      </c>
      <c r="Q742" t="str" cm="1">
        <f t="array" ref="Q742">_xlfn.IFS(L742="Rob","Robusta",L742="Exc", "Excelsa",L742="Ara", "Arabica",L742="Lib", "Liberica")</f>
        <v>Robusta</v>
      </c>
      <c r="R742" t="str" cm="1">
        <f t="array" ref="R742">_xlfn.IFS(M742="M","Medium",M742="L","Light",M742="D","Dark")</f>
        <v>Light</v>
      </c>
    </row>
    <row r="743" spans="1:18">
      <c r="A743" s="2" t="s">
        <v>1487</v>
      </c>
      <c r="B743" s="3">
        <v>43566</v>
      </c>
      <c r="C743" s="9">
        <f>YEAR(Orders_Table[[#This Row],[Order Date]])</f>
        <v>2019</v>
      </c>
      <c r="D743" s="9">
        <f>MONTH(Orders_Table[[#This Row],[Order Date]])</f>
        <v>4</v>
      </c>
      <c r="E743" s="9" t="str" cm="1">
        <f t="array" ref="E7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43" s="2" t="s">
        <v>1488</v>
      </c>
      <c r="G743" t="s">
        <v>124</v>
      </c>
      <c r="H743" s="2">
        <v>2</v>
      </c>
      <c r="I743" s="2" t="str" cm="1">
        <f t="array" ref="I743">_xlfn.XLOOKUP(F743,Customers!A742:$A$1001,Customers!B742:$B$1001,"Not Found",0)</f>
        <v>Lyon Ibert</v>
      </c>
      <c r="J743" s="2" t="str" cm="1">
        <f t="array" ref="J743">IF(_xlfn.XLOOKUP(F743,Customers!A742:$A$1001,Customers!C742:$C$1001,"Not Found",0)=0,"",_xlfn.XLOOKUP(F743,Customers!A742:$A$1001,Customers!C742:$C$1001,"Not Found",0))</f>
        <v>libertkl@huffingtonpost.com</v>
      </c>
      <c r="K743" s="2" t="str" cm="1">
        <f t="array" ref="K743">_xlfn.XLOOKUP(F743,Customers!A742:$A$1001,Customers!G742:$G$1001,"Not Found",0)</f>
        <v>United States</v>
      </c>
      <c r="L743" t="str">
        <f>INDEX(Products!$A$1:$G$49,MATCH(Orders!$G743,Products!$A$1:$A$49,0),MATCH(Orders!L$1,Products!$A$1:$G$1,0))</f>
        <v>Lib</v>
      </c>
      <c r="M743" t="str">
        <f>INDEX(Products!$A$1:$G$49,MATCH(Orders!$G743,Products!$A$1:$A$49,0),MATCH(Orders!M$1,Products!$A$1:$G$1,0))</f>
        <v>M</v>
      </c>
      <c r="N743" s="4">
        <f>INDEX(Products!$A$1:$G$49,MATCH(Orders!$G743,Products!$A$1:$A$49,0),MATCH(Orders!N$1,Products!$A$1:$G$1,0))</f>
        <v>0.2</v>
      </c>
      <c r="O743" s="7">
        <f>INDEX(Products!$A$1:$G$49,MATCH(Orders!$G743,Products!$A$1:$A$49,0),MATCH(Orders!O$1,Products!$A$1:$G$1,0))</f>
        <v>4.3650000000000002</v>
      </c>
      <c r="P743" s="7">
        <f t="shared" si="11"/>
        <v>8.73</v>
      </c>
      <c r="Q743" t="str" cm="1">
        <f t="array" ref="Q743">_xlfn.IFS(L743="Rob","Robusta",L743="Exc", "Excelsa",L743="Ara", "Arabica",L743="Lib", "Liberica")</f>
        <v>Liberica</v>
      </c>
      <c r="R743" t="str" cm="1">
        <f t="array" ref="R743">_xlfn.IFS(M743="M","Medium",M743="L","Light",M743="D","Dark")</f>
        <v>Medium</v>
      </c>
    </row>
    <row r="744" spans="1:18">
      <c r="A744" s="2" t="s">
        <v>1489</v>
      </c>
      <c r="B744" s="3">
        <v>44133</v>
      </c>
      <c r="C744" s="9">
        <f>YEAR(Orders_Table[[#This Row],[Order Date]])</f>
        <v>2020</v>
      </c>
      <c r="D744" s="9">
        <f>MONTH(Orders_Table[[#This Row],[Order Date]])</f>
        <v>10</v>
      </c>
      <c r="E744" s="9" t="str" cm="1">
        <f t="array" ref="E7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44" s="2" t="s">
        <v>1490</v>
      </c>
      <c r="G744" t="s">
        <v>143</v>
      </c>
      <c r="H744" s="2">
        <v>4</v>
      </c>
      <c r="I744" s="2" t="str" cm="1">
        <f t="array" ref="I744">_xlfn.XLOOKUP(F744,Customers!A743:$A$1001,Customers!B743:$B$1001,"Not Found",0)</f>
        <v>Reese Lidgey</v>
      </c>
      <c r="J744" s="2" t="str" cm="1">
        <f t="array" ref="J744">IF(_xlfn.XLOOKUP(F744,Customers!A743:$A$1001,Customers!C743:$C$1001,"Not Found",0)=0,"",_xlfn.XLOOKUP(F744,Customers!A743:$A$1001,Customers!C743:$C$1001,"Not Found",0))</f>
        <v>rlidgeykm@vimeo.com</v>
      </c>
      <c r="K744" s="2" t="str" cm="1">
        <f t="array" ref="K744">_xlfn.XLOOKUP(F744,Customers!A743:$A$1001,Customers!G743:$G$1001,"Not Found",0)</f>
        <v>United States</v>
      </c>
      <c r="L744" t="str">
        <f>INDEX(Products!$A$1:$G$49,MATCH(Orders!$G744,Products!$A$1:$A$49,0),MATCH(Orders!L$1,Products!$A$1:$G$1,0))</f>
        <v>Lib</v>
      </c>
      <c r="M744" t="str">
        <f>INDEX(Products!$A$1:$G$49,MATCH(Orders!$G744,Products!$A$1:$A$49,0),MATCH(Orders!M$1,Products!$A$1:$G$1,0))</f>
        <v>M</v>
      </c>
      <c r="N744" s="4">
        <f>INDEX(Products!$A$1:$G$49,MATCH(Orders!$G744,Products!$A$1:$A$49,0),MATCH(Orders!N$1,Products!$A$1:$G$1,0))</f>
        <v>1</v>
      </c>
      <c r="O744" s="7">
        <f>INDEX(Products!$A$1:$G$49,MATCH(Orders!$G744,Products!$A$1:$A$49,0),MATCH(Orders!O$1,Products!$A$1:$G$1,0))</f>
        <v>14.55</v>
      </c>
      <c r="P744" s="7">
        <f t="shared" si="11"/>
        <v>58.2</v>
      </c>
      <c r="Q744" t="str" cm="1">
        <f t="array" ref="Q744">_xlfn.IFS(L744="Rob","Robusta",L744="Exc", "Excelsa",L744="Ara", "Arabica",L744="Lib", "Liberica")</f>
        <v>Liberica</v>
      </c>
      <c r="R744" t="str" cm="1">
        <f t="array" ref="R744">_xlfn.IFS(M744="M","Medium",M744="L","Light",M744="D","Dark")</f>
        <v>Medium</v>
      </c>
    </row>
    <row r="745" spans="1:18">
      <c r="A745" s="2" t="s">
        <v>1491</v>
      </c>
      <c r="B745" s="3">
        <v>44042</v>
      </c>
      <c r="C745" s="9">
        <f>YEAR(Orders_Table[[#This Row],[Order Date]])</f>
        <v>2020</v>
      </c>
      <c r="D745" s="9">
        <f>MONTH(Orders_Table[[#This Row],[Order Date]])</f>
        <v>7</v>
      </c>
      <c r="E745" s="9" t="str" cm="1">
        <f t="array" ref="E7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45" s="2" t="s">
        <v>1492</v>
      </c>
      <c r="G745" t="s">
        <v>119</v>
      </c>
      <c r="H745" s="2">
        <v>3</v>
      </c>
      <c r="I745" s="2" t="str" cm="1">
        <f t="array" ref="I745">_xlfn.XLOOKUP(F745,Customers!A744:$A$1001,Customers!B744:$B$1001,"Not Found",0)</f>
        <v>Tersina Castagne</v>
      </c>
      <c r="J745" s="2" t="str" cm="1">
        <f t="array" ref="J745">IF(_xlfn.XLOOKUP(F745,Customers!A744:$A$1001,Customers!C744:$C$1001,"Not Found",0)=0,"",_xlfn.XLOOKUP(F745,Customers!A744:$A$1001,Customers!C744:$C$1001,"Not Found",0))</f>
        <v>tcastagnekn@wikia.com</v>
      </c>
      <c r="K745" s="2" t="str" cm="1">
        <f t="array" ref="K745">_xlfn.XLOOKUP(F745,Customers!A744:$A$1001,Customers!G744:$G$1001,"Not Found",0)</f>
        <v>United States</v>
      </c>
      <c r="L745" t="str">
        <f>INDEX(Products!$A$1:$G$49,MATCH(Orders!$G745,Products!$A$1:$A$49,0),MATCH(Orders!L$1,Products!$A$1:$G$1,0))</f>
        <v>Ara</v>
      </c>
      <c r="M745" t="str">
        <f>INDEX(Products!$A$1:$G$49,MATCH(Orders!$G745,Products!$A$1:$A$49,0),MATCH(Orders!M$1,Products!$A$1:$G$1,0))</f>
        <v>D</v>
      </c>
      <c r="N745" s="4">
        <f>INDEX(Products!$A$1:$G$49,MATCH(Orders!$G745,Products!$A$1:$A$49,0),MATCH(Orders!N$1,Products!$A$1:$G$1,0))</f>
        <v>0.5</v>
      </c>
      <c r="O745" s="7">
        <f>INDEX(Products!$A$1:$G$49,MATCH(Orders!$G745,Products!$A$1:$A$49,0),MATCH(Orders!O$1,Products!$A$1:$G$1,0))</f>
        <v>5.97</v>
      </c>
      <c r="P745" s="7">
        <f t="shared" si="11"/>
        <v>17.91</v>
      </c>
      <c r="Q745" t="str" cm="1">
        <f t="array" ref="Q745">_xlfn.IFS(L745="Rob","Robusta",L745="Exc", "Excelsa",L745="Ara", "Arabica",L745="Lib", "Liberica")</f>
        <v>Arabica</v>
      </c>
      <c r="R745" t="str" cm="1">
        <f t="array" ref="R745">_xlfn.IFS(M745="M","Medium",M745="L","Light",M745="D","Dark")</f>
        <v>Dark</v>
      </c>
    </row>
    <row r="746" spans="1:18">
      <c r="A746" s="2" t="s">
        <v>1493</v>
      </c>
      <c r="B746" s="3">
        <v>43539</v>
      </c>
      <c r="C746" s="9">
        <f>YEAR(Orders_Table[[#This Row],[Order Date]])</f>
        <v>2019</v>
      </c>
      <c r="D746" s="9">
        <f>MONTH(Orders_Table[[#This Row],[Order Date]])</f>
        <v>3</v>
      </c>
      <c r="E746" s="9" t="str" cm="1">
        <f t="array" ref="E7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46" s="2" t="s">
        <v>1494</v>
      </c>
      <c r="G746" t="s">
        <v>209</v>
      </c>
      <c r="H746" s="2">
        <v>6</v>
      </c>
      <c r="I746" s="2" t="str" cm="1">
        <f t="array" ref="I746">_xlfn.XLOOKUP(F746,Customers!A745:$A$1001,Customers!B745:$B$1001,"Not Found",0)</f>
        <v>Samuele Klaaassen</v>
      </c>
      <c r="J746" s="2" t="str" cm="1">
        <f t="array" ref="J746">IF(_xlfn.XLOOKUP(F746,Customers!A745:$A$1001,Customers!C745:$C$1001,"Not Found",0)=0,"",_xlfn.XLOOKUP(F746,Customers!A745:$A$1001,Customers!C745:$C$1001,"Not Found",0))</f>
        <v/>
      </c>
      <c r="K746" s="2" t="str" cm="1">
        <f t="array" ref="K746">_xlfn.XLOOKUP(F746,Customers!A745:$A$1001,Customers!G745:$G$1001,"Not Found",0)</f>
        <v>United States</v>
      </c>
      <c r="L746" t="str">
        <f>INDEX(Products!$A$1:$G$49,MATCH(Orders!$G746,Products!$A$1:$A$49,0),MATCH(Orders!L$1,Products!$A$1:$G$1,0))</f>
        <v>Rob</v>
      </c>
      <c r="M746" t="str">
        <f>INDEX(Products!$A$1:$G$49,MATCH(Orders!$G746,Products!$A$1:$A$49,0),MATCH(Orders!M$1,Products!$A$1:$G$1,0))</f>
        <v>M</v>
      </c>
      <c r="N746" s="4">
        <f>INDEX(Products!$A$1:$G$49,MATCH(Orders!$G746,Products!$A$1:$A$49,0),MATCH(Orders!N$1,Products!$A$1:$G$1,0))</f>
        <v>0.2</v>
      </c>
      <c r="O746" s="7">
        <f>INDEX(Products!$A$1:$G$49,MATCH(Orders!$G746,Products!$A$1:$A$49,0),MATCH(Orders!O$1,Products!$A$1:$G$1,0))</f>
        <v>2.9849999999999999</v>
      </c>
      <c r="P746" s="7">
        <f t="shared" si="11"/>
        <v>17.91</v>
      </c>
      <c r="Q746" t="str" cm="1">
        <f t="array" ref="Q746">_xlfn.IFS(L746="Rob","Robusta",L746="Exc", "Excelsa",L746="Ara", "Arabica",L746="Lib", "Liberica")</f>
        <v>Robusta</v>
      </c>
      <c r="R746" t="str" cm="1">
        <f t="array" ref="R746">_xlfn.IFS(M746="M","Medium",M746="L","Light",M746="D","Dark")</f>
        <v>Medium</v>
      </c>
    </row>
    <row r="747" spans="1:18">
      <c r="A747" s="2" t="s">
        <v>1495</v>
      </c>
      <c r="B747" s="3">
        <v>44557</v>
      </c>
      <c r="C747" s="9">
        <f>YEAR(Orders_Table[[#This Row],[Order Date]])</f>
        <v>2021</v>
      </c>
      <c r="D747" s="9">
        <f>MONTH(Orders_Table[[#This Row],[Order Date]])</f>
        <v>12</v>
      </c>
      <c r="E747" s="9" t="str" cm="1">
        <f t="array" ref="E7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47" s="2" t="s">
        <v>1496</v>
      </c>
      <c r="G747" t="s">
        <v>63</v>
      </c>
      <c r="H747" s="2">
        <v>2</v>
      </c>
      <c r="I747" s="2" t="str" cm="1">
        <f t="array" ref="I747">_xlfn.XLOOKUP(F747,Customers!A746:$A$1001,Customers!B746:$B$1001,"Not Found",0)</f>
        <v>Jordana Halden</v>
      </c>
      <c r="J747" s="2" t="str" cm="1">
        <f t="array" ref="J747">IF(_xlfn.XLOOKUP(F747,Customers!A746:$A$1001,Customers!C746:$C$1001,"Not Found",0)=0,"",_xlfn.XLOOKUP(F747,Customers!A746:$A$1001,Customers!C746:$C$1001,"Not Found",0))</f>
        <v>jhaldenkp@comcast.net</v>
      </c>
      <c r="K747" s="2" t="str" cm="1">
        <f t="array" ref="K747">_xlfn.XLOOKUP(F747,Customers!A746:$A$1001,Customers!G746:$G$1001,"Not Found",0)</f>
        <v>Ireland</v>
      </c>
      <c r="L747" t="str">
        <f>INDEX(Products!$A$1:$G$49,MATCH(Orders!$G747,Products!$A$1:$A$49,0),MATCH(Orders!L$1,Products!$A$1:$G$1,0))</f>
        <v>Exc</v>
      </c>
      <c r="M747" t="str">
        <f>INDEX(Products!$A$1:$G$49,MATCH(Orders!$G747,Products!$A$1:$A$49,0),MATCH(Orders!M$1,Products!$A$1:$G$1,0))</f>
        <v>D</v>
      </c>
      <c r="N747" s="4">
        <f>INDEX(Products!$A$1:$G$49,MATCH(Orders!$G747,Products!$A$1:$A$49,0),MATCH(Orders!N$1,Products!$A$1:$G$1,0))</f>
        <v>0.5</v>
      </c>
      <c r="O747" s="7">
        <f>INDEX(Products!$A$1:$G$49,MATCH(Orders!$G747,Products!$A$1:$A$49,0),MATCH(Orders!O$1,Products!$A$1:$G$1,0))</f>
        <v>7.29</v>
      </c>
      <c r="P747" s="7">
        <f t="shared" si="11"/>
        <v>14.58</v>
      </c>
      <c r="Q747" t="str" cm="1">
        <f t="array" ref="Q747">_xlfn.IFS(L747="Rob","Robusta",L747="Exc", "Excelsa",L747="Ara", "Arabica",L747="Lib", "Liberica")</f>
        <v>Excelsa</v>
      </c>
      <c r="R747" t="str" cm="1">
        <f t="array" ref="R747">_xlfn.IFS(M747="M","Medium",M747="L","Light",M747="D","Dark")</f>
        <v>Dark</v>
      </c>
    </row>
    <row r="748" spans="1:18">
      <c r="A748" s="2" t="s">
        <v>1497</v>
      </c>
      <c r="B748" s="3">
        <v>43741</v>
      </c>
      <c r="C748" s="9">
        <f>YEAR(Orders_Table[[#This Row],[Order Date]])</f>
        <v>2019</v>
      </c>
      <c r="D748" s="9">
        <f>MONTH(Orders_Table[[#This Row],[Order Date]])</f>
        <v>10</v>
      </c>
      <c r="E748" s="9" t="str" cm="1">
        <f t="array" ref="E7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48" s="2" t="s">
        <v>1498</v>
      </c>
      <c r="G748" t="s">
        <v>108</v>
      </c>
      <c r="H748" s="2">
        <v>3</v>
      </c>
      <c r="I748" s="2" t="str" cm="1">
        <f t="array" ref="I748">_xlfn.XLOOKUP(F748,Customers!A747:$A$1001,Customers!B747:$B$1001,"Not Found",0)</f>
        <v>Hussein Olliff</v>
      </c>
      <c r="J748" s="2" t="str" cm="1">
        <f t="array" ref="J748">IF(_xlfn.XLOOKUP(F748,Customers!A747:$A$1001,Customers!C747:$C$1001,"Not Found",0)=0,"",_xlfn.XLOOKUP(F748,Customers!A747:$A$1001,Customers!C747:$C$1001,"Not Found",0))</f>
        <v>holliffkq@sciencedirect.com</v>
      </c>
      <c r="K748" s="2" t="str" cm="1">
        <f t="array" ref="K748">_xlfn.XLOOKUP(F748,Customers!A747:$A$1001,Customers!G747:$G$1001,"Not Found",0)</f>
        <v>Ireland</v>
      </c>
      <c r="L748" t="str">
        <f>INDEX(Products!$A$1:$G$49,MATCH(Orders!$G748,Products!$A$1:$A$49,0),MATCH(Orders!L$1,Products!$A$1:$G$1,0))</f>
        <v>Ara</v>
      </c>
      <c r="M748" t="str">
        <f>INDEX(Products!$A$1:$G$49,MATCH(Orders!$G748,Products!$A$1:$A$49,0),MATCH(Orders!M$1,Products!$A$1:$G$1,0))</f>
        <v>M</v>
      </c>
      <c r="N748" s="4">
        <f>INDEX(Products!$A$1:$G$49,MATCH(Orders!$G748,Products!$A$1:$A$49,0),MATCH(Orders!N$1,Products!$A$1:$G$1,0))</f>
        <v>1</v>
      </c>
      <c r="O748" s="7">
        <f>INDEX(Products!$A$1:$G$49,MATCH(Orders!$G748,Products!$A$1:$A$49,0),MATCH(Orders!O$1,Products!$A$1:$G$1,0))</f>
        <v>11.25</v>
      </c>
      <c r="P748" s="7">
        <f t="shared" si="11"/>
        <v>33.75</v>
      </c>
      <c r="Q748" t="str" cm="1">
        <f t="array" ref="Q748">_xlfn.IFS(L748="Rob","Robusta",L748="Exc", "Excelsa",L748="Ara", "Arabica",L748="Lib", "Liberica")</f>
        <v>Arabica</v>
      </c>
      <c r="R748" t="str" cm="1">
        <f t="array" ref="R748">_xlfn.IFS(M748="M","Medium",M748="L","Light",M748="D","Dark")</f>
        <v>Medium</v>
      </c>
    </row>
    <row r="749" spans="1:18">
      <c r="A749" s="2" t="s">
        <v>1499</v>
      </c>
      <c r="B749" s="3">
        <v>43501</v>
      </c>
      <c r="C749" s="9">
        <f>YEAR(Orders_Table[[#This Row],[Order Date]])</f>
        <v>2019</v>
      </c>
      <c r="D749" s="9">
        <f>MONTH(Orders_Table[[#This Row],[Order Date]])</f>
        <v>2</v>
      </c>
      <c r="E749" s="9" t="str" cm="1">
        <f t="array" ref="E7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49" s="2" t="s">
        <v>1500</v>
      </c>
      <c r="G749" t="s">
        <v>125</v>
      </c>
      <c r="H749" s="2">
        <v>4</v>
      </c>
      <c r="I749" s="2" t="str" cm="1">
        <f t="array" ref="I749">_xlfn.XLOOKUP(F749,Customers!A748:$A$1001,Customers!B748:$B$1001,"Not Found",0)</f>
        <v>Teddi Quadri</v>
      </c>
      <c r="J749" s="2" t="str" cm="1">
        <f t="array" ref="J749">IF(_xlfn.XLOOKUP(F749,Customers!A748:$A$1001,Customers!C748:$C$1001,"Not Found",0)=0,"",_xlfn.XLOOKUP(F749,Customers!A748:$A$1001,Customers!C748:$C$1001,"Not Found",0))</f>
        <v>tquadrikr@opensource.org</v>
      </c>
      <c r="K749" s="2" t="str" cm="1">
        <f t="array" ref="K749">_xlfn.XLOOKUP(F749,Customers!A748:$A$1001,Customers!G748:$G$1001,"Not Found",0)</f>
        <v>Ireland</v>
      </c>
      <c r="L749" t="str">
        <f>INDEX(Products!$A$1:$G$49,MATCH(Orders!$G749,Products!$A$1:$A$49,0),MATCH(Orders!L$1,Products!$A$1:$G$1,0))</f>
        <v>Lib</v>
      </c>
      <c r="M749" t="str">
        <f>INDEX(Products!$A$1:$G$49,MATCH(Orders!$G749,Products!$A$1:$A$49,0),MATCH(Orders!M$1,Products!$A$1:$G$1,0))</f>
        <v>M</v>
      </c>
      <c r="N749" s="4">
        <f>INDEX(Products!$A$1:$G$49,MATCH(Orders!$G749,Products!$A$1:$A$49,0),MATCH(Orders!N$1,Products!$A$1:$G$1,0))</f>
        <v>0.5</v>
      </c>
      <c r="O749" s="7">
        <f>INDEX(Products!$A$1:$G$49,MATCH(Orders!$G749,Products!$A$1:$A$49,0),MATCH(Orders!O$1,Products!$A$1:$G$1,0))</f>
        <v>8.73</v>
      </c>
      <c r="P749" s="7">
        <f t="shared" si="11"/>
        <v>34.92</v>
      </c>
      <c r="Q749" t="str" cm="1">
        <f t="array" ref="Q749">_xlfn.IFS(L749="Rob","Robusta",L749="Exc", "Excelsa",L749="Ara", "Arabica",L749="Lib", "Liberica")</f>
        <v>Liberica</v>
      </c>
      <c r="R749" t="str" cm="1">
        <f t="array" ref="R749">_xlfn.IFS(M749="M","Medium",M749="L","Light",M749="D","Dark")</f>
        <v>Medium</v>
      </c>
    </row>
    <row r="750" spans="1:18">
      <c r="A750" s="2" t="s">
        <v>1501</v>
      </c>
      <c r="B750" s="3">
        <v>44074</v>
      </c>
      <c r="C750" s="9">
        <f>YEAR(Orders_Table[[#This Row],[Order Date]])</f>
        <v>2020</v>
      </c>
      <c r="D750" s="9">
        <f>MONTH(Orders_Table[[#This Row],[Order Date]])</f>
        <v>8</v>
      </c>
      <c r="E750" s="9" t="str" cm="1">
        <f t="array" ref="E7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750" s="2" t="s">
        <v>1502</v>
      </c>
      <c r="G750" t="s">
        <v>63</v>
      </c>
      <c r="H750" s="2">
        <v>2</v>
      </c>
      <c r="I750" s="2" t="str" cm="1">
        <f t="array" ref="I750">_xlfn.XLOOKUP(F750,Customers!A749:$A$1001,Customers!B749:$B$1001,"Not Found",0)</f>
        <v>Felita Eshmade</v>
      </c>
      <c r="J750" s="2" t="str" cm="1">
        <f t="array" ref="J750">IF(_xlfn.XLOOKUP(F750,Customers!A749:$A$1001,Customers!C749:$C$1001,"Not Found",0)=0,"",_xlfn.XLOOKUP(F750,Customers!A749:$A$1001,Customers!C749:$C$1001,"Not Found",0))</f>
        <v>feshmadeks@umn.edu</v>
      </c>
      <c r="K750" s="2" t="str" cm="1">
        <f t="array" ref="K750">_xlfn.XLOOKUP(F750,Customers!A749:$A$1001,Customers!G749:$G$1001,"Not Found",0)</f>
        <v>United States</v>
      </c>
      <c r="L750" t="str">
        <f>INDEX(Products!$A$1:$G$49,MATCH(Orders!$G750,Products!$A$1:$A$49,0),MATCH(Orders!L$1,Products!$A$1:$G$1,0))</f>
        <v>Exc</v>
      </c>
      <c r="M750" t="str">
        <f>INDEX(Products!$A$1:$G$49,MATCH(Orders!$G750,Products!$A$1:$A$49,0),MATCH(Orders!M$1,Products!$A$1:$G$1,0))</f>
        <v>D</v>
      </c>
      <c r="N750" s="4">
        <f>INDEX(Products!$A$1:$G$49,MATCH(Orders!$G750,Products!$A$1:$A$49,0),MATCH(Orders!N$1,Products!$A$1:$G$1,0))</f>
        <v>0.5</v>
      </c>
      <c r="O750" s="7">
        <f>INDEX(Products!$A$1:$G$49,MATCH(Orders!$G750,Products!$A$1:$A$49,0),MATCH(Orders!O$1,Products!$A$1:$G$1,0))</f>
        <v>7.29</v>
      </c>
      <c r="P750" s="7">
        <f t="shared" si="11"/>
        <v>14.58</v>
      </c>
      <c r="Q750" t="str" cm="1">
        <f t="array" ref="Q750">_xlfn.IFS(L750="Rob","Robusta",L750="Exc", "Excelsa",L750="Ara", "Arabica",L750="Lib", "Liberica")</f>
        <v>Excelsa</v>
      </c>
      <c r="R750" t="str" cm="1">
        <f t="array" ref="R750">_xlfn.IFS(M750="M","Medium",M750="L","Light",M750="D","Dark")</f>
        <v>Dark</v>
      </c>
    </row>
    <row r="751" spans="1:18">
      <c r="A751" s="2" t="s">
        <v>1503</v>
      </c>
      <c r="B751" s="3">
        <v>44209</v>
      </c>
      <c r="C751" s="9">
        <f>YEAR(Orders_Table[[#This Row],[Order Date]])</f>
        <v>2021</v>
      </c>
      <c r="D751" s="9">
        <f>MONTH(Orders_Table[[#This Row],[Order Date]])</f>
        <v>1</v>
      </c>
      <c r="E751" s="9" t="str" cm="1">
        <f t="array" ref="E7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51" s="2" t="s">
        <v>1504</v>
      </c>
      <c r="G751" t="s">
        <v>148</v>
      </c>
      <c r="H751" s="2">
        <v>2</v>
      </c>
      <c r="I751" s="2" t="str" cm="1">
        <f t="array" ref="I751">_xlfn.XLOOKUP(F751,Customers!A750:$A$1001,Customers!B750:$B$1001,"Not Found",0)</f>
        <v>Melodie OIlier</v>
      </c>
      <c r="J751" s="2" t="str" cm="1">
        <f t="array" ref="J751">IF(_xlfn.XLOOKUP(F751,Customers!A750:$A$1001,Customers!C750:$C$1001,"Not Found",0)=0,"",_xlfn.XLOOKUP(F751,Customers!A750:$A$1001,Customers!C750:$C$1001,"Not Found",0))</f>
        <v>moilierkt@paginegialle.it</v>
      </c>
      <c r="K751" s="2" t="str" cm="1">
        <f t="array" ref="K751">_xlfn.XLOOKUP(F751,Customers!A750:$A$1001,Customers!G750:$G$1001,"Not Found",0)</f>
        <v>Ireland</v>
      </c>
      <c r="L751" t="str">
        <f>INDEX(Products!$A$1:$G$49,MATCH(Orders!$G751,Products!$A$1:$A$49,0),MATCH(Orders!L$1,Products!$A$1:$G$1,0))</f>
        <v>Rob</v>
      </c>
      <c r="M751" t="str">
        <f>INDEX(Products!$A$1:$G$49,MATCH(Orders!$G751,Products!$A$1:$A$49,0),MATCH(Orders!M$1,Products!$A$1:$G$1,0))</f>
        <v>D</v>
      </c>
      <c r="N751" s="4">
        <f>INDEX(Products!$A$1:$G$49,MATCH(Orders!$G751,Products!$A$1:$A$49,0),MATCH(Orders!N$1,Products!$A$1:$G$1,0))</f>
        <v>0.2</v>
      </c>
      <c r="O751" s="7">
        <f>INDEX(Products!$A$1:$G$49,MATCH(Orders!$G751,Products!$A$1:$A$49,0),MATCH(Orders!O$1,Products!$A$1:$G$1,0))</f>
        <v>2.6849999999999996</v>
      </c>
      <c r="P751" s="7">
        <f t="shared" si="11"/>
        <v>5.3699999999999992</v>
      </c>
      <c r="Q751" t="str" cm="1">
        <f t="array" ref="Q751">_xlfn.IFS(L751="Rob","Robusta",L751="Exc", "Excelsa",L751="Ara", "Arabica",L751="Lib", "Liberica")</f>
        <v>Robusta</v>
      </c>
      <c r="R751" t="str" cm="1">
        <f t="array" ref="R751">_xlfn.IFS(M751="M","Medium",M751="L","Light",M751="D","Dark")</f>
        <v>Dark</v>
      </c>
    </row>
    <row r="752" spans="1:18">
      <c r="A752" s="2" t="s">
        <v>1505</v>
      </c>
      <c r="B752" s="3">
        <v>44277</v>
      </c>
      <c r="C752" s="9">
        <f>YEAR(Orders_Table[[#This Row],[Order Date]])</f>
        <v>2021</v>
      </c>
      <c r="D752" s="9">
        <f>MONTH(Orders_Table[[#This Row],[Order Date]])</f>
        <v>3</v>
      </c>
      <c r="E752" s="9" t="str" cm="1">
        <f t="array" ref="E7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52" s="2" t="s">
        <v>1506</v>
      </c>
      <c r="G752" t="s">
        <v>69</v>
      </c>
      <c r="H752" s="2">
        <v>1</v>
      </c>
      <c r="I752" s="2" t="str" cm="1">
        <f t="array" ref="I752">_xlfn.XLOOKUP(F752,Customers!A751:$A$1001,Customers!B751:$B$1001,"Not Found",0)</f>
        <v>Hazel Iacopini</v>
      </c>
      <c r="J752" s="2" t="str" cm="1">
        <f t="array" ref="J752">IF(_xlfn.XLOOKUP(F752,Customers!A751:$A$1001,Customers!C751:$C$1001,"Not Found",0)=0,"",_xlfn.XLOOKUP(F752,Customers!A751:$A$1001,Customers!C751:$C$1001,"Not Found",0))</f>
        <v/>
      </c>
      <c r="K752" s="2" t="str" cm="1">
        <f t="array" ref="K752">_xlfn.XLOOKUP(F752,Customers!A751:$A$1001,Customers!G751:$G$1001,"Not Found",0)</f>
        <v>United States</v>
      </c>
      <c r="L752" t="str">
        <f>INDEX(Products!$A$1:$G$49,MATCH(Orders!$G752,Products!$A$1:$A$49,0),MATCH(Orders!L$1,Products!$A$1:$G$1,0))</f>
        <v>Rob</v>
      </c>
      <c r="M752" t="str">
        <f>INDEX(Products!$A$1:$G$49,MATCH(Orders!$G752,Products!$A$1:$A$49,0),MATCH(Orders!M$1,Products!$A$1:$G$1,0))</f>
        <v>M</v>
      </c>
      <c r="N752" s="4">
        <f>INDEX(Products!$A$1:$G$49,MATCH(Orders!$G752,Products!$A$1:$A$49,0),MATCH(Orders!N$1,Products!$A$1:$G$1,0))</f>
        <v>0.5</v>
      </c>
      <c r="O752" s="7">
        <f>INDEX(Products!$A$1:$G$49,MATCH(Orders!$G752,Products!$A$1:$A$49,0),MATCH(Orders!O$1,Products!$A$1:$G$1,0))</f>
        <v>5.97</v>
      </c>
      <c r="P752" s="7">
        <f t="shared" si="11"/>
        <v>5.97</v>
      </c>
      <c r="Q752" t="str" cm="1">
        <f t="array" ref="Q752">_xlfn.IFS(L752="Rob","Robusta",L752="Exc", "Excelsa",L752="Ara", "Arabica",L752="Lib", "Liberica")</f>
        <v>Robusta</v>
      </c>
      <c r="R752" t="str" cm="1">
        <f t="array" ref="R752">_xlfn.IFS(M752="M","Medium",M752="L","Light",M752="D","Dark")</f>
        <v>Medium</v>
      </c>
    </row>
    <row r="753" spans="1:18">
      <c r="A753" s="2" t="s">
        <v>1507</v>
      </c>
      <c r="B753" s="3">
        <v>43847</v>
      </c>
      <c r="C753" s="9">
        <f>YEAR(Orders_Table[[#This Row],[Order Date]])</f>
        <v>2020</v>
      </c>
      <c r="D753" s="9">
        <f>MONTH(Orders_Table[[#This Row],[Order Date]])</f>
        <v>1</v>
      </c>
      <c r="E753" s="9" t="str" cm="1">
        <f t="array" ref="E7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53" s="2" t="s">
        <v>1508</v>
      </c>
      <c r="G753" t="s">
        <v>130</v>
      </c>
      <c r="H753" s="2">
        <v>2</v>
      </c>
      <c r="I753" s="2" t="str" cm="1">
        <f t="array" ref="I753">_xlfn.XLOOKUP(F753,Customers!A752:$A$1001,Customers!B752:$B$1001,"Not Found",0)</f>
        <v>Vinny Shoebotham</v>
      </c>
      <c r="J753" s="2" t="str" cm="1">
        <f t="array" ref="J753">IF(_xlfn.XLOOKUP(F753,Customers!A752:$A$1001,Customers!C752:$C$1001,"Not Found",0)=0,"",_xlfn.XLOOKUP(F753,Customers!A752:$A$1001,Customers!C752:$C$1001,"Not Found",0))</f>
        <v>vshoebothamkv@redcross.org</v>
      </c>
      <c r="K753" s="2" t="str" cm="1">
        <f t="array" ref="K753">_xlfn.XLOOKUP(F753,Customers!A752:$A$1001,Customers!G752:$G$1001,"Not Found",0)</f>
        <v>United States</v>
      </c>
      <c r="L753" t="str">
        <f>INDEX(Products!$A$1:$G$49,MATCH(Orders!$G753,Products!$A$1:$A$49,0),MATCH(Orders!L$1,Products!$A$1:$G$1,0))</f>
        <v>Lib</v>
      </c>
      <c r="M753" t="str">
        <f>INDEX(Products!$A$1:$G$49,MATCH(Orders!$G753,Products!$A$1:$A$49,0),MATCH(Orders!M$1,Products!$A$1:$G$1,0))</f>
        <v>L</v>
      </c>
      <c r="N753" s="4">
        <f>INDEX(Products!$A$1:$G$49,MATCH(Orders!$G753,Products!$A$1:$A$49,0),MATCH(Orders!N$1,Products!$A$1:$G$1,0))</f>
        <v>0.5</v>
      </c>
      <c r="O753" s="7">
        <f>INDEX(Products!$A$1:$G$49,MATCH(Orders!$G753,Products!$A$1:$A$49,0),MATCH(Orders!O$1,Products!$A$1:$G$1,0))</f>
        <v>9.51</v>
      </c>
      <c r="P753" s="7">
        <f t="shared" si="11"/>
        <v>19.02</v>
      </c>
      <c r="Q753" t="str" cm="1">
        <f t="array" ref="Q753">_xlfn.IFS(L753="Rob","Robusta",L753="Exc", "Excelsa",L753="Ara", "Arabica",L753="Lib", "Liberica")</f>
        <v>Liberica</v>
      </c>
      <c r="R753" t="str" cm="1">
        <f t="array" ref="R753">_xlfn.IFS(M753="M","Medium",M753="L","Light",M753="D","Dark")</f>
        <v>Light</v>
      </c>
    </row>
    <row r="754" spans="1:18">
      <c r="A754" s="2" t="s">
        <v>1509</v>
      </c>
      <c r="B754" s="3">
        <v>43648</v>
      </c>
      <c r="C754" s="9">
        <f>YEAR(Orders_Table[[#This Row],[Order Date]])</f>
        <v>2019</v>
      </c>
      <c r="D754" s="9">
        <f>MONTH(Orders_Table[[#This Row],[Order Date]])</f>
        <v>7</v>
      </c>
      <c r="E754" s="9" t="str" cm="1">
        <f t="array" ref="E7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54" s="2" t="s">
        <v>1510</v>
      </c>
      <c r="G754" t="s">
        <v>56</v>
      </c>
      <c r="H754" s="2">
        <v>2</v>
      </c>
      <c r="I754" s="2" t="str" cm="1">
        <f t="array" ref="I754">_xlfn.XLOOKUP(F754,Customers!A753:$A$1001,Customers!B753:$B$1001,"Not Found",0)</f>
        <v>Bran Sterke</v>
      </c>
      <c r="J754" s="2" t="str" cm="1">
        <f t="array" ref="J754">IF(_xlfn.XLOOKUP(F754,Customers!A753:$A$1001,Customers!C753:$C$1001,"Not Found",0)=0,"",_xlfn.XLOOKUP(F754,Customers!A753:$A$1001,Customers!C753:$C$1001,"Not Found",0))</f>
        <v>bsterkekw@biblegateway.com</v>
      </c>
      <c r="K754" s="2" t="str" cm="1">
        <f t="array" ref="K754">_xlfn.XLOOKUP(F754,Customers!A753:$A$1001,Customers!G753:$G$1001,"Not Found",0)</f>
        <v>United States</v>
      </c>
      <c r="L754" t="str">
        <f>INDEX(Products!$A$1:$G$49,MATCH(Orders!$G754,Products!$A$1:$A$49,0),MATCH(Orders!L$1,Products!$A$1:$G$1,0))</f>
        <v>Exc</v>
      </c>
      <c r="M754" t="str">
        <f>INDEX(Products!$A$1:$G$49,MATCH(Orders!$G754,Products!$A$1:$A$49,0),MATCH(Orders!M$1,Products!$A$1:$G$1,0))</f>
        <v>M</v>
      </c>
      <c r="N754" s="4">
        <f>INDEX(Products!$A$1:$G$49,MATCH(Orders!$G754,Products!$A$1:$A$49,0),MATCH(Orders!N$1,Products!$A$1:$G$1,0))</f>
        <v>1</v>
      </c>
      <c r="O754" s="7">
        <f>INDEX(Products!$A$1:$G$49,MATCH(Orders!$G754,Products!$A$1:$A$49,0),MATCH(Orders!O$1,Products!$A$1:$G$1,0))</f>
        <v>13.75</v>
      </c>
      <c r="P754" s="7">
        <f t="shared" si="11"/>
        <v>27.5</v>
      </c>
      <c r="Q754" t="str" cm="1">
        <f t="array" ref="Q754">_xlfn.IFS(L754="Rob","Robusta",L754="Exc", "Excelsa",L754="Ara", "Arabica",L754="Lib", "Liberica")</f>
        <v>Excelsa</v>
      </c>
      <c r="R754" t="str" cm="1">
        <f t="array" ref="R754">_xlfn.IFS(M754="M","Medium",M754="L","Light",M754="D","Dark")</f>
        <v>Medium</v>
      </c>
    </row>
    <row r="755" spans="1:18">
      <c r="A755" s="2" t="s">
        <v>1511</v>
      </c>
      <c r="B755" s="3">
        <v>44704</v>
      </c>
      <c r="C755" s="9">
        <f>YEAR(Orders_Table[[#This Row],[Order Date]])</f>
        <v>2022</v>
      </c>
      <c r="D755" s="9">
        <f>MONTH(Orders_Table[[#This Row],[Order Date]])</f>
        <v>5</v>
      </c>
      <c r="E755" s="9" t="str" cm="1">
        <f t="array" ref="E7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755" s="2" t="s">
        <v>1512</v>
      </c>
      <c r="G755" t="s">
        <v>119</v>
      </c>
      <c r="H755" s="2">
        <v>5</v>
      </c>
      <c r="I755" s="2" t="str" cm="1">
        <f t="array" ref="I755">_xlfn.XLOOKUP(F755,Customers!A754:$A$1001,Customers!B754:$B$1001,"Not Found",0)</f>
        <v>Simone Capon</v>
      </c>
      <c r="J755" s="2" t="str" cm="1">
        <f t="array" ref="J755">IF(_xlfn.XLOOKUP(F755,Customers!A754:$A$1001,Customers!C754:$C$1001,"Not Found",0)=0,"",_xlfn.XLOOKUP(F755,Customers!A754:$A$1001,Customers!C754:$C$1001,"Not Found",0))</f>
        <v>scaponkx@craigslist.org</v>
      </c>
      <c r="K755" s="2" t="str" cm="1">
        <f t="array" ref="K755">_xlfn.XLOOKUP(F755,Customers!A754:$A$1001,Customers!G754:$G$1001,"Not Found",0)</f>
        <v>United States</v>
      </c>
      <c r="L755" t="str">
        <f>INDEX(Products!$A$1:$G$49,MATCH(Orders!$G755,Products!$A$1:$A$49,0),MATCH(Orders!L$1,Products!$A$1:$G$1,0))</f>
        <v>Ara</v>
      </c>
      <c r="M755" t="str">
        <f>INDEX(Products!$A$1:$G$49,MATCH(Orders!$G755,Products!$A$1:$A$49,0),MATCH(Orders!M$1,Products!$A$1:$G$1,0))</f>
        <v>D</v>
      </c>
      <c r="N755" s="4">
        <f>INDEX(Products!$A$1:$G$49,MATCH(Orders!$G755,Products!$A$1:$A$49,0),MATCH(Orders!N$1,Products!$A$1:$G$1,0))</f>
        <v>0.5</v>
      </c>
      <c r="O755" s="7">
        <f>INDEX(Products!$A$1:$G$49,MATCH(Orders!$G755,Products!$A$1:$A$49,0),MATCH(Orders!O$1,Products!$A$1:$G$1,0))</f>
        <v>5.97</v>
      </c>
      <c r="P755" s="7">
        <f t="shared" si="11"/>
        <v>29.849999999999998</v>
      </c>
      <c r="Q755" t="str" cm="1">
        <f t="array" ref="Q755">_xlfn.IFS(L755="Rob","Robusta",L755="Exc", "Excelsa",L755="Ara", "Arabica",L755="Lib", "Liberica")</f>
        <v>Arabica</v>
      </c>
      <c r="R755" t="str" cm="1">
        <f t="array" ref="R755">_xlfn.IFS(M755="M","Medium",M755="L","Light",M755="D","Dark")</f>
        <v>Dark</v>
      </c>
    </row>
    <row r="756" spans="1:18">
      <c r="A756" s="2" t="s">
        <v>1513</v>
      </c>
      <c r="B756" s="3">
        <v>44726</v>
      </c>
      <c r="C756" s="9">
        <f>YEAR(Orders_Table[[#This Row],[Order Date]])</f>
        <v>2022</v>
      </c>
      <c r="D756" s="9">
        <f>MONTH(Orders_Table[[#This Row],[Order Date]])</f>
        <v>6</v>
      </c>
      <c r="E756" s="9" t="str" cm="1">
        <f t="array" ref="E7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56" s="2" t="s">
        <v>1391</v>
      </c>
      <c r="G756" t="s">
        <v>101</v>
      </c>
      <c r="H756" s="2">
        <v>6</v>
      </c>
      <c r="I756" s="2" t="str" cm="1">
        <f t="array" ref="I756">_xlfn.XLOOKUP(F756,Customers!A755:$A$1001,Customers!B755:$B$1001,"Not Found",0)</f>
        <v>Not Found</v>
      </c>
      <c r="J756" s="2" t="str" cm="1">
        <f t="array" ref="J756">IF(_xlfn.XLOOKUP(F756,Customers!A755:$A$1001,Customers!C755:$C$1001,"Not Found",0)=0,"",_xlfn.XLOOKUP(F756,Customers!A755:$A$1001,Customers!C755:$C$1001,"Not Found",0))</f>
        <v>Not Found</v>
      </c>
      <c r="K756" s="2" t="str" cm="1">
        <f t="array" ref="K756">_xlfn.XLOOKUP(F756,Customers!A755:$A$1001,Customers!G755:$G$1001,"Not Found",0)</f>
        <v>Not Found</v>
      </c>
      <c r="L756" t="str">
        <f>INDEX(Products!$A$1:$G$49,MATCH(Orders!$G756,Products!$A$1:$A$49,0),MATCH(Orders!L$1,Products!$A$1:$G$1,0))</f>
        <v>Ara</v>
      </c>
      <c r="M756" t="str">
        <f>INDEX(Products!$A$1:$G$49,MATCH(Orders!$G756,Products!$A$1:$A$49,0),MATCH(Orders!M$1,Products!$A$1:$G$1,0))</f>
        <v>D</v>
      </c>
      <c r="N756" s="4">
        <f>INDEX(Products!$A$1:$G$49,MATCH(Orders!$G756,Products!$A$1:$A$49,0),MATCH(Orders!N$1,Products!$A$1:$G$1,0))</f>
        <v>0.2</v>
      </c>
      <c r="O756" s="7">
        <f>INDEX(Products!$A$1:$G$49,MATCH(Orders!$G756,Products!$A$1:$A$49,0),MATCH(Orders!O$1,Products!$A$1:$G$1,0))</f>
        <v>2.9849999999999999</v>
      </c>
      <c r="P756" s="7">
        <f t="shared" si="11"/>
        <v>17.91</v>
      </c>
      <c r="Q756" t="str" cm="1">
        <f t="array" ref="Q756">_xlfn.IFS(L756="Rob","Robusta",L756="Exc", "Excelsa",L756="Ara", "Arabica",L756="Lib", "Liberica")</f>
        <v>Arabica</v>
      </c>
      <c r="R756" t="str" cm="1">
        <f t="array" ref="R756">_xlfn.IFS(M756="M","Medium",M756="L","Light",M756="D","Dark")</f>
        <v>Dark</v>
      </c>
    </row>
    <row r="757" spans="1:18">
      <c r="A757" s="2" t="s">
        <v>1514</v>
      </c>
      <c r="B757" s="3">
        <v>44397</v>
      </c>
      <c r="C757" s="9">
        <f>YEAR(Orders_Table[[#This Row],[Order Date]])</f>
        <v>2021</v>
      </c>
      <c r="D757" s="9">
        <f>MONTH(Orders_Table[[#This Row],[Order Date]])</f>
        <v>7</v>
      </c>
      <c r="E757" s="9" t="str" cm="1">
        <f t="array" ref="E7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57" s="2" t="s">
        <v>1515</v>
      </c>
      <c r="G757" t="s">
        <v>66</v>
      </c>
      <c r="H757" s="2">
        <v>6</v>
      </c>
      <c r="I757" s="2" t="str" cm="1">
        <f t="array" ref="I757">_xlfn.XLOOKUP(F757,Customers!A756:$A$1001,Customers!B756:$B$1001,"Not Found",0)</f>
        <v>Foster Constance</v>
      </c>
      <c r="J757" s="2" t="str" cm="1">
        <f t="array" ref="J757">IF(_xlfn.XLOOKUP(F757,Customers!A756:$A$1001,Customers!C756:$C$1001,"Not Found",0)=0,"",_xlfn.XLOOKUP(F757,Customers!A756:$A$1001,Customers!C756:$C$1001,"Not Found",0))</f>
        <v>fconstancekz@ifeng.com</v>
      </c>
      <c r="K757" s="2" t="str" cm="1">
        <f t="array" ref="K757">_xlfn.XLOOKUP(F757,Customers!A756:$A$1001,Customers!G756:$G$1001,"Not Found",0)</f>
        <v>United States</v>
      </c>
      <c r="L757" t="str">
        <f>INDEX(Products!$A$1:$G$49,MATCH(Orders!$G757,Products!$A$1:$A$49,0),MATCH(Orders!L$1,Products!$A$1:$G$1,0))</f>
        <v>Lib</v>
      </c>
      <c r="M757" t="str">
        <f>INDEX(Products!$A$1:$G$49,MATCH(Orders!$G757,Products!$A$1:$A$49,0),MATCH(Orders!M$1,Products!$A$1:$G$1,0))</f>
        <v>L</v>
      </c>
      <c r="N757" s="4">
        <f>INDEX(Products!$A$1:$G$49,MATCH(Orders!$G757,Products!$A$1:$A$49,0),MATCH(Orders!N$1,Products!$A$1:$G$1,0))</f>
        <v>0.2</v>
      </c>
      <c r="O757" s="7">
        <f>INDEX(Products!$A$1:$G$49,MATCH(Orders!$G757,Products!$A$1:$A$49,0),MATCH(Orders!O$1,Products!$A$1:$G$1,0))</f>
        <v>4.7549999999999999</v>
      </c>
      <c r="P757" s="7">
        <f t="shared" si="11"/>
        <v>28.53</v>
      </c>
      <c r="Q757" t="str" cm="1">
        <f t="array" ref="Q757">_xlfn.IFS(L757="Rob","Robusta",L757="Exc", "Excelsa",L757="Ara", "Arabica",L757="Lib", "Liberica")</f>
        <v>Liberica</v>
      </c>
      <c r="R757" t="str" cm="1">
        <f t="array" ref="R757">_xlfn.IFS(M757="M","Medium",M757="L","Light",M757="D","Dark")</f>
        <v>Light</v>
      </c>
    </row>
    <row r="758" spans="1:18">
      <c r="A758" s="2" t="s">
        <v>1516</v>
      </c>
      <c r="B758" s="3">
        <v>44715</v>
      </c>
      <c r="C758" s="9">
        <f>YEAR(Orders_Table[[#This Row],[Order Date]])</f>
        <v>2022</v>
      </c>
      <c r="D758" s="9">
        <f>MONTH(Orders_Table[[#This Row],[Order Date]])</f>
        <v>6</v>
      </c>
      <c r="E758" s="9" t="str" cm="1">
        <f t="array" ref="E7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58" s="2" t="s">
        <v>1517</v>
      </c>
      <c r="G758" t="s">
        <v>226</v>
      </c>
      <c r="H758" s="2">
        <v>4</v>
      </c>
      <c r="I758" s="2" t="str" cm="1">
        <f t="array" ref="I758">_xlfn.XLOOKUP(F758,Customers!A757:$A$1001,Customers!B757:$B$1001,"Not Found",0)</f>
        <v>Fernando Sulman</v>
      </c>
      <c r="J758" s="2" t="str" cm="1">
        <f t="array" ref="J758">IF(_xlfn.XLOOKUP(F758,Customers!A757:$A$1001,Customers!C757:$C$1001,"Not Found",0)=0,"",_xlfn.XLOOKUP(F758,Customers!A757:$A$1001,Customers!C757:$C$1001,"Not Found",0))</f>
        <v>fsulmanl0@washington.edu</v>
      </c>
      <c r="K758" s="2" t="str" cm="1">
        <f t="array" ref="K758">_xlfn.XLOOKUP(F758,Customers!A757:$A$1001,Customers!G757:$G$1001,"Not Found",0)</f>
        <v>United States</v>
      </c>
      <c r="L758" t="str">
        <f>INDEX(Products!$A$1:$G$49,MATCH(Orders!$G758,Products!$A$1:$A$49,0),MATCH(Orders!L$1,Products!$A$1:$G$1,0))</f>
        <v>Rob</v>
      </c>
      <c r="M758" t="str">
        <f>INDEX(Products!$A$1:$G$49,MATCH(Orders!$G758,Products!$A$1:$A$49,0),MATCH(Orders!M$1,Products!$A$1:$G$1,0))</f>
        <v>D</v>
      </c>
      <c r="N758" s="4">
        <f>INDEX(Products!$A$1:$G$49,MATCH(Orders!$G758,Products!$A$1:$A$49,0),MATCH(Orders!N$1,Products!$A$1:$G$1,0))</f>
        <v>1</v>
      </c>
      <c r="O758" s="7">
        <f>INDEX(Products!$A$1:$G$49,MATCH(Orders!$G758,Products!$A$1:$A$49,0),MATCH(Orders!O$1,Products!$A$1:$G$1,0))</f>
        <v>8.9499999999999993</v>
      </c>
      <c r="P758" s="7">
        <f t="shared" si="11"/>
        <v>35.799999999999997</v>
      </c>
      <c r="Q758" t="str" cm="1">
        <f t="array" ref="Q758">_xlfn.IFS(L758="Rob","Robusta",L758="Exc", "Excelsa",L758="Ara", "Arabica",L758="Lib", "Liberica")</f>
        <v>Robusta</v>
      </c>
      <c r="R758" t="str" cm="1">
        <f t="array" ref="R758">_xlfn.IFS(M758="M","Medium",M758="L","Light",M758="D","Dark")</f>
        <v>Dark</v>
      </c>
    </row>
    <row r="759" spans="1:18">
      <c r="A759" s="2" t="s">
        <v>1518</v>
      </c>
      <c r="B759" s="3">
        <v>43977</v>
      </c>
      <c r="C759" s="9">
        <f>YEAR(Orders_Table[[#This Row],[Order Date]])</f>
        <v>2020</v>
      </c>
      <c r="D759" s="9">
        <f>MONTH(Orders_Table[[#This Row],[Order Date]])</f>
        <v>5</v>
      </c>
      <c r="E759" s="9" t="str" cm="1">
        <f t="array" ref="E7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759" s="2" t="s">
        <v>1519</v>
      </c>
      <c r="G759" t="s">
        <v>119</v>
      </c>
      <c r="H759" s="2">
        <v>3</v>
      </c>
      <c r="I759" s="2" t="str" cm="1">
        <f t="array" ref="I759">_xlfn.XLOOKUP(F759,Customers!A758:$A$1001,Customers!B758:$B$1001,"Not Found",0)</f>
        <v>Dorotea Hollyman</v>
      </c>
      <c r="J759" s="2" t="str" cm="1">
        <f t="array" ref="J759">IF(_xlfn.XLOOKUP(F759,Customers!A758:$A$1001,Customers!C758:$C$1001,"Not Found",0)=0,"",_xlfn.XLOOKUP(F759,Customers!A758:$A$1001,Customers!C758:$C$1001,"Not Found",0))</f>
        <v>dhollymanl1@ibm.com</v>
      </c>
      <c r="K759" s="2" t="str" cm="1">
        <f t="array" ref="K759">_xlfn.XLOOKUP(F759,Customers!A758:$A$1001,Customers!G758:$G$1001,"Not Found",0)</f>
        <v>United States</v>
      </c>
      <c r="L759" t="str">
        <f>INDEX(Products!$A$1:$G$49,MATCH(Orders!$G759,Products!$A$1:$A$49,0),MATCH(Orders!L$1,Products!$A$1:$G$1,0))</f>
        <v>Ara</v>
      </c>
      <c r="M759" t="str">
        <f>INDEX(Products!$A$1:$G$49,MATCH(Orders!$G759,Products!$A$1:$A$49,0),MATCH(Orders!M$1,Products!$A$1:$G$1,0))</f>
        <v>D</v>
      </c>
      <c r="N759" s="4">
        <f>INDEX(Products!$A$1:$G$49,MATCH(Orders!$G759,Products!$A$1:$A$49,0),MATCH(Orders!N$1,Products!$A$1:$G$1,0))</f>
        <v>0.5</v>
      </c>
      <c r="O759" s="7">
        <f>INDEX(Products!$A$1:$G$49,MATCH(Orders!$G759,Products!$A$1:$A$49,0),MATCH(Orders!O$1,Products!$A$1:$G$1,0))</f>
        <v>5.97</v>
      </c>
      <c r="P759" s="7">
        <f t="shared" si="11"/>
        <v>17.91</v>
      </c>
      <c r="Q759" t="str" cm="1">
        <f t="array" ref="Q759">_xlfn.IFS(L759="Rob","Robusta",L759="Exc", "Excelsa",L759="Ara", "Arabica",L759="Lib", "Liberica")</f>
        <v>Arabica</v>
      </c>
      <c r="R759" t="str" cm="1">
        <f t="array" ref="R759">_xlfn.IFS(M759="M","Medium",M759="L","Light",M759="D","Dark")</f>
        <v>Dark</v>
      </c>
    </row>
    <row r="760" spans="1:18">
      <c r="A760" s="2" t="s">
        <v>1520</v>
      </c>
      <c r="B760" s="3">
        <v>43672</v>
      </c>
      <c r="C760" s="9">
        <f>YEAR(Orders_Table[[#This Row],[Order Date]])</f>
        <v>2019</v>
      </c>
      <c r="D760" s="9">
        <f>MONTH(Orders_Table[[#This Row],[Order Date]])</f>
        <v>7</v>
      </c>
      <c r="E760" s="9" t="str" cm="1">
        <f t="array" ref="E7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60" s="2" t="s">
        <v>1521</v>
      </c>
      <c r="G760" t="s">
        <v>226</v>
      </c>
      <c r="H760" s="2">
        <v>1</v>
      </c>
      <c r="I760" s="2" t="str" cm="1">
        <f t="array" ref="I760">_xlfn.XLOOKUP(F760,Customers!A759:$A$1001,Customers!B759:$B$1001,"Not Found",0)</f>
        <v>Lorelei Nardoni</v>
      </c>
      <c r="J760" s="2" t="str" cm="1">
        <f t="array" ref="J760">IF(_xlfn.XLOOKUP(F760,Customers!A759:$A$1001,Customers!C759:$C$1001,"Not Found",0)=0,"",_xlfn.XLOOKUP(F760,Customers!A759:$A$1001,Customers!C759:$C$1001,"Not Found",0))</f>
        <v>lnardonil2@hao123.com</v>
      </c>
      <c r="K760" s="2" t="str" cm="1">
        <f t="array" ref="K760">_xlfn.XLOOKUP(F760,Customers!A759:$A$1001,Customers!G759:$G$1001,"Not Found",0)</f>
        <v>United States</v>
      </c>
      <c r="L760" t="str">
        <f>INDEX(Products!$A$1:$G$49,MATCH(Orders!$G760,Products!$A$1:$A$49,0),MATCH(Orders!L$1,Products!$A$1:$G$1,0))</f>
        <v>Rob</v>
      </c>
      <c r="M760" t="str">
        <f>INDEX(Products!$A$1:$G$49,MATCH(Orders!$G760,Products!$A$1:$A$49,0),MATCH(Orders!M$1,Products!$A$1:$G$1,0))</f>
        <v>D</v>
      </c>
      <c r="N760" s="4">
        <f>INDEX(Products!$A$1:$G$49,MATCH(Orders!$G760,Products!$A$1:$A$49,0),MATCH(Orders!N$1,Products!$A$1:$G$1,0))</f>
        <v>1</v>
      </c>
      <c r="O760" s="7">
        <f>INDEX(Products!$A$1:$G$49,MATCH(Orders!$G760,Products!$A$1:$A$49,0),MATCH(Orders!O$1,Products!$A$1:$G$1,0))</f>
        <v>8.9499999999999993</v>
      </c>
      <c r="P760" s="7">
        <f t="shared" si="11"/>
        <v>8.9499999999999993</v>
      </c>
      <c r="Q760" t="str" cm="1">
        <f t="array" ref="Q760">_xlfn.IFS(L760="Rob","Robusta",L760="Exc", "Excelsa",L760="Ara", "Arabica",L760="Lib", "Liberica")</f>
        <v>Robusta</v>
      </c>
      <c r="R760" t="str" cm="1">
        <f t="array" ref="R760">_xlfn.IFS(M760="M","Medium",M760="L","Light",M760="D","Dark")</f>
        <v>Dark</v>
      </c>
    </row>
    <row r="761" spans="1:18">
      <c r="A761" s="2" t="s">
        <v>1522</v>
      </c>
      <c r="B761" s="3">
        <v>44126</v>
      </c>
      <c r="C761" s="9">
        <f>YEAR(Orders_Table[[#This Row],[Order Date]])</f>
        <v>2020</v>
      </c>
      <c r="D761" s="9">
        <f>MONTH(Orders_Table[[#This Row],[Order Date]])</f>
        <v>10</v>
      </c>
      <c r="E761" s="9" t="str" cm="1">
        <f t="array" ref="E7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61" s="2" t="s">
        <v>1523</v>
      </c>
      <c r="G761" t="s">
        <v>156</v>
      </c>
      <c r="H761" s="2">
        <v>1</v>
      </c>
      <c r="I761" s="2" t="str" cm="1">
        <f t="array" ref="I761">_xlfn.XLOOKUP(F761,Customers!A760:$A$1001,Customers!B760:$B$1001,"Not Found",0)</f>
        <v>Dallas Yarham</v>
      </c>
      <c r="J761" s="2" t="str" cm="1">
        <f t="array" ref="J761">IF(_xlfn.XLOOKUP(F761,Customers!A760:$A$1001,Customers!C760:$C$1001,"Not Found",0)=0,"",_xlfn.XLOOKUP(F761,Customers!A760:$A$1001,Customers!C760:$C$1001,"Not Found",0))</f>
        <v>dyarhaml3@moonfruit.com</v>
      </c>
      <c r="K761" s="2" t="str" cm="1">
        <f t="array" ref="K761">_xlfn.XLOOKUP(F761,Customers!A760:$A$1001,Customers!G760:$G$1001,"Not Found",0)</f>
        <v>United States</v>
      </c>
      <c r="L761" t="str">
        <f>INDEX(Products!$A$1:$G$49,MATCH(Orders!$G761,Products!$A$1:$A$49,0),MATCH(Orders!L$1,Products!$A$1:$G$1,0))</f>
        <v>Lib</v>
      </c>
      <c r="M761" t="str">
        <f>INDEX(Products!$A$1:$G$49,MATCH(Orders!$G761,Products!$A$1:$A$49,0),MATCH(Orders!M$1,Products!$A$1:$G$1,0))</f>
        <v>D</v>
      </c>
      <c r="N761" s="4">
        <f>INDEX(Products!$A$1:$G$49,MATCH(Orders!$G761,Products!$A$1:$A$49,0),MATCH(Orders!N$1,Products!$A$1:$G$1,0))</f>
        <v>2.5</v>
      </c>
      <c r="O761" s="7">
        <f>INDEX(Products!$A$1:$G$49,MATCH(Orders!$G761,Products!$A$1:$A$49,0),MATCH(Orders!O$1,Products!$A$1:$G$1,0))</f>
        <v>29.784999999999997</v>
      </c>
      <c r="P761" s="7">
        <f t="shared" si="11"/>
        <v>29.784999999999997</v>
      </c>
      <c r="Q761" t="str" cm="1">
        <f t="array" ref="Q761">_xlfn.IFS(L761="Rob","Robusta",L761="Exc", "Excelsa",L761="Ara", "Arabica",L761="Lib", "Liberica")</f>
        <v>Liberica</v>
      </c>
      <c r="R761" t="str" cm="1">
        <f t="array" ref="R761">_xlfn.IFS(M761="M","Medium",M761="L","Light",M761="D","Dark")</f>
        <v>Dark</v>
      </c>
    </row>
    <row r="762" spans="1:18">
      <c r="A762" s="2" t="s">
        <v>1524</v>
      </c>
      <c r="B762" s="3">
        <v>44189</v>
      </c>
      <c r="C762" s="9">
        <f>YEAR(Orders_Table[[#This Row],[Order Date]])</f>
        <v>2020</v>
      </c>
      <c r="D762" s="9">
        <f>MONTH(Orders_Table[[#This Row],[Order Date]])</f>
        <v>12</v>
      </c>
      <c r="E762" s="9" t="str" cm="1">
        <f t="array" ref="E7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62" s="2" t="s">
        <v>1525</v>
      </c>
      <c r="G762" t="s">
        <v>223</v>
      </c>
      <c r="H762" s="2">
        <v>5</v>
      </c>
      <c r="I762" s="2" t="str" cm="1">
        <f t="array" ref="I762">_xlfn.XLOOKUP(F762,Customers!A761:$A$1001,Customers!B761:$B$1001,"Not Found",0)</f>
        <v>Arlana Ferrea</v>
      </c>
      <c r="J762" s="2" t="str" cm="1">
        <f t="array" ref="J762">IF(_xlfn.XLOOKUP(F762,Customers!A761:$A$1001,Customers!C761:$C$1001,"Not Found",0)=0,"",_xlfn.XLOOKUP(F762,Customers!A761:$A$1001,Customers!C761:$C$1001,"Not Found",0))</f>
        <v>aferreal4@wikia.com</v>
      </c>
      <c r="K762" s="2" t="str" cm="1">
        <f t="array" ref="K762">_xlfn.XLOOKUP(F762,Customers!A761:$A$1001,Customers!G761:$G$1001,"Not Found",0)</f>
        <v>United States</v>
      </c>
      <c r="L762" t="str">
        <f>INDEX(Products!$A$1:$G$49,MATCH(Orders!$G762,Products!$A$1:$A$49,0),MATCH(Orders!L$1,Products!$A$1:$G$1,0))</f>
        <v>Exc</v>
      </c>
      <c r="M762" t="str">
        <f>INDEX(Products!$A$1:$G$49,MATCH(Orders!$G762,Products!$A$1:$A$49,0),MATCH(Orders!M$1,Products!$A$1:$G$1,0))</f>
        <v>L</v>
      </c>
      <c r="N762" s="4">
        <f>INDEX(Products!$A$1:$G$49,MATCH(Orders!$G762,Products!$A$1:$A$49,0),MATCH(Orders!N$1,Products!$A$1:$G$1,0))</f>
        <v>0.5</v>
      </c>
      <c r="O762" s="7">
        <f>INDEX(Products!$A$1:$G$49,MATCH(Orders!$G762,Products!$A$1:$A$49,0),MATCH(Orders!O$1,Products!$A$1:$G$1,0))</f>
        <v>8.91</v>
      </c>
      <c r="P762" s="7">
        <f t="shared" si="11"/>
        <v>44.55</v>
      </c>
      <c r="Q762" t="str" cm="1">
        <f t="array" ref="Q762">_xlfn.IFS(L762="Rob","Robusta",L762="Exc", "Excelsa",L762="Ara", "Arabica",L762="Lib", "Liberica")</f>
        <v>Excelsa</v>
      </c>
      <c r="R762" t="str" cm="1">
        <f t="array" ref="R762">_xlfn.IFS(M762="M","Medium",M762="L","Light",M762="D","Dark")</f>
        <v>Light</v>
      </c>
    </row>
    <row r="763" spans="1:18">
      <c r="A763" s="2" t="s">
        <v>1526</v>
      </c>
      <c r="B763" s="3">
        <v>43714</v>
      </c>
      <c r="C763" s="9">
        <f>YEAR(Orders_Table[[#This Row],[Order Date]])</f>
        <v>2019</v>
      </c>
      <c r="D763" s="9">
        <f>MONTH(Orders_Table[[#This Row],[Order Date]])</f>
        <v>9</v>
      </c>
      <c r="E763" s="9" t="str" cm="1">
        <f t="array" ref="E7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763" s="2" t="s">
        <v>1527</v>
      </c>
      <c r="G763" t="s">
        <v>184</v>
      </c>
      <c r="H763" s="2">
        <v>6</v>
      </c>
      <c r="I763" s="2" t="str" cm="1">
        <f t="array" ref="I763">_xlfn.XLOOKUP(F763,Customers!A762:$A$1001,Customers!B762:$B$1001,"Not Found",0)</f>
        <v>Chuck Kendrick</v>
      </c>
      <c r="J763" s="2" t="str" cm="1">
        <f t="array" ref="J763">IF(_xlfn.XLOOKUP(F763,Customers!A762:$A$1001,Customers!C762:$C$1001,"Not Found",0)=0,"",_xlfn.XLOOKUP(F763,Customers!A762:$A$1001,Customers!C762:$C$1001,"Not Found",0))</f>
        <v>ckendrickl5@webnode.com</v>
      </c>
      <c r="K763" s="2" t="str" cm="1">
        <f t="array" ref="K763">_xlfn.XLOOKUP(F763,Customers!A762:$A$1001,Customers!G762:$G$1001,"Not Found",0)</f>
        <v>United States</v>
      </c>
      <c r="L763" t="str">
        <f>INDEX(Products!$A$1:$G$49,MATCH(Orders!$G763,Products!$A$1:$A$49,0),MATCH(Orders!L$1,Products!$A$1:$G$1,0))</f>
        <v>Exc</v>
      </c>
      <c r="M763" t="str">
        <f>INDEX(Products!$A$1:$G$49,MATCH(Orders!$G763,Products!$A$1:$A$49,0),MATCH(Orders!M$1,Products!$A$1:$G$1,0))</f>
        <v>L</v>
      </c>
      <c r="N763" s="4">
        <f>INDEX(Products!$A$1:$G$49,MATCH(Orders!$G763,Products!$A$1:$A$49,0),MATCH(Orders!N$1,Products!$A$1:$G$1,0))</f>
        <v>1</v>
      </c>
      <c r="O763" s="7">
        <f>INDEX(Products!$A$1:$G$49,MATCH(Orders!$G763,Products!$A$1:$A$49,0),MATCH(Orders!O$1,Products!$A$1:$G$1,0))</f>
        <v>14.85</v>
      </c>
      <c r="P763" s="7">
        <f t="shared" si="11"/>
        <v>89.1</v>
      </c>
      <c r="Q763" t="str" cm="1">
        <f t="array" ref="Q763">_xlfn.IFS(L763="Rob","Robusta",L763="Exc", "Excelsa",L763="Ara", "Arabica",L763="Lib", "Liberica")</f>
        <v>Excelsa</v>
      </c>
      <c r="R763" t="str" cm="1">
        <f t="array" ref="R763">_xlfn.IFS(M763="M","Medium",M763="L","Light",M763="D","Dark")</f>
        <v>Light</v>
      </c>
    </row>
    <row r="764" spans="1:18">
      <c r="A764" s="2" t="s">
        <v>1528</v>
      </c>
      <c r="B764" s="3">
        <v>43563</v>
      </c>
      <c r="C764" s="9">
        <f>YEAR(Orders_Table[[#This Row],[Order Date]])</f>
        <v>2019</v>
      </c>
      <c r="D764" s="9">
        <f>MONTH(Orders_Table[[#This Row],[Order Date]])</f>
        <v>4</v>
      </c>
      <c r="E764" s="9" t="str" cm="1">
        <f t="array" ref="E7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64" s="2" t="s">
        <v>1529</v>
      </c>
      <c r="G764" t="s">
        <v>125</v>
      </c>
      <c r="H764" s="2">
        <v>5</v>
      </c>
      <c r="I764" s="2" t="str" cm="1">
        <f t="array" ref="I764">_xlfn.XLOOKUP(F764,Customers!A763:$A$1001,Customers!B763:$B$1001,"Not Found",0)</f>
        <v>Sharona Danilchik</v>
      </c>
      <c r="J764" s="2" t="str" cm="1">
        <f t="array" ref="J764">IF(_xlfn.XLOOKUP(F764,Customers!A763:$A$1001,Customers!C763:$C$1001,"Not Found",0)=0,"",_xlfn.XLOOKUP(F764,Customers!A763:$A$1001,Customers!C763:$C$1001,"Not Found",0))</f>
        <v>sdanilchikl6@mit.edu</v>
      </c>
      <c r="K764" s="2" t="str" cm="1">
        <f t="array" ref="K764">_xlfn.XLOOKUP(F764,Customers!A763:$A$1001,Customers!G763:$G$1001,"Not Found",0)</f>
        <v>United Kingdom</v>
      </c>
      <c r="L764" t="str">
        <f>INDEX(Products!$A$1:$G$49,MATCH(Orders!$G764,Products!$A$1:$A$49,0),MATCH(Orders!L$1,Products!$A$1:$G$1,0))</f>
        <v>Lib</v>
      </c>
      <c r="M764" t="str">
        <f>INDEX(Products!$A$1:$G$49,MATCH(Orders!$G764,Products!$A$1:$A$49,0),MATCH(Orders!M$1,Products!$A$1:$G$1,0))</f>
        <v>M</v>
      </c>
      <c r="N764" s="4">
        <f>INDEX(Products!$A$1:$G$49,MATCH(Orders!$G764,Products!$A$1:$A$49,0),MATCH(Orders!N$1,Products!$A$1:$G$1,0))</f>
        <v>0.5</v>
      </c>
      <c r="O764" s="7">
        <f>INDEX(Products!$A$1:$G$49,MATCH(Orders!$G764,Products!$A$1:$A$49,0),MATCH(Orders!O$1,Products!$A$1:$G$1,0))</f>
        <v>8.73</v>
      </c>
      <c r="P764" s="7">
        <f t="shared" si="11"/>
        <v>43.650000000000006</v>
      </c>
      <c r="Q764" t="str" cm="1">
        <f t="array" ref="Q764">_xlfn.IFS(L764="Rob","Robusta",L764="Exc", "Excelsa",L764="Ara", "Arabica",L764="Lib", "Liberica")</f>
        <v>Liberica</v>
      </c>
      <c r="R764" t="str" cm="1">
        <f t="array" ref="R764">_xlfn.IFS(M764="M","Medium",M764="L","Light",M764="D","Dark")</f>
        <v>Medium</v>
      </c>
    </row>
    <row r="765" spans="1:18">
      <c r="A765" s="2" t="s">
        <v>1530</v>
      </c>
      <c r="B765" s="3">
        <v>44587</v>
      </c>
      <c r="C765" s="9">
        <f>YEAR(Orders_Table[[#This Row],[Order Date]])</f>
        <v>2022</v>
      </c>
      <c r="D765" s="9">
        <f>MONTH(Orders_Table[[#This Row],[Order Date]])</f>
        <v>1</v>
      </c>
      <c r="E765" s="9" t="str" cm="1">
        <f t="array" ref="E7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65" s="2" t="s">
        <v>1531</v>
      </c>
      <c r="G765" t="s">
        <v>239</v>
      </c>
      <c r="H765" s="2">
        <v>3</v>
      </c>
      <c r="I765" s="2" t="str" cm="1">
        <f t="array" ref="I765">_xlfn.XLOOKUP(F765,Customers!A764:$A$1001,Customers!B764:$B$1001,"Not Found",0)</f>
        <v>Sarajane Potter</v>
      </c>
      <c r="J765" s="2" t="str" cm="1">
        <f t="array" ref="J765">IF(_xlfn.XLOOKUP(F765,Customers!A764:$A$1001,Customers!C764:$C$1001,"Not Found",0)=0,"",_xlfn.XLOOKUP(F765,Customers!A764:$A$1001,Customers!C764:$C$1001,"Not Found",0))</f>
        <v/>
      </c>
      <c r="K765" s="2" t="str" cm="1">
        <f t="array" ref="K765">_xlfn.XLOOKUP(F765,Customers!A764:$A$1001,Customers!G764:$G$1001,"Not Found",0)</f>
        <v>United States</v>
      </c>
      <c r="L765" t="str">
        <f>INDEX(Products!$A$1:$G$49,MATCH(Orders!$G765,Products!$A$1:$A$49,0),MATCH(Orders!L$1,Products!$A$1:$G$1,0))</f>
        <v>Ara</v>
      </c>
      <c r="M765" t="str">
        <f>INDEX(Products!$A$1:$G$49,MATCH(Orders!$G765,Products!$A$1:$A$49,0),MATCH(Orders!M$1,Products!$A$1:$G$1,0))</f>
        <v>L</v>
      </c>
      <c r="N765" s="4">
        <f>INDEX(Products!$A$1:$G$49,MATCH(Orders!$G765,Products!$A$1:$A$49,0),MATCH(Orders!N$1,Products!$A$1:$G$1,0))</f>
        <v>0.5</v>
      </c>
      <c r="O765" s="7">
        <f>INDEX(Products!$A$1:$G$49,MATCH(Orders!$G765,Products!$A$1:$A$49,0),MATCH(Orders!O$1,Products!$A$1:$G$1,0))</f>
        <v>7.77</v>
      </c>
      <c r="P765" s="7">
        <f t="shared" si="11"/>
        <v>23.31</v>
      </c>
      <c r="Q765" t="str" cm="1">
        <f t="array" ref="Q765">_xlfn.IFS(L765="Rob","Robusta",L765="Exc", "Excelsa",L765="Ara", "Arabica",L765="Lib", "Liberica")</f>
        <v>Arabica</v>
      </c>
      <c r="R765" t="str" cm="1">
        <f t="array" ref="R765">_xlfn.IFS(M765="M","Medium",M765="L","Light",M765="D","Dark")</f>
        <v>Light</v>
      </c>
    </row>
    <row r="766" spans="1:18">
      <c r="A766" s="2" t="s">
        <v>1532</v>
      </c>
      <c r="B766" s="3">
        <v>43797</v>
      </c>
      <c r="C766" s="9">
        <f>YEAR(Orders_Table[[#This Row],[Order Date]])</f>
        <v>2019</v>
      </c>
      <c r="D766" s="9">
        <f>MONTH(Orders_Table[[#This Row],[Order Date]])</f>
        <v>11</v>
      </c>
      <c r="E766" s="9" t="str" cm="1">
        <f t="array" ref="E7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66" s="2" t="s">
        <v>1533</v>
      </c>
      <c r="G766" t="s">
        <v>251</v>
      </c>
      <c r="H766" s="2">
        <v>6</v>
      </c>
      <c r="I766" s="2" t="str" cm="1">
        <f t="array" ref="I766">_xlfn.XLOOKUP(F766,Customers!A765:$A$1001,Customers!B765:$B$1001,"Not Found",0)</f>
        <v>Bobby Folomkin</v>
      </c>
      <c r="J766" s="2" t="str" cm="1">
        <f t="array" ref="J766">IF(_xlfn.XLOOKUP(F766,Customers!A765:$A$1001,Customers!C765:$C$1001,"Not Found",0)=0,"",_xlfn.XLOOKUP(F766,Customers!A765:$A$1001,Customers!C765:$C$1001,"Not Found",0))</f>
        <v>bfolomkinl8@yolasite.com</v>
      </c>
      <c r="K766" s="2" t="str" cm="1">
        <f t="array" ref="K766">_xlfn.XLOOKUP(F766,Customers!A765:$A$1001,Customers!G765:$G$1001,"Not Found",0)</f>
        <v>United States</v>
      </c>
      <c r="L766" t="str">
        <f>INDEX(Products!$A$1:$G$49,MATCH(Orders!$G766,Products!$A$1:$A$49,0),MATCH(Orders!L$1,Products!$A$1:$G$1,0))</f>
        <v>Ara</v>
      </c>
      <c r="M766" t="str">
        <f>INDEX(Products!$A$1:$G$49,MATCH(Orders!$G766,Products!$A$1:$A$49,0),MATCH(Orders!M$1,Products!$A$1:$G$1,0))</f>
        <v>L</v>
      </c>
      <c r="N766" s="4">
        <f>INDEX(Products!$A$1:$G$49,MATCH(Orders!$G766,Products!$A$1:$A$49,0),MATCH(Orders!N$1,Products!$A$1:$G$1,0))</f>
        <v>2.5</v>
      </c>
      <c r="O766" s="7">
        <f>INDEX(Products!$A$1:$G$49,MATCH(Orders!$G766,Products!$A$1:$A$49,0),MATCH(Orders!O$1,Products!$A$1:$G$1,0))</f>
        <v>29.784999999999997</v>
      </c>
      <c r="P766" s="7">
        <f t="shared" si="11"/>
        <v>178.70999999999998</v>
      </c>
      <c r="Q766" t="str" cm="1">
        <f t="array" ref="Q766">_xlfn.IFS(L766="Rob","Robusta",L766="Exc", "Excelsa",L766="Ara", "Arabica",L766="Lib", "Liberica")</f>
        <v>Arabica</v>
      </c>
      <c r="R766" t="str" cm="1">
        <f t="array" ref="R766">_xlfn.IFS(M766="M","Medium",M766="L","Light",M766="D","Dark")</f>
        <v>Light</v>
      </c>
    </row>
    <row r="767" spans="1:18">
      <c r="A767" s="2" t="s">
        <v>1534</v>
      </c>
      <c r="B767" s="3">
        <v>43667</v>
      </c>
      <c r="C767" s="9">
        <f>YEAR(Orders_Table[[#This Row],[Order Date]])</f>
        <v>2019</v>
      </c>
      <c r="D767" s="9">
        <f>MONTH(Orders_Table[[#This Row],[Order Date]])</f>
        <v>7</v>
      </c>
      <c r="E767" s="9" t="str" cm="1">
        <f t="array" ref="E7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67" s="2" t="s">
        <v>1535</v>
      </c>
      <c r="G767" t="s">
        <v>49</v>
      </c>
      <c r="H767" s="2">
        <v>6</v>
      </c>
      <c r="I767" s="2" t="str" cm="1">
        <f t="array" ref="I767">_xlfn.XLOOKUP(F767,Customers!A766:$A$1001,Customers!B766:$B$1001,"Not Found",0)</f>
        <v>Rafferty Pursglove</v>
      </c>
      <c r="J767" s="2" t="str" cm="1">
        <f t="array" ref="J767">IF(_xlfn.XLOOKUP(F767,Customers!A766:$A$1001,Customers!C766:$C$1001,"Not Found",0)=0,"",_xlfn.XLOOKUP(F767,Customers!A766:$A$1001,Customers!C766:$C$1001,"Not Found",0))</f>
        <v>rpursglovel9@biblegateway.com</v>
      </c>
      <c r="K767" s="2" t="str" cm="1">
        <f t="array" ref="K767">_xlfn.XLOOKUP(F767,Customers!A766:$A$1001,Customers!G766:$G$1001,"Not Found",0)</f>
        <v>United States</v>
      </c>
      <c r="L767" t="str">
        <f>INDEX(Products!$A$1:$G$49,MATCH(Orders!$G767,Products!$A$1:$A$49,0),MATCH(Orders!L$1,Products!$A$1:$G$1,0))</f>
        <v>Rob</v>
      </c>
      <c r="M767" t="str">
        <f>INDEX(Products!$A$1:$G$49,MATCH(Orders!$G767,Products!$A$1:$A$49,0),MATCH(Orders!M$1,Products!$A$1:$G$1,0))</f>
        <v>M</v>
      </c>
      <c r="N767" s="4">
        <f>INDEX(Products!$A$1:$G$49,MATCH(Orders!$G767,Products!$A$1:$A$49,0),MATCH(Orders!N$1,Products!$A$1:$G$1,0))</f>
        <v>1</v>
      </c>
      <c r="O767" s="7">
        <f>INDEX(Products!$A$1:$G$49,MATCH(Orders!$G767,Products!$A$1:$A$49,0),MATCH(Orders!O$1,Products!$A$1:$G$1,0))</f>
        <v>9.9499999999999993</v>
      </c>
      <c r="P767" s="7">
        <f t="shared" si="11"/>
        <v>59.699999999999996</v>
      </c>
      <c r="Q767" t="str" cm="1">
        <f t="array" ref="Q767">_xlfn.IFS(L767="Rob","Robusta",L767="Exc", "Excelsa",L767="Ara", "Arabica",L767="Lib", "Liberica")</f>
        <v>Robusta</v>
      </c>
      <c r="R767" t="str" cm="1">
        <f t="array" ref="R767">_xlfn.IFS(M767="M","Medium",M767="L","Light",M767="D","Dark")</f>
        <v>Medium</v>
      </c>
    </row>
    <row r="768" spans="1:18">
      <c r="A768" s="2" t="s">
        <v>1534</v>
      </c>
      <c r="B768" s="3">
        <v>43667</v>
      </c>
      <c r="C768" s="9">
        <f>YEAR(Orders_Table[[#This Row],[Order Date]])</f>
        <v>2019</v>
      </c>
      <c r="D768" s="9">
        <f>MONTH(Orders_Table[[#This Row],[Order Date]])</f>
        <v>7</v>
      </c>
      <c r="E768" s="9" t="str" cm="1">
        <f t="array" ref="E7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68" s="2" t="s">
        <v>1535</v>
      </c>
      <c r="G768" t="s">
        <v>239</v>
      </c>
      <c r="H768" s="2">
        <v>2</v>
      </c>
      <c r="I768" s="2" t="str" cm="1">
        <f t="array" ref="I768">_xlfn.XLOOKUP(F768,Customers!A767:$A$1001,Customers!B767:$B$1001,"Not Found",0)</f>
        <v>Rafferty Pursglove</v>
      </c>
      <c r="J768" s="2" t="str" cm="1">
        <f t="array" ref="J768">IF(_xlfn.XLOOKUP(F768,Customers!A767:$A$1001,Customers!C767:$C$1001,"Not Found",0)=0,"",_xlfn.XLOOKUP(F768,Customers!A767:$A$1001,Customers!C767:$C$1001,"Not Found",0))</f>
        <v>rpursglovel9@biblegateway.com</v>
      </c>
      <c r="K768" s="2" t="str" cm="1">
        <f t="array" ref="K768">_xlfn.XLOOKUP(F768,Customers!A767:$A$1001,Customers!G767:$G$1001,"Not Found",0)</f>
        <v>United States</v>
      </c>
      <c r="L768" t="str">
        <f>INDEX(Products!$A$1:$G$49,MATCH(Orders!$G768,Products!$A$1:$A$49,0),MATCH(Orders!L$1,Products!$A$1:$G$1,0))</f>
        <v>Ara</v>
      </c>
      <c r="M768" t="str">
        <f>INDEX(Products!$A$1:$G$49,MATCH(Orders!$G768,Products!$A$1:$A$49,0),MATCH(Orders!M$1,Products!$A$1:$G$1,0))</f>
        <v>L</v>
      </c>
      <c r="N768" s="4">
        <f>INDEX(Products!$A$1:$G$49,MATCH(Orders!$G768,Products!$A$1:$A$49,0),MATCH(Orders!N$1,Products!$A$1:$G$1,0))</f>
        <v>0.5</v>
      </c>
      <c r="O768" s="7">
        <f>INDEX(Products!$A$1:$G$49,MATCH(Orders!$G768,Products!$A$1:$A$49,0),MATCH(Orders!O$1,Products!$A$1:$G$1,0))</f>
        <v>7.77</v>
      </c>
      <c r="P768" s="7">
        <f t="shared" si="11"/>
        <v>15.54</v>
      </c>
      <c r="Q768" t="str" cm="1">
        <f t="array" ref="Q768">_xlfn.IFS(L768="Rob","Robusta",L768="Exc", "Excelsa",L768="Ara", "Arabica",L768="Lib", "Liberica")</f>
        <v>Arabica</v>
      </c>
      <c r="R768" t="str" cm="1">
        <f t="array" ref="R768">_xlfn.IFS(M768="M","Medium",M768="L","Light",M768="D","Dark")</f>
        <v>Light</v>
      </c>
    </row>
    <row r="769" spans="1:18">
      <c r="A769" s="2" t="s">
        <v>1536</v>
      </c>
      <c r="B769" s="3">
        <v>44267</v>
      </c>
      <c r="C769" s="9">
        <f>YEAR(Orders_Table[[#This Row],[Order Date]])</f>
        <v>2021</v>
      </c>
      <c r="D769" s="9">
        <f>MONTH(Orders_Table[[#This Row],[Order Date]])</f>
        <v>3</v>
      </c>
      <c r="E769" s="9" t="str" cm="1">
        <f t="array" ref="E7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69" s="2" t="s">
        <v>1515</v>
      </c>
      <c r="G769" t="s">
        <v>251</v>
      </c>
      <c r="H769" s="2">
        <v>3</v>
      </c>
      <c r="I769" s="2" t="str" cm="1">
        <f t="array" ref="I769">_xlfn.XLOOKUP(F769,Customers!A768:$A$1001,Customers!B768:$B$1001,"Not Found",0)</f>
        <v>Not Found</v>
      </c>
      <c r="J769" s="2" t="str" cm="1">
        <f t="array" ref="J769">IF(_xlfn.XLOOKUP(F769,Customers!A768:$A$1001,Customers!C768:$C$1001,"Not Found",0)=0,"",_xlfn.XLOOKUP(F769,Customers!A768:$A$1001,Customers!C768:$C$1001,"Not Found",0))</f>
        <v>Not Found</v>
      </c>
      <c r="K769" s="2" t="str" cm="1">
        <f t="array" ref="K769">_xlfn.XLOOKUP(F769,Customers!A768:$A$1001,Customers!G768:$G$1001,"Not Found",0)</f>
        <v>Not Found</v>
      </c>
      <c r="L769" t="str">
        <f>INDEX(Products!$A$1:$G$49,MATCH(Orders!$G769,Products!$A$1:$A$49,0),MATCH(Orders!L$1,Products!$A$1:$G$1,0))</f>
        <v>Ara</v>
      </c>
      <c r="M769" t="str">
        <f>INDEX(Products!$A$1:$G$49,MATCH(Orders!$G769,Products!$A$1:$A$49,0),MATCH(Orders!M$1,Products!$A$1:$G$1,0))</f>
        <v>L</v>
      </c>
      <c r="N769" s="4">
        <f>INDEX(Products!$A$1:$G$49,MATCH(Orders!$G769,Products!$A$1:$A$49,0),MATCH(Orders!N$1,Products!$A$1:$G$1,0))</f>
        <v>2.5</v>
      </c>
      <c r="O769" s="7">
        <f>INDEX(Products!$A$1:$G$49,MATCH(Orders!$G769,Products!$A$1:$A$49,0),MATCH(Orders!O$1,Products!$A$1:$G$1,0))</f>
        <v>29.784999999999997</v>
      </c>
      <c r="P769" s="7">
        <f t="shared" si="11"/>
        <v>89.35499999999999</v>
      </c>
      <c r="Q769" t="str" cm="1">
        <f t="array" ref="Q769">_xlfn.IFS(L769="Rob","Robusta",L769="Exc", "Excelsa",L769="Ara", "Arabica",L769="Lib", "Liberica")</f>
        <v>Arabica</v>
      </c>
      <c r="R769" t="str" cm="1">
        <f t="array" ref="R769">_xlfn.IFS(M769="M","Medium",M769="L","Light",M769="D","Dark")</f>
        <v>Light</v>
      </c>
    </row>
    <row r="770" spans="1:18">
      <c r="A770" s="2" t="s">
        <v>1537</v>
      </c>
      <c r="B770" s="3">
        <v>44562</v>
      </c>
      <c r="C770" s="9">
        <f>YEAR(Orders_Table[[#This Row],[Order Date]])</f>
        <v>2022</v>
      </c>
      <c r="D770" s="9">
        <f>MONTH(Orders_Table[[#This Row],[Order Date]])</f>
        <v>1</v>
      </c>
      <c r="E770" s="9" t="str" cm="1">
        <f t="array" ref="E7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70" s="2" t="s">
        <v>1515</v>
      </c>
      <c r="G770" t="s">
        <v>236</v>
      </c>
      <c r="H770" s="2">
        <v>2</v>
      </c>
      <c r="I770" s="2" t="str" cm="1">
        <f t="array" ref="I770">_xlfn.XLOOKUP(F770,Customers!A769:$A$1001,Customers!B769:$B$1001,"Not Found",0)</f>
        <v>Not Found</v>
      </c>
      <c r="J770" s="2" t="str" cm="1">
        <f t="array" ref="J770">IF(_xlfn.XLOOKUP(F770,Customers!A769:$A$1001,Customers!C769:$C$1001,"Not Found",0)=0,"",_xlfn.XLOOKUP(F770,Customers!A769:$A$1001,Customers!C769:$C$1001,"Not Found",0))</f>
        <v>Not Found</v>
      </c>
      <c r="K770" s="2" t="str" cm="1">
        <f t="array" ref="K770">_xlfn.XLOOKUP(F770,Customers!A769:$A$1001,Customers!G769:$G$1001,"Not Found",0)</f>
        <v>Not Found</v>
      </c>
      <c r="L770" t="str">
        <f>INDEX(Products!$A$1:$G$49,MATCH(Orders!$G770,Products!$A$1:$A$49,0),MATCH(Orders!L$1,Products!$A$1:$G$1,0))</f>
        <v>Rob</v>
      </c>
      <c r="M770" t="str">
        <f>INDEX(Products!$A$1:$G$49,MATCH(Orders!$G770,Products!$A$1:$A$49,0),MATCH(Orders!M$1,Products!$A$1:$G$1,0))</f>
        <v>L</v>
      </c>
      <c r="N770" s="4">
        <f>INDEX(Products!$A$1:$G$49,MATCH(Orders!$G770,Products!$A$1:$A$49,0),MATCH(Orders!N$1,Products!$A$1:$G$1,0))</f>
        <v>1</v>
      </c>
      <c r="O770" s="7">
        <f>INDEX(Products!$A$1:$G$49,MATCH(Orders!$G770,Products!$A$1:$A$49,0),MATCH(Orders!O$1,Products!$A$1:$G$1,0))</f>
        <v>11.95</v>
      </c>
      <c r="P770" s="7">
        <f t="shared" si="11"/>
        <v>23.9</v>
      </c>
      <c r="Q770" t="str" cm="1">
        <f t="array" ref="Q770">_xlfn.IFS(L770="Rob","Robusta",L770="Exc", "Excelsa",L770="Ara", "Arabica",L770="Lib", "Liberica")</f>
        <v>Robusta</v>
      </c>
      <c r="R770" t="str" cm="1">
        <f t="array" ref="R770">_xlfn.IFS(M770="M","Medium",M770="L","Light",M770="D","Dark")</f>
        <v>Light</v>
      </c>
    </row>
    <row r="771" spans="1:18">
      <c r="A771" s="2" t="s">
        <v>1538</v>
      </c>
      <c r="B771" s="3">
        <v>43912</v>
      </c>
      <c r="C771" s="9">
        <f>YEAR(Orders_Table[[#This Row],[Order Date]])</f>
        <v>2020</v>
      </c>
      <c r="D771" s="9">
        <f>MONTH(Orders_Table[[#This Row],[Order Date]])</f>
        <v>3</v>
      </c>
      <c r="E771" s="9" t="str" cm="1">
        <f t="array" ref="E7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71" s="2" t="s">
        <v>1539</v>
      </c>
      <c r="G771" t="s">
        <v>88</v>
      </c>
      <c r="H771" s="2">
        <v>6</v>
      </c>
      <c r="I771" s="2" t="str" cm="1">
        <f t="array" ref="I771">_xlfn.XLOOKUP(F771,Customers!A770:$A$1001,Customers!B770:$B$1001,"Not Found",0)</f>
        <v>Dalia Eburah</v>
      </c>
      <c r="J771" s="2" t="str" cm="1">
        <f t="array" ref="J771">IF(_xlfn.XLOOKUP(F771,Customers!A770:$A$1001,Customers!C770:$C$1001,"Not Found",0)=0,"",_xlfn.XLOOKUP(F771,Customers!A770:$A$1001,Customers!C770:$C$1001,"Not Found",0))</f>
        <v>deburahld@google.co.jp</v>
      </c>
      <c r="K771" s="2" t="str" cm="1">
        <f t="array" ref="K771">_xlfn.XLOOKUP(F771,Customers!A770:$A$1001,Customers!G770:$G$1001,"Not Found",0)</f>
        <v>United Kingdom</v>
      </c>
      <c r="L771" t="str">
        <f>INDEX(Products!$A$1:$G$49,MATCH(Orders!$G771,Products!$A$1:$A$49,0),MATCH(Orders!L$1,Products!$A$1:$G$1,0))</f>
        <v>Rob</v>
      </c>
      <c r="M771" t="str">
        <f>INDEX(Products!$A$1:$G$49,MATCH(Orders!$G771,Products!$A$1:$A$49,0),MATCH(Orders!M$1,Products!$A$1:$G$1,0))</f>
        <v>M</v>
      </c>
      <c r="N771" s="4">
        <f>INDEX(Products!$A$1:$G$49,MATCH(Orders!$G771,Products!$A$1:$A$49,0),MATCH(Orders!N$1,Products!$A$1:$G$1,0))</f>
        <v>2.5</v>
      </c>
      <c r="O771" s="7">
        <f>INDEX(Products!$A$1:$G$49,MATCH(Orders!$G771,Products!$A$1:$A$49,0),MATCH(Orders!O$1,Products!$A$1:$G$1,0))</f>
        <v>22.884999999999998</v>
      </c>
      <c r="P771" s="7">
        <f t="shared" ref="P771:P834" si="12">O771*H771</f>
        <v>137.31</v>
      </c>
      <c r="Q771" t="str" cm="1">
        <f t="array" ref="Q771">_xlfn.IFS(L771="Rob","Robusta",L771="Exc", "Excelsa",L771="Ara", "Arabica",L771="Lib", "Liberica")</f>
        <v>Robusta</v>
      </c>
      <c r="R771" t="str" cm="1">
        <f t="array" ref="R771">_xlfn.IFS(M771="M","Medium",M771="L","Light",M771="D","Dark")</f>
        <v>Medium</v>
      </c>
    </row>
    <row r="772" spans="1:18">
      <c r="A772" s="2" t="s">
        <v>1540</v>
      </c>
      <c r="B772" s="3">
        <v>44092</v>
      </c>
      <c r="C772" s="9">
        <f>YEAR(Orders_Table[[#This Row],[Order Date]])</f>
        <v>2020</v>
      </c>
      <c r="D772" s="9">
        <f>MONTH(Orders_Table[[#This Row],[Order Date]])</f>
        <v>9</v>
      </c>
      <c r="E772" s="9" t="str" cm="1">
        <f t="array" ref="E7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772" s="2" t="s">
        <v>1541</v>
      </c>
      <c r="G772" t="s">
        <v>74</v>
      </c>
      <c r="H772" s="2">
        <v>1</v>
      </c>
      <c r="I772" s="2" t="str" cm="1">
        <f t="array" ref="I772">_xlfn.XLOOKUP(F772,Customers!A771:$A$1001,Customers!B771:$B$1001,"Not Found",0)</f>
        <v>Martie Brimilcombe</v>
      </c>
      <c r="J772" s="2" t="str" cm="1">
        <f t="array" ref="J772">IF(_xlfn.XLOOKUP(F772,Customers!A771:$A$1001,Customers!C771:$C$1001,"Not Found",0)=0,"",_xlfn.XLOOKUP(F772,Customers!A771:$A$1001,Customers!C771:$C$1001,"Not Found",0))</f>
        <v>mbrimilcombele@cnn.com</v>
      </c>
      <c r="K772" s="2" t="str" cm="1">
        <f t="array" ref="K772">_xlfn.XLOOKUP(F772,Customers!A771:$A$1001,Customers!G771:$G$1001,"Not Found",0)</f>
        <v>United States</v>
      </c>
      <c r="L772" t="str">
        <f>INDEX(Products!$A$1:$G$49,MATCH(Orders!$G772,Products!$A$1:$A$49,0),MATCH(Orders!L$1,Products!$A$1:$G$1,0))</f>
        <v>Ara</v>
      </c>
      <c r="M772" t="str">
        <f>INDEX(Products!$A$1:$G$49,MATCH(Orders!$G772,Products!$A$1:$A$49,0),MATCH(Orders!M$1,Products!$A$1:$G$1,0))</f>
        <v>D</v>
      </c>
      <c r="N772" s="4">
        <f>INDEX(Products!$A$1:$G$49,MATCH(Orders!$G772,Products!$A$1:$A$49,0),MATCH(Orders!N$1,Products!$A$1:$G$1,0))</f>
        <v>1</v>
      </c>
      <c r="O772" s="7">
        <f>INDEX(Products!$A$1:$G$49,MATCH(Orders!$G772,Products!$A$1:$A$49,0),MATCH(Orders!O$1,Products!$A$1:$G$1,0))</f>
        <v>9.9499999999999993</v>
      </c>
      <c r="P772" s="7">
        <f t="shared" si="12"/>
        <v>9.9499999999999993</v>
      </c>
      <c r="Q772" t="str" cm="1">
        <f t="array" ref="Q772">_xlfn.IFS(L772="Rob","Robusta",L772="Exc", "Excelsa",L772="Ara", "Arabica",L772="Lib", "Liberica")</f>
        <v>Arabica</v>
      </c>
      <c r="R772" t="str" cm="1">
        <f t="array" ref="R772">_xlfn.IFS(M772="M","Medium",M772="L","Light",M772="D","Dark")</f>
        <v>Dark</v>
      </c>
    </row>
    <row r="773" spans="1:18">
      <c r="A773" s="2" t="s">
        <v>1542</v>
      </c>
      <c r="B773" s="3">
        <v>43468</v>
      </c>
      <c r="C773" s="9">
        <f>YEAR(Orders_Table[[#This Row],[Order Date]])</f>
        <v>2019</v>
      </c>
      <c r="D773" s="9">
        <f>MONTH(Orders_Table[[#This Row],[Order Date]])</f>
        <v>1</v>
      </c>
      <c r="E773" s="9" t="str" cm="1">
        <f t="array" ref="E7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73" s="2" t="s">
        <v>1543</v>
      </c>
      <c r="G773" t="s">
        <v>204</v>
      </c>
      <c r="H773" s="2">
        <v>3</v>
      </c>
      <c r="I773" s="2" t="str" cm="1">
        <f t="array" ref="I773">_xlfn.XLOOKUP(F773,Customers!A772:$A$1001,Customers!B772:$B$1001,"Not Found",0)</f>
        <v>Suzanna Bollam</v>
      </c>
      <c r="J773" s="2" t="str" cm="1">
        <f t="array" ref="J773">IF(_xlfn.XLOOKUP(F773,Customers!A772:$A$1001,Customers!C772:$C$1001,"Not Found",0)=0,"",_xlfn.XLOOKUP(F773,Customers!A772:$A$1001,Customers!C772:$C$1001,"Not Found",0))</f>
        <v>sbollamlf@list-manage.com</v>
      </c>
      <c r="K773" s="2" t="str" cm="1">
        <f t="array" ref="K773">_xlfn.XLOOKUP(F773,Customers!A772:$A$1001,Customers!G772:$G$1001,"Not Found",0)</f>
        <v>United States</v>
      </c>
      <c r="L773" t="str">
        <f>INDEX(Products!$A$1:$G$49,MATCH(Orders!$G773,Products!$A$1:$A$49,0),MATCH(Orders!L$1,Products!$A$1:$G$1,0))</f>
        <v>Rob</v>
      </c>
      <c r="M773" t="str">
        <f>INDEX(Products!$A$1:$G$49,MATCH(Orders!$G773,Products!$A$1:$A$49,0),MATCH(Orders!M$1,Products!$A$1:$G$1,0))</f>
        <v>L</v>
      </c>
      <c r="N773" s="4">
        <f>INDEX(Products!$A$1:$G$49,MATCH(Orders!$G773,Products!$A$1:$A$49,0),MATCH(Orders!N$1,Products!$A$1:$G$1,0))</f>
        <v>0.5</v>
      </c>
      <c r="O773" s="7">
        <f>INDEX(Products!$A$1:$G$49,MATCH(Orders!$G773,Products!$A$1:$A$49,0),MATCH(Orders!O$1,Products!$A$1:$G$1,0))</f>
        <v>7.169999999999999</v>
      </c>
      <c r="P773" s="7">
        <f t="shared" si="12"/>
        <v>21.509999999999998</v>
      </c>
      <c r="Q773" t="str" cm="1">
        <f t="array" ref="Q773">_xlfn.IFS(L773="Rob","Robusta",L773="Exc", "Excelsa",L773="Ara", "Arabica",L773="Lib", "Liberica")</f>
        <v>Robusta</v>
      </c>
      <c r="R773" t="str" cm="1">
        <f t="array" ref="R773">_xlfn.IFS(M773="M","Medium",M773="L","Light",M773="D","Dark")</f>
        <v>Light</v>
      </c>
    </row>
    <row r="774" spans="1:18">
      <c r="A774" s="2" t="s">
        <v>1544</v>
      </c>
      <c r="B774" s="3">
        <v>44468</v>
      </c>
      <c r="C774" s="9">
        <f>YEAR(Orders_Table[[#This Row],[Order Date]])</f>
        <v>2021</v>
      </c>
      <c r="D774" s="9">
        <f>MONTH(Orders_Table[[#This Row],[Order Date]])</f>
        <v>9</v>
      </c>
      <c r="E774" s="9" t="str" cm="1">
        <f t="array" ref="E7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774" s="2" t="s">
        <v>1545</v>
      </c>
      <c r="G774" t="s">
        <v>56</v>
      </c>
      <c r="H774" s="2">
        <v>6</v>
      </c>
      <c r="I774" s="2" t="str" cm="1">
        <f t="array" ref="I774">_xlfn.XLOOKUP(F774,Customers!A773:$A$1001,Customers!B773:$B$1001,"Not Found",0)</f>
        <v>Mellisa Mebes</v>
      </c>
      <c r="J774" s="2" t="str" cm="1">
        <f t="array" ref="J774">IF(_xlfn.XLOOKUP(F774,Customers!A773:$A$1001,Customers!C773:$C$1001,"Not Found",0)=0,"",_xlfn.XLOOKUP(F774,Customers!A773:$A$1001,Customers!C773:$C$1001,"Not Found",0))</f>
        <v/>
      </c>
      <c r="K774" s="2" t="str" cm="1">
        <f t="array" ref="K774">_xlfn.XLOOKUP(F774,Customers!A773:$A$1001,Customers!G773:$G$1001,"Not Found",0)</f>
        <v>United States</v>
      </c>
      <c r="L774" t="str">
        <f>INDEX(Products!$A$1:$G$49,MATCH(Orders!$G774,Products!$A$1:$A$49,0),MATCH(Orders!L$1,Products!$A$1:$G$1,0))</f>
        <v>Exc</v>
      </c>
      <c r="M774" t="str">
        <f>INDEX(Products!$A$1:$G$49,MATCH(Orders!$G774,Products!$A$1:$A$49,0),MATCH(Orders!M$1,Products!$A$1:$G$1,0))</f>
        <v>M</v>
      </c>
      <c r="N774" s="4">
        <f>INDEX(Products!$A$1:$G$49,MATCH(Orders!$G774,Products!$A$1:$A$49,0),MATCH(Orders!N$1,Products!$A$1:$G$1,0))</f>
        <v>1</v>
      </c>
      <c r="O774" s="7">
        <f>INDEX(Products!$A$1:$G$49,MATCH(Orders!$G774,Products!$A$1:$A$49,0),MATCH(Orders!O$1,Products!$A$1:$G$1,0))</f>
        <v>13.75</v>
      </c>
      <c r="P774" s="7">
        <f t="shared" si="12"/>
        <v>82.5</v>
      </c>
      <c r="Q774" t="str" cm="1">
        <f t="array" ref="Q774">_xlfn.IFS(L774="Rob","Robusta",L774="Exc", "Excelsa",L774="Ara", "Arabica",L774="Lib", "Liberica")</f>
        <v>Excelsa</v>
      </c>
      <c r="R774" t="str" cm="1">
        <f t="array" ref="R774">_xlfn.IFS(M774="M","Medium",M774="L","Light",M774="D","Dark")</f>
        <v>Medium</v>
      </c>
    </row>
    <row r="775" spans="1:18">
      <c r="A775" s="2" t="s">
        <v>1546</v>
      </c>
      <c r="B775" s="3">
        <v>44488</v>
      </c>
      <c r="C775" s="9">
        <f>YEAR(Orders_Table[[#This Row],[Order Date]])</f>
        <v>2021</v>
      </c>
      <c r="D775" s="9">
        <f>MONTH(Orders_Table[[#This Row],[Order Date]])</f>
        <v>10</v>
      </c>
      <c r="E775" s="9" t="str" cm="1">
        <f t="array" ref="E7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775" s="2" t="s">
        <v>1547</v>
      </c>
      <c r="G775" t="s">
        <v>124</v>
      </c>
      <c r="H775" s="2">
        <v>2</v>
      </c>
      <c r="I775" s="2" t="str" cm="1">
        <f t="array" ref="I775">_xlfn.XLOOKUP(F775,Customers!A774:$A$1001,Customers!B774:$B$1001,"Not Found",0)</f>
        <v>Alva Filipczak</v>
      </c>
      <c r="J775" s="2" t="str" cm="1">
        <f t="array" ref="J775">IF(_xlfn.XLOOKUP(F775,Customers!A774:$A$1001,Customers!C774:$C$1001,"Not Found",0)=0,"",_xlfn.XLOOKUP(F775,Customers!A774:$A$1001,Customers!C774:$C$1001,"Not Found",0))</f>
        <v>afilipczaklh@ning.com</v>
      </c>
      <c r="K775" s="2" t="str" cm="1">
        <f t="array" ref="K775">_xlfn.XLOOKUP(F775,Customers!A774:$A$1001,Customers!G774:$G$1001,"Not Found",0)</f>
        <v>Ireland</v>
      </c>
      <c r="L775" t="str">
        <f>INDEX(Products!$A$1:$G$49,MATCH(Orders!$G775,Products!$A$1:$A$49,0),MATCH(Orders!L$1,Products!$A$1:$G$1,0))</f>
        <v>Lib</v>
      </c>
      <c r="M775" t="str">
        <f>INDEX(Products!$A$1:$G$49,MATCH(Orders!$G775,Products!$A$1:$A$49,0),MATCH(Orders!M$1,Products!$A$1:$G$1,0))</f>
        <v>M</v>
      </c>
      <c r="N775" s="4">
        <f>INDEX(Products!$A$1:$G$49,MATCH(Orders!$G775,Products!$A$1:$A$49,0),MATCH(Orders!N$1,Products!$A$1:$G$1,0))</f>
        <v>0.2</v>
      </c>
      <c r="O775" s="7">
        <f>INDEX(Products!$A$1:$G$49,MATCH(Orders!$G775,Products!$A$1:$A$49,0),MATCH(Orders!O$1,Products!$A$1:$G$1,0))</f>
        <v>4.3650000000000002</v>
      </c>
      <c r="P775" s="7">
        <f t="shared" si="12"/>
        <v>8.73</v>
      </c>
      <c r="Q775" t="str" cm="1">
        <f t="array" ref="Q775">_xlfn.IFS(L775="Rob","Robusta",L775="Exc", "Excelsa",L775="Ara", "Arabica",L775="Lib", "Liberica")</f>
        <v>Liberica</v>
      </c>
      <c r="R775" t="str" cm="1">
        <f t="array" ref="R775">_xlfn.IFS(M775="M","Medium",M775="L","Light",M775="D","Dark")</f>
        <v>Medium</v>
      </c>
    </row>
    <row r="776" spans="1:18">
      <c r="A776" s="2" t="s">
        <v>1548</v>
      </c>
      <c r="B776" s="3">
        <v>44756</v>
      </c>
      <c r="C776" s="9">
        <f>YEAR(Orders_Table[[#This Row],[Order Date]])</f>
        <v>2022</v>
      </c>
      <c r="D776" s="9">
        <f>MONTH(Orders_Table[[#This Row],[Order Date]])</f>
        <v>7</v>
      </c>
      <c r="E776" s="9" t="str" cm="1">
        <f t="array" ref="E7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76" s="2" t="s">
        <v>1549</v>
      </c>
      <c r="G776" t="s">
        <v>49</v>
      </c>
      <c r="H776" s="2">
        <v>2</v>
      </c>
      <c r="I776" s="2" t="str" cm="1">
        <f t="array" ref="I776">_xlfn.XLOOKUP(F776,Customers!A775:$A$1001,Customers!B775:$B$1001,"Not Found",0)</f>
        <v>Dorette Hinemoor</v>
      </c>
      <c r="J776" s="2" t="str" cm="1">
        <f t="array" ref="J776">IF(_xlfn.XLOOKUP(F776,Customers!A775:$A$1001,Customers!C775:$C$1001,"Not Found",0)=0,"",_xlfn.XLOOKUP(F776,Customers!A775:$A$1001,Customers!C775:$C$1001,"Not Found",0))</f>
        <v/>
      </c>
      <c r="K776" s="2" t="str" cm="1">
        <f t="array" ref="K776">_xlfn.XLOOKUP(F776,Customers!A775:$A$1001,Customers!G775:$G$1001,"Not Found",0)</f>
        <v>United States</v>
      </c>
      <c r="L776" t="str">
        <f>INDEX(Products!$A$1:$G$49,MATCH(Orders!$G776,Products!$A$1:$A$49,0),MATCH(Orders!L$1,Products!$A$1:$G$1,0))</f>
        <v>Rob</v>
      </c>
      <c r="M776" t="str">
        <f>INDEX(Products!$A$1:$G$49,MATCH(Orders!$G776,Products!$A$1:$A$49,0),MATCH(Orders!M$1,Products!$A$1:$G$1,0))</f>
        <v>M</v>
      </c>
      <c r="N776" s="4">
        <f>INDEX(Products!$A$1:$G$49,MATCH(Orders!$G776,Products!$A$1:$A$49,0),MATCH(Orders!N$1,Products!$A$1:$G$1,0))</f>
        <v>1</v>
      </c>
      <c r="O776" s="7">
        <f>INDEX(Products!$A$1:$G$49,MATCH(Orders!$G776,Products!$A$1:$A$49,0),MATCH(Orders!O$1,Products!$A$1:$G$1,0))</f>
        <v>9.9499999999999993</v>
      </c>
      <c r="P776" s="7">
        <f t="shared" si="12"/>
        <v>19.899999999999999</v>
      </c>
      <c r="Q776" t="str" cm="1">
        <f t="array" ref="Q776">_xlfn.IFS(L776="Rob","Robusta",L776="Exc", "Excelsa",L776="Ara", "Arabica",L776="Lib", "Liberica")</f>
        <v>Robusta</v>
      </c>
      <c r="R776" t="str" cm="1">
        <f t="array" ref="R776">_xlfn.IFS(M776="M","Medium",M776="L","Light",M776="D","Dark")</f>
        <v>Medium</v>
      </c>
    </row>
    <row r="777" spans="1:18">
      <c r="A777" s="2" t="s">
        <v>1550</v>
      </c>
      <c r="B777" s="3">
        <v>44396</v>
      </c>
      <c r="C777" s="9">
        <f>YEAR(Orders_Table[[#This Row],[Order Date]])</f>
        <v>2021</v>
      </c>
      <c r="D777" s="9">
        <f>MONTH(Orders_Table[[#This Row],[Order Date]])</f>
        <v>7</v>
      </c>
      <c r="E777" s="9" t="str" cm="1">
        <f t="array" ref="E7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77" s="2" t="s">
        <v>1551</v>
      </c>
      <c r="G777" t="s">
        <v>223</v>
      </c>
      <c r="H777" s="2">
        <v>2</v>
      </c>
      <c r="I777" s="2" t="str" cm="1">
        <f t="array" ref="I777">_xlfn.XLOOKUP(F777,Customers!A776:$A$1001,Customers!B776:$B$1001,"Not Found",0)</f>
        <v>Rhetta Elnaugh</v>
      </c>
      <c r="J777" s="2" t="str" cm="1">
        <f t="array" ref="J777">IF(_xlfn.XLOOKUP(F777,Customers!A776:$A$1001,Customers!C776:$C$1001,"Not Found",0)=0,"",_xlfn.XLOOKUP(F777,Customers!A776:$A$1001,Customers!C776:$C$1001,"Not Found",0))</f>
        <v>relnaughlj@comsenz.com</v>
      </c>
      <c r="K777" s="2" t="str" cm="1">
        <f t="array" ref="K777">_xlfn.XLOOKUP(F777,Customers!A776:$A$1001,Customers!G776:$G$1001,"Not Found",0)</f>
        <v>United States</v>
      </c>
      <c r="L777" t="str">
        <f>INDEX(Products!$A$1:$G$49,MATCH(Orders!$G777,Products!$A$1:$A$49,0),MATCH(Orders!L$1,Products!$A$1:$G$1,0))</f>
        <v>Exc</v>
      </c>
      <c r="M777" t="str">
        <f>INDEX(Products!$A$1:$G$49,MATCH(Orders!$G777,Products!$A$1:$A$49,0),MATCH(Orders!M$1,Products!$A$1:$G$1,0))</f>
        <v>L</v>
      </c>
      <c r="N777" s="4">
        <f>INDEX(Products!$A$1:$G$49,MATCH(Orders!$G777,Products!$A$1:$A$49,0),MATCH(Orders!N$1,Products!$A$1:$G$1,0))</f>
        <v>0.5</v>
      </c>
      <c r="O777" s="7">
        <f>INDEX(Products!$A$1:$G$49,MATCH(Orders!$G777,Products!$A$1:$A$49,0),MATCH(Orders!O$1,Products!$A$1:$G$1,0))</f>
        <v>8.91</v>
      </c>
      <c r="P777" s="7">
        <f t="shared" si="12"/>
        <v>17.82</v>
      </c>
      <c r="Q777" t="str" cm="1">
        <f t="array" ref="Q777">_xlfn.IFS(L777="Rob","Robusta",L777="Exc", "Excelsa",L777="Ara", "Arabica",L777="Lib", "Liberica")</f>
        <v>Excelsa</v>
      </c>
      <c r="R777" t="str" cm="1">
        <f t="array" ref="R777">_xlfn.IFS(M777="M","Medium",M777="L","Light",M777="D","Dark")</f>
        <v>Light</v>
      </c>
    </row>
    <row r="778" spans="1:18">
      <c r="A778" s="2" t="s">
        <v>1552</v>
      </c>
      <c r="B778" s="3">
        <v>44540</v>
      </c>
      <c r="C778" s="9">
        <f>YEAR(Orders_Table[[#This Row],[Order Date]])</f>
        <v>2021</v>
      </c>
      <c r="D778" s="9">
        <f>MONTH(Orders_Table[[#This Row],[Order Date]])</f>
        <v>12</v>
      </c>
      <c r="E778" s="9" t="str" cm="1">
        <f t="array" ref="E7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78" s="2" t="s">
        <v>1553</v>
      </c>
      <c r="G778" t="s">
        <v>114</v>
      </c>
      <c r="H778" s="2">
        <v>3</v>
      </c>
      <c r="I778" s="2" t="str" cm="1">
        <f t="array" ref="I778">_xlfn.XLOOKUP(F778,Customers!A777:$A$1001,Customers!B777:$B$1001,"Not Found",0)</f>
        <v>Jule Deehan</v>
      </c>
      <c r="J778" s="2" t="str" cm="1">
        <f t="array" ref="J778">IF(_xlfn.XLOOKUP(F778,Customers!A777:$A$1001,Customers!C777:$C$1001,"Not Found",0)=0,"",_xlfn.XLOOKUP(F778,Customers!A777:$A$1001,Customers!C777:$C$1001,"Not Found",0))</f>
        <v>jdeehanlk@about.me</v>
      </c>
      <c r="K778" s="2" t="str" cm="1">
        <f t="array" ref="K778">_xlfn.XLOOKUP(F778,Customers!A777:$A$1001,Customers!G777:$G$1001,"Not Found",0)</f>
        <v>United States</v>
      </c>
      <c r="L778" t="str">
        <f>INDEX(Products!$A$1:$G$49,MATCH(Orders!$G778,Products!$A$1:$A$49,0),MATCH(Orders!L$1,Products!$A$1:$G$1,0))</f>
        <v>Ara</v>
      </c>
      <c r="M778" t="str">
        <f>INDEX(Products!$A$1:$G$49,MATCH(Orders!$G778,Products!$A$1:$A$49,0),MATCH(Orders!M$1,Products!$A$1:$G$1,0))</f>
        <v>M</v>
      </c>
      <c r="N778" s="4">
        <f>INDEX(Products!$A$1:$G$49,MATCH(Orders!$G778,Products!$A$1:$A$49,0),MATCH(Orders!N$1,Products!$A$1:$G$1,0))</f>
        <v>0.5</v>
      </c>
      <c r="O778" s="7">
        <f>INDEX(Products!$A$1:$G$49,MATCH(Orders!$G778,Products!$A$1:$A$49,0),MATCH(Orders!O$1,Products!$A$1:$G$1,0))</f>
        <v>6.75</v>
      </c>
      <c r="P778" s="7">
        <f t="shared" si="12"/>
        <v>20.25</v>
      </c>
      <c r="Q778" t="str" cm="1">
        <f t="array" ref="Q778">_xlfn.IFS(L778="Rob","Robusta",L778="Exc", "Excelsa",L778="Ara", "Arabica",L778="Lib", "Liberica")</f>
        <v>Arabica</v>
      </c>
      <c r="R778" t="str" cm="1">
        <f t="array" ref="R778">_xlfn.IFS(M778="M","Medium",M778="L","Light",M778="D","Dark")</f>
        <v>Medium</v>
      </c>
    </row>
    <row r="779" spans="1:18">
      <c r="A779" s="2" t="s">
        <v>1554</v>
      </c>
      <c r="B779" s="3">
        <v>43541</v>
      </c>
      <c r="C779" s="9">
        <f>YEAR(Orders_Table[[#This Row],[Order Date]])</f>
        <v>2019</v>
      </c>
      <c r="D779" s="9">
        <f>MONTH(Orders_Table[[#This Row],[Order Date]])</f>
        <v>3</v>
      </c>
      <c r="E779" s="9" t="str" cm="1">
        <f t="array" ref="E7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79" s="2" t="s">
        <v>1555</v>
      </c>
      <c r="G779" t="s">
        <v>251</v>
      </c>
      <c r="H779" s="2">
        <v>2</v>
      </c>
      <c r="I779" s="2" t="str" cm="1">
        <f t="array" ref="I779">_xlfn.XLOOKUP(F779,Customers!A778:$A$1001,Customers!B778:$B$1001,"Not Found",0)</f>
        <v>Janella Eden</v>
      </c>
      <c r="J779" s="2" t="str" cm="1">
        <f t="array" ref="J779">IF(_xlfn.XLOOKUP(F779,Customers!A778:$A$1001,Customers!C778:$C$1001,"Not Found",0)=0,"",_xlfn.XLOOKUP(F779,Customers!A778:$A$1001,Customers!C778:$C$1001,"Not Found",0))</f>
        <v>jedenll@e-recht24.de</v>
      </c>
      <c r="K779" s="2" t="str" cm="1">
        <f t="array" ref="K779">_xlfn.XLOOKUP(F779,Customers!A778:$A$1001,Customers!G778:$G$1001,"Not Found",0)</f>
        <v>United States</v>
      </c>
      <c r="L779" t="str">
        <f>INDEX(Products!$A$1:$G$49,MATCH(Orders!$G779,Products!$A$1:$A$49,0),MATCH(Orders!L$1,Products!$A$1:$G$1,0))</f>
        <v>Ara</v>
      </c>
      <c r="M779" t="str">
        <f>INDEX(Products!$A$1:$G$49,MATCH(Orders!$G779,Products!$A$1:$A$49,0),MATCH(Orders!M$1,Products!$A$1:$G$1,0))</f>
        <v>L</v>
      </c>
      <c r="N779" s="4">
        <f>INDEX(Products!$A$1:$G$49,MATCH(Orders!$G779,Products!$A$1:$A$49,0),MATCH(Orders!N$1,Products!$A$1:$G$1,0))</f>
        <v>2.5</v>
      </c>
      <c r="O779" s="7">
        <f>INDEX(Products!$A$1:$G$49,MATCH(Orders!$G779,Products!$A$1:$A$49,0),MATCH(Orders!O$1,Products!$A$1:$G$1,0))</f>
        <v>29.784999999999997</v>
      </c>
      <c r="P779" s="7">
        <f t="shared" si="12"/>
        <v>59.569999999999993</v>
      </c>
      <c r="Q779" t="str" cm="1">
        <f t="array" ref="Q779">_xlfn.IFS(L779="Rob","Robusta",L779="Exc", "Excelsa",L779="Ara", "Arabica",L779="Lib", "Liberica")</f>
        <v>Arabica</v>
      </c>
      <c r="R779" t="str" cm="1">
        <f t="array" ref="R779">_xlfn.IFS(M779="M","Medium",M779="L","Light",M779="D","Dark")</f>
        <v>Light</v>
      </c>
    </row>
    <row r="780" spans="1:18">
      <c r="A780" s="2" t="s">
        <v>1556</v>
      </c>
      <c r="B780" s="3">
        <v>43889</v>
      </c>
      <c r="C780" s="9">
        <f>YEAR(Orders_Table[[#This Row],[Order Date]])</f>
        <v>2020</v>
      </c>
      <c r="D780" s="9">
        <f>MONTH(Orders_Table[[#This Row],[Order Date]])</f>
        <v>2</v>
      </c>
      <c r="E780" s="9" t="str" cm="1">
        <f t="array" ref="E7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80" s="2" t="s">
        <v>1557</v>
      </c>
      <c r="G780" t="s">
        <v>130</v>
      </c>
      <c r="H780" s="2">
        <v>2</v>
      </c>
      <c r="I780" s="2" t="str" cm="1">
        <f t="array" ref="I780">_xlfn.XLOOKUP(F780,Customers!A779:$A$1001,Customers!B779:$B$1001,"Not Found",0)</f>
        <v>Cam Jewster</v>
      </c>
      <c r="J780" s="2" t="str" cm="1">
        <f t="array" ref="J780">IF(_xlfn.XLOOKUP(F780,Customers!A779:$A$1001,Customers!C779:$C$1001,"Not Found",0)=0,"",_xlfn.XLOOKUP(F780,Customers!A779:$A$1001,Customers!C779:$C$1001,"Not Found",0))</f>
        <v>cjewsterlu@moonfruit.com</v>
      </c>
      <c r="K780" s="2" t="str" cm="1">
        <f t="array" ref="K780">_xlfn.XLOOKUP(F780,Customers!A779:$A$1001,Customers!G779:$G$1001,"Not Found",0)</f>
        <v>United States</v>
      </c>
      <c r="L780" t="str">
        <f>INDEX(Products!$A$1:$G$49,MATCH(Orders!$G780,Products!$A$1:$A$49,0),MATCH(Orders!L$1,Products!$A$1:$G$1,0))</f>
        <v>Lib</v>
      </c>
      <c r="M780" t="str">
        <f>INDEX(Products!$A$1:$G$49,MATCH(Orders!$G780,Products!$A$1:$A$49,0),MATCH(Orders!M$1,Products!$A$1:$G$1,0))</f>
        <v>L</v>
      </c>
      <c r="N780" s="4">
        <f>INDEX(Products!$A$1:$G$49,MATCH(Orders!$G780,Products!$A$1:$A$49,0),MATCH(Orders!N$1,Products!$A$1:$G$1,0))</f>
        <v>0.5</v>
      </c>
      <c r="O780" s="7">
        <f>INDEX(Products!$A$1:$G$49,MATCH(Orders!$G780,Products!$A$1:$A$49,0),MATCH(Orders!O$1,Products!$A$1:$G$1,0))</f>
        <v>9.51</v>
      </c>
      <c r="P780" s="7">
        <f t="shared" si="12"/>
        <v>19.02</v>
      </c>
      <c r="Q780" t="str" cm="1">
        <f t="array" ref="Q780">_xlfn.IFS(L780="Rob","Robusta",L780="Exc", "Excelsa",L780="Ara", "Arabica",L780="Lib", "Liberica")</f>
        <v>Liberica</v>
      </c>
      <c r="R780" t="str" cm="1">
        <f t="array" ref="R780">_xlfn.IFS(M780="M","Medium",M780="L","Light",M780="D","Dark")</f>
        <v>Light</v>
      </c>
    </row>
    <row r="781" spans="1:18">
      <c r="A781" s="2" t="s">
        <v>1558</v>
      </c>
      <c r="B781" s="3">
        <v>43985</v>
      </c>
      <c r="C781" s="9">
        <f>YEAR(Orders_Table[[#This Row],[Order Date]])</f>
        <v>2020</v>
      </c>
      <c r="D781" s="9">
        <f>MONTH(Orders_Table[[#This Row],[Order Date]])</f>
        <v>6</v>
      </c>
      <c r="E781" s="9" t="str" cm="1">
        <f t="array" ref="E7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81" s="2" t="s">
        <v>1559</v>
      </c>
      <c r="G781" t="s">
        <v>60</v>
      </c>
      <c r="H781" s="2">
        <v>6</v>
      </c>
      <c r="I781" s="2" t="str" cm="1">
        <f t="array" ref="I781">_xlfn.XLOOKUP(F781,Customers!A780:$A$1001,Customers!B780:$B$1001,"Not Found",0)</f>
        <v>Ugo Southerden</v>
      </c>
      <c r="J781" s="2" t="str" cm="1">
        <f t="array" ref="J781">IF(_xlfn.XLOOKUP(F781,Customers!A780:$A$1001,Customers!C780:$C$1001,"Not Found",0)=0,"",_xlfn.XLOOKUP(F781,Customers!A780:$A$1001,Customers!C780:$C$1001,"Not Found",0))</f>
        <v>usoutherdenln@hao123.com</v>
      </c>
      <c r="K781" s="2" t="str" cm="1">
        <f t="array" ref="K781">_xlfn.XLOOKUP(F781,Customers!A780:$A$1001,Customers!G780:$G$1001,"Not Found",0)</f>
        <v>United States</v>
      </c>
      <c r="L781" t="str">
        <f>INDEX(Products!$A$1:$G$49,MATCH(Orders!$G781,Products!$A$1:$A$49,0),MATCH(Orders!L$1,Products!$A$1:$G$1,0))</f>
        <v>Lib</v>
      </c>
      <c r="M781" t="str">
        <f>INDEX(Products!$A$1:$G$49,MATCH(Orders!$G781,Products!$A$1:$A$49,0),MATCH(Orders!M$1,Products!$A$1:$G$1,0))</f>
        <v>D</v>
      </c>
      <c r="N781" s="4">
        <f>INDEX(Products!$A$1:$G$49,MATCH(Orders!$G781,Products!$A$1:$A$49,0),MATCH(Orders!N$1,Products!$A$1:$G$1,0))</f>
        <v>1</v>
      </c>
      <c r="O781" s="7">
        <f>INDEX(Products!$A$1:$G$49,MATCH(Orders!$G781,Products!$A$1:$A$49,0),MATCH(Orders!O$1,Products!$A$1:$G$1,0))</f>
        <v>12.95</v>
      </c>
      <c r="P781" s="7">
        <f t="shared" si="12"/>
        <v>77.699999999999989</v>
      </c>
      <c r="Q781" t="str" cm="1">
        <f t="array" ref="Q781">_xlfn.IFS(L781="Rob","Robusta",L781="Exc", "Excelsa",L781="Ara", "Arabica",L781="Lib", "Liberica")</f>
        <v>Liberica</v>
      </c>
      <c r="R781" t="str" cm="1">
        <f t="array" ref="R781">_xlfn.IFS(M781="M","Medium",M781="L","Light",M781="D","Dark")</f>
        <v>Dark</v>
      </c>
    </row>
    <row r="782" spans="1:18">
      <c r="A782" s="2" t="s">
        <v>1560</v>
      </c>
      <c r="B782" s="3">
        <v>43883</v>
      </c>
      <c r="C782" s="9">
        <f>YEAR(Orders_Table[[#This Row],[Order Date]])</f>
        <v>2020</v>
      </c>
      <c r="D782" s="9">
        <f>MONTH(Orders_Table[[#This Row],[Order Date]])</f>
        <v>2</v>
      </c>
      <c r="E782" s="9" t="str" cm="1">
        <f t="array" ref="E7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82" s="2" t="s">
        <v>1561</v>
      </c>
      <c r="G782" t="s">
        <v>56</v>
      </c>
      <c r="H782" s="2">
        <v>3</v>
      </c>
      <c r="I782" s="2" t="str" cm="1">
        <f t="array" ref="I782">_xlfn.XLOOKUP(F782,Customers!A781:$A$1001,Customers!B781:$B$1001,"Not Found",0)</f>
        <v>Verne Dunkerley</v>
      </c>
      <c r="J782" s="2" t="str" cm="1">
        <f t="array" ref="J782">IF(_xlfn.XLOOKUP(F782,Customers!A781:$A$1001,Customers!C781:$C$1001,"Not Found",0)=0,"",_xlfn.XLOOKUP(F782,Customers!A781:$A$1001,Customers!C781:$C$1001,"Not Found",0))</f>
        <v/>
      </c>
      <c r="K782" s="2" t="str" cm="1">
        <f t="array" ref="K782">_xlfn.XLOOKUP(F782,Customers!A781:$A$1001,Customers!G781:$G$1001,"Not Found",0)</f>
        <v>United States</v>
      </c>
      <c r="L782" t="str">
        <f>INDEX(Products!$A$1:$G$49,MATCH(Orders!$G782,Products!$A$1:$A$49,0),MATCH(Orders!L$1,Products!$A$1:$G$1,0))</f>
        <v>Exc</v>
      </c>
      <c r="M782" t="str">
        <f>INDEX(Products!$A$1:$G$49,MATCH(Orders!$G782,Products!$A$1:$A$49,0),MATCH(Orders!M$1,Products!$A$1:$G$1,0))</f>
        <v>M</v>
      </c>
      <c r="N782" s="4">
        <f>INDEX(Products!$A$1:$G$49,MATCH(Orders!$G782,Products!$A$1:$A$49,0),MATCH(Orders!N$1,Products!$A$1:$G$1,0))</f>
        <v>1</v>
      </c>
      <c r="O782" s="7">
        <f>INDEX(Products!$A$1:$G$49,MATCH(Orders!$G782,Products!$A$1:$A$49,0),MATCH(Orders!O$1,Products!$A$1:$G$1,0))</f>
        <v>13.75</v>
      </c>
      <c r="P782" s="7">
        <f t="shared" si="12"/>
        <v>41.25</v>
      </c>
      <c r="Q782" t="str" cm="1">
        <f t="array" ref="Q782">_xlfn.IFS(L782="Rob","Robusta",L782="Exc", "Excelsa",L782="Ara", "Arabica",L782="Lib", "Liberica")</f>
        <v>Excelsa</v>
      </c>
      <c r="R782" t="str" cm="1">
        <f t="array" ref="R782">_xlfn.IFS(M782="M","Medium",M782="L","Light",M782="D","Dark")</f>
        <v>Medium</v>
      </c>
    </row>
    <row r="783" spans="1:18">
      <c r="A783" s="2" t="s">
        <v>1562</v>
      </c>
      <c r="B783" s="3">
        <v>43778</v>
      </c>
      <c r="C783" s="9">
        <f>YEAR(Orders_Table[[#This Row],[Order Date]])</f>
        <v>2019</v>
      </c>
      <c r="D783" s="9">
        <f>MONTH(Orders_Table[[#This Row],[Order Date]])</f>
        <v>11</v>
      </c>
      <c r="E783" s="9" t="str" cm="1">
        <f t="array" ref="E7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83" s="2" t="s">
        <v>1563</v>
      </c>
      <c r="G783" t="s">
        <v>151</v>
      </c>
      <c r="H783" s="2">
        <v>4</v>
      </c>
      <c r="I783" s="2" t="str" cm="1">
        <f t="array" ref="I783">_xlfn.XLOOKUP(F783,Customers!A782:$A$1001,Customers!B782:$B$1001,"Not Found",0)</f>
        <v>Lacee Burtenshaw</v>
      </c>
      <c r="J783" s="2" t="str" cm="1">
        <f t="array" ref="J783">IF(_xlfn.XLOOKUP(F783,Customers!A782:$A$1001,Customers!C782:$C$1001,"Not Found",0)=0,"",_xlfn.XLOOKUP(F783,Customers!A782:$A$1001,Customers!C782:$C$1001,"Not Found",0))</f>
        <v>lburtenshawlp@shinystat.com</v>
      </c>
      <c r="K783" s="2" t="str" cm="1">
        <f t="array" ref="K783">_xlfn.XLOOKUP(F783,Customers!A782:$A$1001,Customers!G782:$G$1001,"Not Found",0)</f>
        <v>United States</v>
      </c>
      <c r="L783" t="str">
        <f>INDEX(Products!$A$1:$G$49,MATCH(Orders!$G783,Products!$A$1:$A$49,0),MATCH(Orders!L$1,Products!$A$1:$G$1,0))</f>
        <v>Lib</v>
      </c>
      <c r="M783" t="str">
        <f>INDEX(Products!$A$1:$G$49,MATCH(Orders!$G783,Products!$A$1:$A$49,0),MATCH(Orders!M$1,Products!$A$1:$G$1,0))</f>
        <v>L</v>
      </c>
      <c r="N783" s="4">
        <f>INDEX(Products!$A$1:$G$49,MATCH(Orders!$G783,Products!$A$1:$A$49,0),MATCH(Orders!N$1,Products!$A$1:$G$1,0))</f>
        <v>2.5</v>
      </c>
      <c r="O783" s="7">
        <f>INDEX(Products!$A$1:$G$49,MATCH(Orders!$G783,Products!$A$1:$A$49,0),MATCH(Orders!O$1,Products!$A$1:$G$1,0))</f>
        <v>36.454999999999998</v>
      </c>
      <c r="P783" s="7">
        <f t="shared" si="12"/>
        <v>145.82</v>
      </c>
      <c r="Q783" t="str" cm="1">
        <f t="array" ref="Q783">_xlfn.IFS(L783="Rob","Robusta",L783="Exc", "Excelsa",L783="Ara", "Arabica",L783="Lib", "Liberica")</f>
        <v>Liberica</v>
      </c>
      <c r="R783" t="str" cm="1">
        <f t="array" ref="R783">_xlfn.IFS(M783="M","Medium",M783="L","Light",M783="D","Dark")</f>
        <v>Light</v>
      </c>
    </row>
    <row r="784" spans="1:18">
      <c r="A784" s="2" t="s">
        <v>1564</v>
      </c>
      <c r="B784" s="3">
        <v>43897</v>
      </c>
      <c r="C784" s="9">
        <f>YEAR(Orders_Table[[#This Row],[Order Date]])</f>
        <v>2020</v>
      </c>
      <c r="D784" s="9">
        <f>MONTH(Orders_Table[[#This Row],[Order Date]])</f>
        <v>3</v>
      </c>
      <c r="E784" s="9" t="str" cm="1">
        <f t="array" ref="E7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84" s="2" t="s">
        <v>1565</v>
      </c>
      <c r="G784" t="s">
        <v>301</v>
      </c>
      <c r="H784" s="2">
        <v>6</v>
      </c>
      <c r="I784" s="2" t="str" cm="1">
        <f t="array" ref="I784">_xlfn.XLOOKUP(F784,Customers!A783:$A$1001,Customers!B783:$B$1001,"Not Found",0)</f>
        <v>Adorne Gregoratti</v>
      </c>
      <c r="J784" s="2" t="str" cm="1">
        <f t="array" ref="J784">IF(_xlfn.XLOOKUP(F784,Customers!A783:$A$1001,Customers!C783:$C$1001,"Not Found",0)=0,"",_xlfn.XLOOKUP(F784,Customers!A783:$A$1001,Customers!C783:$C$1001,"Not Found",0))</f>
        <v>agregorattilq@vistaprint.com</v>
      </c>
      <c r="K784" s="2" t="str" cm="1">
        <f t="array" ref="K784">_xlfn.XLOOKUP(F784,Customers!A783:$A$1001,Customers!G783:$G$1001,"Not Found",0)</f>
        <v>Ireland</v>
      </c>
      <c r="L784" t="str">
        <f>INDEX(Products!$A$1:$G$49,MATCH(Orders!$G784,Products!$A$1:$A$49,0),MATCH(Orders!L$1,Products!$A$1:$G$1,0))</f>
        <v>Exc</v>
      </c>
      <c r="M784" t="str">
        <f>INDEX(Products!$A$1:$G$49,MATCH(Orders!$G784,Products!$A$1:$A$49,0),MATCH(Orders!M$1,Products!$A$1:$G$1,0))</f>
        <v>L</v>
      </c>
      <c r="N784" s="4">
        <f>INDEX(Products!$A$1:$G$49,MATCH(Orders!$G784,Products!$A$1:$A$49,0),MATCH(Orders!N$1,Products!$A$1:$G$1,0))</f>
        <v>0.2</v>
      </c>
      <c r="O784" s="7">
        <f>INDEX(Products!$A$1:$G$49,MATCH(Orders!$G784,Products!$A$1:$A$49,0),MATCH(Orders!O$1,Products!$A$1:$G$1,0))</f>
        <v>4.4550000000000001</v>
      </c>
      <c r="P784" s="7">
        <f t="shared" si="12"/>
        <v>26.73</v>
      </c>
      <c r="Q784" t="str" cm="1">
        <f t="array" ref="Q784">_xlfn.IFS(L784="Rob","Robusta",L784="Exc", "Excelsa",L784="Ara", "Arabica",L784="Lib", "Liberica")</f>
        <v>Excelsa</v>
      </c>
      <c r="R784" t="str" cm="1">
        <f t="array" ref="R784">_xlfn.IFS(M784="M","Medium",M784="L","Light",M784="D","Dark")</f>
        <v>Light</v>
      </c>
    </row>
    <row r="785" spans="1:18">
      <c r="A785" s="2" t="s">
        <v>1566</v>
      </c>
      <c r="B785" s="3">
        <v>44312</v>
      </c>
      <c r="C785" s="9">
        <f>YEAR(Orders_Table[[#This Row],[Order Date]])</f>
        <v>2021</v>
      </c>
      <c r="D785" s="9">
        <f>MONTH(Orders_Table[[#This Row],[Order Date]])</f>
        <v>4</v>
      </c>
      <c r="E785" s="9" t="str" cm="1">
        <f t="array" ref="E7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85" s="2" t="s">
        <v>1567</v>
      </c>
      <c r="G785" t="s">
        <v>125</v>
      </c>
      <c r="H785" s="2">
        <v>5</v>
      </c>
      <c r="I785" s="2" t="str" cm="1">
        <f t="array" ref="I785">_xlfn.XLOOKUP(F785,Customers!A784:$A$1001,Customers!B784:$B$1001,"Not Found",0)</f>
        <v>Chris Croster</v>
      </c>
      <c r="J785" s="2" t="str" cm="1">
        <f t="array" ref="J785">IF(_xlfn.XLOOKUP(F785,Customers!A784:$A$1001,Customers!C784:$C$1001,"Not Found",0)=0,"",_xlfn.XLOOKUP(F785,Customers!A784:$A$1001,Customers!C784:$C$1001,"Not Found",0))</f>
        <v>ccrosterlr@gov.uk</v>
      </c>
      <c r="K785" s="2" t="str" cm="1">
        <f t="array" ref="K785">_xlfn.XLOOKUP(F785,Customers!A784:$A$1001,Customers!G784:$G$1001,"Not Found",0)</f>
        <v>United States</v>
      </c>
      <c r="L785" t="str">
        <f>INDEX(Products!$A$1:$G$49,MATCH(Orders!$G785,Products!$A$1:$A$49,0),MATCH(Orders!L$1,Products!$A$1:$G$1,0))</f>
        <v>Lib</v>
      </c>
      <c r="M785" t="str">
        <f>INDEX(Products!$A$1:$G$49,MATCH(Orders!$G785,Products!$A$1:$A$49,0),MATCH(Orders!M$1,Products!$A$1:$G$1,0))</f>
        <v>M</v>
      </c>
      <c r="N785" s="4">
        <f>INDEX(Products!$A$1:$G$49,MATCH(Orders!$G785,Products!$A$1:$A$49,0),MATCH(Orders!N$1,Products!$A$1:$G$1,0))</f>
        <v>0.5</v>
      </c>
      <c r="O785" s="7">
        <f>INDEX(Products!$A$1:$G$49,MATCH(Orders!$G785,Products!$A$1:$A$49,0),MATCH(Orders!O$1,Products!$A$1:$G$1,0))</f>
        <v>8.73</v>
      </c>
      <c r="P785" s="7">
        <f t="shared" si="12"/>
        <v>43.650000000000006</v>
      </c>
      <c r="Q785" t="str" cm="1">
        <f t="array" ref="Q785">_xlfn.IFS(L785="Rob","Robusta",L785="Exc", "Excelsa",L785="Ara", "Arabica",L785="Lib", "Liberica")</f>
        <v>Liberica</v>
      </c>
      <c r="R785" t="str" cm="1">
        <f t="array" ref="R785">_xlfn.IFS(M785="M","Medium",M785="L","Light",M785="D","Dark")</f>
        <v>Medium</v>
      </c>
    </row>
    <row r="786" spans="1:18">
      <c r="A786" s="2" t="s">
        <v>1568</v>
      </c>
      <c r="B786" s="3">
        <v>44511</v>
      </c>
      <c r="C786" s="9">
        <f>YEAR(Orders_Table[[#This Row],[Order Date]])</f>
        <v>2021</v>
      </c>
      <c r="D786" s="9">
        <f>MONTH(Orders_Table[[#This Row],[Order Date]])</f>
        <v>11</v>
      </c>
      <c r="E786" s="9" t="str" cm="1">
        <f t="array" ref="E7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786" s="2" t="s">
        <v>1569</v>
      </c>
      <c r="G786" t="s">
        <v>179</v>
      </c>
      <c r="H786" s="2">
        <v>2</v>
      </c>
      <c r="I786" s="2" t="str" cm="1">
        <f t="array" ref="I786">_xlfn.XLOOKUP(F786,Customers!A785:$A$1001,Customers!B785:$B$1001,"Not Found",0)</f>
        <v>Graeme Whitehead</v>
      </c>
      <c r="J786" s="2" t="str" cm="1">
        <f t="array" ref="J786">IF(_xlfn.XLOOKUP(F786,Customers!A785:$A$1001,Customers!C785:$C$1001,"Not Found",0)=0,"",_xlfn.XLOOKUP(F786,Customers!A785:$A$1001,Customers!C785:$C$1001,"Not Found",0))</f>
        <v>gwhiteheadls@hp.com</v>
      </c>
      <c r="K786" s="2" t="str" cm="1">
        <f t="array" ref="K786">_xlfn.XLOOKUP(F786,Customers!A785:$A$1001,Customers!G785:$G$1001,"Not Found",0)</f>
        <v>United States</v>
      </c>
      <c r="L786" t="str">
        <f>INDEX(Products!$A$1:$G$49,MATCH(Orders!$G786,Products!$A$1:$A$49,0),MATCH(Orders!L$1,Products!$A$1:$G$1,0))</f>
        <v>Lib</v>
      </c>
      <c r="M786" t="str">
        <f>INDEX(Products!$A$1:$G$49,MATCH(Orders!$G786,Products!$A$1:$A$49,0),MATCH(Orders!M$1,Products!$A$1:$G$1,0))</f>
        <v>L</v>
      </c>
      <c r="N786" s="4">
        <f>INDEX(Products!$A$1:$G$49,MATCH(Orders!$G786,Products!$A$1:$A$49,0),MATCH(Orders!N$1,Products!$A$1:$G$1,0))</f>
        <v>1</v>
      </c>
      <c r="O786" s="7">
        <f>INDEX(Products!$A$1:$G$49,MATCH(Orders!$G786,Products!$A$1:$A$49,0),MATCH(Orders!O$1,Products!$A$1:$G$1,0))</f>
        <v>15.85</v>
      </c>
      <c r="P786" s="7">
        <f t="shared" si="12"/>
        <v>31.7</v>
      </c>
      <c r="Q786" t="str" cm="1">
        <f t="array" ref="Q786">_xlfn.IFS(L786="Rob","Robusta",L786="Exc", "Excelsa",L786="Ara", "Arabica",L786="Lib", "Liberica")</f>
        <v>Liberica</v>
      </c>
      <c r="R786" t="str" cm="1">
        <f t="array" ref="R786">_xlfn.IFS(M786="M","Medium",M786="L","Light",M786="D","Dark")</f>
        <v>Light</v>
      </c>
    </row>
    <row r="787" spans="1:18">
      <c r="A787" s="2" t="s">
        <v>1570</v>
      </c>
      <c r="B787" s="3">
        <v>44362</v>
      </c>
      <c r="C787" s="9">
        <f>YEAR(Orders_Table[[#This Row],[Order Date]])</f>
        <v>2021</v>
      </c>
      <c r="D787" s="9">
        <f>MONTH(Orders_Table[[#This Row],[Order Date]])</f>
        <v>6</v>
      </c>
      <c r="E787" s="9" t="str" cm="1">
        <f t="array" ref="E7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87" s="2" t="s">
        <v>1571</v>
      </c>
      <c r="G787" t="s">
        <v>165</v>
      </c>
      <c r="H787" s="2">
        <v>1</v>
      </c>
      <c r="I787" s="2" t="str" cm="1">
        <f t="array" ref="I787">_xlfn.XLOOKUP(F787,Customers!A786:$A$1001,Customers!B786:$B$1001,"Not Found",0)</f>
        <v>Haslett Jodrelle</v>
      </c>
      <c r="J787" s="2" t="str" cm="1">
        <f t="array" ref="J787">IF(_xlfn.XLOOKUP(F787,Customers!A786:$A$1001,Customers!C786:$C$1001,"Not Found",0)=0,"",_xlfn.XLOOKUP(F787,Customers!A786:$A$1001,Customers!C786:$C$1001,"Not Found",0))</f>
        <v>hjodrellelt@samsung.com</v>
      </c>
      <c r="K787" s="2" t="str" cm="1">
        <f t="array" ref="K787">_xlfn.XLOOKUP(F787,Customers!A786:$A$1001,Customers!G786:$G$1001,"Not Found",0)</f>
        <v>United States</v>
      </c>
      <c r="L787" t="str">
        <f>INDEX(Products!$A$1:$G$49,MATCH(Orders!$G787,Products!$A$1:$A$49,0),MATCH(Orders!L$1,Products!$A$1:$G$1,0))</f>
        <v>Ara</v>
      </c>
      <c r="M787" t="str">
        <f>INDEX(Products!$A$1:$G$49,MATCH(Orders!$G787,Products!$A$1:$A$49,0),MATCH(Orders!M$1,Products!$A$1:$G$1,0))</f>
        <v>D</v>
      </c>
      <c r="N787" s="4">
        <f>INDEX(Products!$A$1:$G$49,MATCH(Orders!$G787,Products!$A$1:$A$49,0),MATCH(Orders!N$1,Products!$A$1:$G$1,0))</f>
        <v>2.5</v>
      </c>
      <c r="O787" s="7">
        <f>INDEX(Products!$A$1:$G$49,MATCH(Orders!$G787,Products!$A$1:$A$49,0),MATCH(Orders!O$1,Products!$A$1:$G$1,0))</f>
        <v>22.884999999999998</v>
      </c>
      <c r="P787" s="7">
        <f t="shared" si="12"/>
        <v>22.884999999999998</v>
      </c>
      <c r="Q787" t="str" cm="1">
        <f t="array" ref="Q787">_xlfn.IFS(L787="Rob","Robusta",L787="Exc", "Excelsa",L787="Ara", "Arabica",L787="Lib", "Liberica")</f>
        <v>Arabica</v>
      </c>
      <c r="R787" t="str" cm="1">
        <f t="array" ref="R787">_xlfn.IFS(M787="M","Medium",M787="L","Light",M787="D","Dark")</f>
        <v>Dark</v>
      </c>
    </row>
    <row r="788" spans="1:18">
      <c r="A788" s="2" t="s">
        <v>1572</v>
      </c>
      <c r="B788" s="3">
        <v>43888</v>
      </c>
      <c r="C788" s="9">
        <f>YEAR(Orders_Table[[#This Row],[Order Date]])</f>
        <v>2020</v>
      </c>
      <c r="D788" s="9">
        <f>MONTH(Orders_Table[[#This Row],[Order Date]])</f>
        <v>2</v>
      </c>
      <c r="E788" s="9" t="str" cm="1">
        <f t="array" ref="E7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88" s="2" t="s">
        <v>1557</v>
      </c>
      <c r="G788" t="s">
        <v>577</v>
      </c>
      <c r="H788" s="2">
        <v>1</v>
      </c>
      <c r="I788" s="2" t="str" cm="1">
        <f t="array" ref="I788">_xlfn.XLOOKUP(F788,Customers!A787:$A$1001,Customers!B787:$B$1001,"Not Found",0)</f>
        <v>Cam Jewster</v>
      </c>
      <c r="J788" s="2" t="str" cm="1">
        <f t="array" ref="J788">IF(_xlfn.XLOOKUP(F788,Customers!A787:$A$1001,Customers!C787:$C$1001,"Not Found",0)=0,"",_xlfn.XLOOKUP(F788,Customers!A787:$A$1001,Customers!C787:$C$1001,"Not Found",0))</f>
        <v>cjewsterlu@moonfruit.com</v>
      </c>
      <c r="K788" s="2" t="str" cm="1">
        <f t="array" ref="K788">_xlfn.XLOOKUP(F788,Customers!A787:$A$1001,Customers!G787:$G$1001,"Not Found",0)</f>
        <v>United States</v>
      </c>
      <c r="L788" t="str">
        <f>INDEX(Products!$A$1:$G$49,MATCH(Orders!$G788,Products!$A$1:$A$49,0),MATCH(Orders!L$1,Products!$A$1:$G$1,0))</f>
        <v>Exc</v>
      </c>
      <c r="M788" t="str">
        <f>INDEX(Products!$A$1:$G$49,MATCH(Orders!$G788,Products!$A$1:$A$49,0),MATCH(Orders!M$1,Products!$A$1:$G$1,0))</f>
        <v>D</v>
      </c>
      <c r="N788" s="4">
        <f>INDEX(Products!$A$1:$G$49,MATCH(Orders!$G788,Products!$A$1:$A$49,0),MATCH(Orders!N$1,Products!$A$1:$G$1,0))</f>
        <v>2.5</v>
      </c>
      <c r="O788" s="7">
        <f>INDEX(Products!$A$1:$G$49,MATCH(Orders!$G788,Products!$A$1:$A$49,0),MATCH(Orders!O$1,Products!$A$1:$G$1,0))</f>
        <v>27.945</v>
      </c>
      <c r="P788" s="7">
        <f t="shared" si="12"/>
        <v>27.945</v>
      </c>
      <c r="Q788" t="str" cm="1">
        <f t="array" ref="Q788">_xlfn.IFS(L788="Rob","Robusta",L788="Exc", "Excelsa",L788="Ara", "Arabica",L788="Lib", "Liberica")</f>
        <v>Excelsa</v>
      </c>
      <c r="R788" t="str" cm="1">
        <f t="array" ref="R788">_xlfn.IFS(M788="M","Medium",M788="L","Light",M788="D","Dark")</f>
        <v>Dark</v>
      </c>
    </row>
    <row r="789" spans="1:18">
      <c r="A789" s="2" t="s">
        <v>1573</v>
      </c>
      <c r="B789" s="3">
        <v>44305</v>
      </c>
      <c r="C789" s="9">
        <f>YEAR(Orders_Table[[#This Row],[Order Date]])</f>
        <v>2021</v>
      </c>
      <c r="D789" s="9">
        <f>MONTH(Orders_Table[[#This Row],[Order Date]])</f>
        <v>4</v>
      </c>
      <c r="E789" s="9" t="str" cm="1">
        <f t="array" ref="E7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789" s="2" t="s">
        <v>1574</v>
      </c>
      <c r="G789" t="s">
        <v>56</v>
      </c>
      <c r="H789" s="2">
        <v>6</v>
      </c>
      <c r="I789" s="2" t="str" cm="1">
        <f t="array" ref="I789">_xlfn.XLOOKUP(F789,Customers!A788:$A$1001,Customers!B788:$B$1001,"Not Found",0)</f>
        <v>Beryl Osborn</v>
      </c>
      <c r="J789" s="2" t="str" cm="1">
        <f t="array" ref="J789">IF(_xlfn.XLOOKUP(F789,Customers!A788:$A$1001,Customers!C788:$C$1001,"Not Found",0)=0,"",_xlfn.XLOOKUP(F789,Customers!A788:$A$1001,Customers!C788:$C$1001,"Not Found",0))</f>
        <v/>
      </c>
      <c r="K789" s="2" t="str" cm="1">
        <f t="array" ref="K789">_xlfn.XLOOKUP(F789,Customers!A788:$A$1001,Customers!G788:$G$1001,"Not Found",0)</f>
        <v>United States</v>
      </c>
      <c r="L789" t="str">
        <f>INDEX(Products!$A$1:$G$49,MATCH(Orders!$G789,Products!$A$1:$A$49,0),MATCH(Orders!L$1,Products!$A$1:$G$1,0))</f>
        <v>Exc</v>
      </c>
      <c r="M789" t="str">
        <f>INDEX(Products!$A$1:$G$49,MATCH(Orders!$G789,Products!$A$1:$A$49,0),MATCH(Orders!M$1,Products!$A$1:$G$1,0))</f>
        <v>M</v>
      </c>
      <c r="N789" s="4">
        <f>INDEX(Products!$A$1:$G$49,MATCH(Orders!$G789,Products!$A$1:$A$49,0),MATCH(Orders!N$1,Products!$A$1:$G$1,0))</f>
        <v>1</v>
      </c>
      <c r="O789" s="7">
        <f>INDEX(Products!$A$1:$G$49,MATCH(Orders!$G789,Products!$A$1:$A$49,0),MATCH(Orders!O$1,Products!$A$1:$G$1,0))</f>
        <v>13.75</v>
      </c>
      <c r="P789" s="7">
        <f t="shared" si="12"/>
        <v>82.5</v>
      </c>
      <c r="Q789" t="str" cm="1">
        <f t="array" ref="Q789">_xlfn.IFS(L789="Rob","Robusta",L789="Exc", "Excelsa",L789="Ara", "Arabica",L789="Lib", "Liberica")</f>
        <v>Excelsa</v>
      </c>
      <c r="R789" t="str" cm="1">
        <f t="array" ref="R789">_xlfn.IFS(M789="M","Medium",M789="L","Light",M789="D","Dark")</f>
        <v>Medium</v>
      </c>
    </row>
    <row r="790" spans="1:18">
      <c r="A790" s="2" t="s">
        <v>1575</v>
      </c>
      <c r="B790" s="3">
        <v>44771</v>
      </c>
      <c r="C790" s="9">
        <f>YEAR(Orders_Table[[#This Row],[Order Date]])</f>
        <v>2022</v>
      </c>
      <c r="D790" s="9">
        <f>MONTH(Orders_Table[[#This Row],[Order Date]])</f>
        <v>7</v>
      </c>
      <c r="E790" s="9" t="str" cm="1">
        <f t="array" ref="E7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90" s="2" t="s">
        <v>1576</v>
      </c>
      <c r="G790" t="s">
        <v>88</v>
      </c>
      <c r="H790" s="2">
        <v>2</v>
      </c>
      <c r="I790" s="2" t="str" cm="1">
        <f t="array" ref="I790">_xlfn.XLOOKUP(F790,Customers!A789:$A$1001,Customers!B789:$B$1001,"Not Found",0)</f>
        <v>Kaela Nottram</v>
      </c>
      <c r="J790" s="2" t="str" cm="1">
        <f t="array" ref="J790">IF(_xlfn.XLOOKUP(F790,Customers!A789:$A$1001,Customers!C789:$C$1001,"Not Found",0)=0,"",_xlfn.XLOOKUP(F790,Customers!A789:$A$1001,Customers!C789:$C$1001,"Not Found",0))</f>
        <v>knottramlw@odnoklassniki.ru</v>
      </c>
      <c r="K790" s="2" t="str" cm="1">
        <f t="array" ref="K790">_xlfn.XLOOKUP(F790,Customers!A789:$A$1001,Customers!G789:$G$1001,"Not Found",0)</f>
        <v>Ireland</v>
      </c>
      <c r="L790" t="str">
        <f>INDEX(Products!$A$1:$G$49,MATCH(Orders!$G790,Products!$A$1:$A$49,0),MATCH(Orders!L$1,Products!$A$1:$G$1,0))</f>
        <v>Rob</v>
      </c>
      <c r="M790" t="str">
        <f>INDEX(Products!$A$1:$G$49,MATCH(Orders!$G790,Products!$A$1:$A$49,0),MATCH(Orders!M$1,Products!$A$1:$G$1,0))</f>
        <v>M</v>
      </c>
      <c r="N790" s="4">
        <f>INDEX(Products!$A$1:$G$49,MATCH(Orders!$G790,Products!$A$1:$A$49,0),MATCH(Orders!N$1,Products!$A$1:$G$1,0))</f>
        <v>2.5</v>
      </c>
      <c r="O790" s="7">
        <f>INDEX(Products!$A$1:$G$49,MATCH(Orders!$G790,Products!$A$1:$A$49,0),MATCH(Orders!O$1,Products!$A$1:$G$1,0))</f>
        <v>22.884999999999998</v>
      </c>
      <c r="P790" s="7">
        <f t="shared" si="12"/>
        <v>45.769999999999996</v>
      </c>
      <c r="Q790" t="str" cm="1">
        <f t="array" ref="Q790">_xlfn.IFS(L790="Rob","Robusta",L790="Exc", "Excelsa",L790="Ara", "Arabica",L790="Lib", "Liberica")</f>
        <v>Robusta</v>
      </c>
      <c r="R790" t="str" cm="1">
        <f t="array" ref="R790">_xlfn.IFS(M790="M","Medium",M790="L","Light",M790="D","Dark")</f>
        <v>Medium</v>
      </c>
    </row>
    <row r="791" spans="1:18">
      <c r="A791" s="2" t="s">
        <v>1577</v>
      </c>
      <c r="B791" s="3">
        <v>43485</v>
      </c>
      <c r="C791" s="9">
        <f>YEAR(Orders_Table[[#This Row],[Order Date]])</f>
        <v>2019</v>
      </c>
      <c r="D791" s="9">
        <f>MONTH(Orders_Table[[#This Row],[Order Date]])</f>
        <v>1</v>
      </c>
      <c r="E791" s="9" t="str" cm="1">
        <f t="array" ref="E7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791" s="2" t="s">
        <v>1578</v>
      </c>
      <c r="G791" t="s">
        <v>53</v>
      </c>
      <c r="H791" s="2">
        <v>6</v>
      </c>
      <c r="I791" s="2" t="str" cm="1">
        <f t="array" ref="I791">_xlfn.XLOOKUP(F791,Customers!A790:$A$1001,Customers!B790:$B$1001,"Not Found",0)</f>
        <v>Nobe Buney</v>
      </c>
      <c r="J791" s="2" t="str" cm="1">
        <f t="array" ref="J791">IF(_xlfn.XLOOKUP(F791,Customers!A790:$A$1001,Customers!C790:$C$1001,"Not Found",0)=0,"",_xlfn.XLOOKUP(F791,Customers!A790:$A$1001,Customers!C790:$C$1001,"Not Found",0))</f>
        <v>nbuneylx@jugem.jp</v>
      </c>
      <c r="K791" s="2" t="str" cm="1">
        <f t="array" ref="K791">_xlfn.XLOOKUP(F791,Customers!A790:$A$1001,Customers!G790:$G$1001,"Not Found",0)</f>
        <v>United States</v>
      </c>
      <c r="L791" t="str">
        <f>INDEX(Products!$A$1:$G$49,MATCH(Orders!$G791,Products!$A$1:$A$49,0),MATCH(Orders!L$1,Products!$A$1:$G$1,0))</f>
        <v>Ara</v>
      </c>
      <c r="M791" t="str">
        <f>INDEX(Products!$A$1:$G$49,MATCH(Orders!$G791,Products!$A$1:$A$49,0),MATCH(Orders!M$1,Products!$A$1:$G$1,0))</f>
        <v>L</v>
      </c>
      <c r="N791" s="4">
        <f>INDEX(Products!$A$1:$G$49,MATCH(Orders!$G791,Products!$A$1:$A$49,0),MATCH(Orders!N$1,Products!$A$1:$G$1,0))</f>
        <v>1</v>
      </c>
      <c r="O791" s="7">
        <f>INDEX(Products!$A$1:$G$49,MATCH(Orders!$G791,Products!$A$1:$A$49,0),MATCH(Orders!O$1,Products!$A$1:$G$1,0))</f>
        <v>12.95</v>
      </c>
      <c r="P791" s="7">
        <f t="shared" si="12"/>
        <v>77.699999999999989</v>
      </c>
      <c r="Q791" t="str" cm="1">
        <f t="array" ref="Q791">_xlfn.IFS(L791="Rob","Robusta",L791="Exc", "Excelsa",L791="Ara", "Arabica",L791="Lib", "Liberica")</f>
        <v>Arabica</v>
      </c>
      <c r="R791" t="str" cm="1">
        <f t="array" ref="R791">_xlfn.IFS(M791="M","Medium",M791="L","Light",M791="D","Dark")</f>
        <v>Light</v>
      </c>
    </row>
    <row r="792" spans="1:18">
      <c r="A792" s="2" t="s">
        <v>1579</v>
      </c>
      <c r="B792" s="3">
        <v>44613</v>
      </c>
      <c r="C792" s="9">
        <f>YEAR(Orders_Table[[#This Row],[Order Date]])</f>
        <v>2022</v>
      </c>
      <c r="D792" s="9">
        <f>MONTH(Orders_Table[[#This Row],[Order Date]])</f>
        <v>2</v>
      </c>
      <c r="E792" s="9" t="str" cm="1">
        <f t="array" ref="E7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792" s="2" t="s">
        <v>1580</v>
      </c>
      <c r="G792" t="s">
        <v>239</v>
      </c>
      <c r="H792" s="2">
        <v>3</v>
      </c>
      <c r="I792" s="2" t="str" cm="1">
        <f t="array" ref="I792">_xlfn.XLOOKUP(F792,Customers!A791:$A$1001,Customers!B791:$B$1001,"Not Found",0)</f>
        <v>Silvan McShea</v>
      </c>
      <c r="J792" s="2" t="str" cm="1">
        <f t="array" ref="J792">IF(_xlfn.XLOOKUP(F792,Customers!A791:$A$1001,Customers!C791:$C$1001,"Not Found",0)=0,"",_xlfn.XLOOKUP(F792,Customers!A791:$A$1001,Customers!C791:$C$1001,"Not Found",0))</f>
        <v>smcshealy@photobucket.com</v>
      </c>
      <c r="K792" s="2" t="str" cm="1">
        <f t="array" ref="K792">_xlfn.XLOOKUP(F792,Customers!A791:$A$1001,Customers!G791:$G$1001,"Not Found",0)</f>
        <v>United States</v>
      </c>
      <c r="L792" t="str">
        <f>INDEX(Products!$A$1:$G$49,MATCH(Orders!$G792,Products!$A$1:$A$49,0),MATCH(Orders!L$1,Products!$A$1:$G$1,0))</f>
        <v>Ara</v>
      </c>
      <c r="M792" t="str">
        <f>INDEX(Products!$A$1:$G$49,MATCH(Orders!$G792,Products!$A$1:$A$49,0),MATCH(Orders!M$1,Products!$A$1:$G$1,0))</f>
        <v>L</v>
      </c>
      <c r="N792" s="4">
        <f>INDEX(Products!$A$1:$G$49,MATCH(Orders!$G792,Products!$A$1:$A$49,0),MATCH(Orders!N$1,Products!$A$1:$G$1,0))</f>
        <v>0.5</v>
      </c>
      <c r="O792" s="7">
        <f>INDEX(Products!$A$1:$G$49,MATCH(Orders!$G792,Products!$A$1:$A$49,0),MATCH(Orders!O$1,Products!$A$1:$G$1,0))</f>
        <v>7.77</v>
      </c>
      <c r="P792" s="7">
        <f t="shared" si="12"/>
        <v>23.31</v>
      </c>
      <c r="Q792" t="str" cm="1">
        <f t="array" ref="Q792">_xlfn.IFS(L792="Rob","Robusta",L792="Exc", "Excelsa",L792="Ara", "Arabica",L792="Lib", "Liberica")</f>
        <v>Arabica</v>
      </c>
      <c r="R792" t="str" cm="1">
        <f t="array" ref="R792">_xlfn.IFS(M792="M","Medium",M792="L","Light",M792="D","Dark")</f>
        <v>Light</v>
      </c>
    </row>
    <row r="793" spans="1:18">
      <c r="A793" s="2" t="s">
        <v>1581</v>
      </c>
      <c r="B793" s="3">
        <v>43954</v>
      </c>
      <c r="C793" s="9">
        <f>YEAR(Orders_Table[[#This Row],[Order Date]])</f>
        <v>2020</v>
      </c>
      <c r="D793" s="9">
        <f>MONTH(Orders_Table[[#This Row],[Order Date]])</f>
        <v>5</v>
      </c>
      <c r="E793" s="9" t="str" cm="1">
        <f t="array" ref="E7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793" s="2" t="s">
        <v>1582</v>
      </c>
      <c r="G793" t="s">
        <v>66</v>
      </c>
      <c r="H793" s="2">
        <v>5</v>
      </c>
      <c r="I793" s="2" t="str" cm="1">
        <f t="array" ref="I793">_xlfn.XLOOKUP(F793,Customers!A792:$A$1001,Customers!B792:$B$1001,"Not Found",0)</f>
        <v>Karylin Huddart</v>
      </c>
      <c r="J793" s="2" t="str" cm="1">
        <f t="array" ref="J793">IF(_xlfn.XLOOKUP(F793,Customers!A792:$A$1001,Customers!C792:$C$1001,"Not Found",0)=0,"",_xlfn.XLOOKUP(F793,Customers!A792:$A$1001,Customers!C792:$C$1001,"Not Found",0))</f>
        <v>khuddartlz@about.com</v>
      </c>
      <c r="K793" s="2" t="str" cm="1">
        <f t="array" ref="K793">_xlfn.XLOOKUP(F793,Customers!A792:$A$1001,Customers!G792:$G$1001,"Not Found",0)</f>
        <v>United States</v>
      </c>
      <c r="L793" t="str">
        <f>INDEX(Products!$A$1:$G$49,MATCH(Orders!$G793,Products!$A$1:$A$49,0),MATCH(Orders!L$1,Products!$A$1:$G$1,0))</f>
        <v>Lib</v>
      </c>
      <c r="M793" t="str">
        <f>INDEX(Products!$A$1:$G$49,MATCH(Orders!$G793,Products!$A$1:$A$49,0),MATCH(Orders!M$1,Products!$A$1:$G$1,0))</f>
        <v>L</v>
      </c>
      <c r="N793" s="4">
        <f>INDEX(Products!$A$1:$G$49,MATCH(Orders!$G793,Products!$A$1:$A$49,0),MATCH(Orders!N$1,Products!$A$1:$G$1,0))</f>
        <v>0.2</v>
      </c>
      <c r="O793" s="7">
        <f>INDEX(Products!$A$1:$G$49,MATCH(Orders!$G793,Products!$A$1:$A$49,0),MATCH(Orders!O$1,Products!$A$1:$G$1,0))</f>
        <v>4.7549999999999999</v>
      </c>
      <c r="P793" s="7">
        <f t="shared" si="12"/>
        <v>23.774999999999999</v>
      </c>
      <c r="Q793" t="str" cm="1">
        <f t="array" ref="Q793">_xlfn.IFS(L793="Rob","Robusta",L793="Exc", "Excelsa",L793="Ara", "Arabica",L793="Lib", "Liberica")</f>
        <v>Liberica</v>
      </c>
      <c r="R793" t="str" cm="1">
        <f t="array" ref="R793">_xlfn.IFS(M793="M","Medium",M793="L","Light",M793="D","Dark")</f>
        <v>Light</v>
      </c>
    </row>
    <row r="794" spans="1:18">
      <c r="A794" s="2" t="s">
        <v>1583</v>
      </c>
      <c r="B794" s="3">
        <v>43545</v>
      </c>
      <c r="C794" s="9">
        <f>YEAR(Orders_Table[[#This Row],[Order Date]])</f>
        <v>2019</v>
      </c>
      <c r="D794" s="9">
        <f>MONTH(Orders_Table[[#This Row],[Order Date]])</f>
        <v>3</v>
      </c>
      <c r="E794" s="9" t="str" cm="1">
        <f t="array" ref="E7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94" s="2" t="s">
        <v>1584</v>
      </c>
      <c r="G794" t="s">
        <v>125</v>
      </c>
      <c r="H794" s="2">
        <v>6</v>
      </c>
      <c r="I794" s="2" t="str" cm="1">
        <f t="array" ref="I794">_xlfn.XLOOKUP(F794,Customers!A793:$A$1001,Customers!B793:$B$1001,"Not Found",0)</f>
        <v>Jereme Gippes</v>
      </c>
      <c r="J794" s="2" t="str" cm="1">
        <f t="array" ref="J794">IF(_xlfn.XLOOKUP(F794,Customers!A793:$A$1001,Customers!C793:$C$1001,"Not Found",0)=0,"",_xlfn.XLOOKUP(F794,Customers!A793:$A$1001,Customers!C793:$C$1001,"Not Found",0))</f>
        <v>jgippesm0@cloudflare.com</v>
      </c>
      <c r="K794" s="2" t="str" cm="1">
        <f t="array" ref="K794">_xlfn.XLOOKUP(F794,Customers!A793:$A$1001,Customers!G793:$G$1001,"Not Found",0)</f>
        <v>United Kingdom</v>
      </c>
      <c r="L794" t="str">
        <f>INDEX(Products!$A$1:$G$49,MATCH(Orders!$G794,Products!$A$1:$A$49,0),MATCH(Orders!L$1,Products!$A$1:$G$1,0))</f>
        <v>Lib</v>
      </c>
      <c r="M794" t="str">
        <f>INDEX(Products!$A$1:$G$49,MATCH(Orders!$G794,Products!$A$1:$A$49,0),MATCH(Orders!M$1,Products!$A$1:$G$1,0))</f>
        <v>M</v>
      </c>
      <c r="N794" s="4">
        <f>INDEX(Products!$A$1:$G$49,MATCH(Orders!$G794,Products!$A$1:$A$49,0),MATCH(Orders!N$1,Products!$A$1:$G$1,0))</f>
        <v>0.5</v>
      </c>
      <c r="O794" s="7">
        <f>INDEX(Products!$A$1:$G$49,MATCH(Orders!$G794,Products!$A$1:$A$49,0),MATCH(Orders!O$1,Products!$A$1:$G$1,0))</f>
        <v>8.73</v>
      </c>
      <c r="P794" s="7">
        <f t="shared" si="12"/>
        <v>52.38</v>
      </c>
      <c r="Q794" t="str" cm="1">
        <f t="array" ref="Q794">_xlfn.IFS(L794="Rob","Robusta",L794="Exc", "Excelsa",L794="Ara", "Arabica",L794="Lib", "Liberica")</f>
        <v>Liberica</v>
      </c>
      <c r="R794" t="str" cm="1">
        <f t="array" ref="R794">_xlfn.IFS(M794="M","Medium",M794="L","Light",M794="D","Dark")</f>
        <v>Medium</v>
      </c>
    </row>
    <row r="795" spans="1:18">
      <c r="A795" s="2" t="s">
        <v>1585</v>
      </c>
      <c r="B795" s="3">
        <v>43629</v>
      </c>
      <c r="C795" s="9">
        <f>YEAR(Orders_Table[[#This Row],[Order Date]])</f>
        <v>2019</v>
      </c>
      <c r="D795" s="9">
        <f>MONTH(Orders_Table[[#This Row],[Order Date]])</f>
        <v>6</v>
      </c>
      <c r="E795" s="9" t="str" cm="1">
        <f t="array" ref="E7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95" s="2" t="s">
        <v>1586</v>
      </c>
      <c r="G795" t="s">
        <v>229</v>
      </c>
      <c r="H795" s="2">
        <v>5</v>
      </c>
      <c r="I795" s="2" t="str" cm="1">
        <f t="array" ref="I795">_xlfn.XLOOKUP(F795,Customers!A794:$A$1001,Customers!B794:$B$1001,"Not Found",0)</f>
        <v>Lukas Whittlesee</v>
      </c>
      <c r="J795" s="2" t="str" cm="1">
        <f t="array" ref="J795">IF(_xlfn.XLOOKUP(F795,Customers!A794:$A$1001,Customers!C794:$C$1001,"Not Found",0)=0,"",_xlfn.XLOOKUP(F795,Customers!A794:$A$1001,Customers!C794:$C$1001,"Not Found",0))</f>
        <v>lwhittleseem1@e-recht24.de</v>
      </c>
      <c r="K795" s="2" t="str" cm="1">
        <f t="array" ref="K795">_xlfn.XLOOKUP(F795,Customers!A794:$A$1001,Customers!G794:$G$1001,"Not Found",0)</f>
        <v>United States</v>
      </c>
      <c r="L795" t="str">
        <f>INDEX(Products!$A$1:$G$49,MATCH(Orders!$G795,Products!$A$1:$A$49,0),MATCH(Orders!L$1,Products!$A$1:$G$1,0))</f>
        <v>Rob</v>
      </c>
      <c r="M795" t="str">
        <f>INDEX(Products!$A$1:$G$49,MATCH(Orders!$G795,Products!$A$1:$A$49,0),MATCH(Orders!M$1,Products!$A$1:$G$1,0))</f>
        <v>L</v>
      </c>
      <c r="N795" s="4">
        <f>INDEX(Products!$A$1:$G$49,MATCH(Orders!$G795,Products!$A$1:$A$49,0),MATCH(Orders!N$1,Products!$A$1:$G$1,0))</f>
        <v>0.2</v>
      </c>
      <c r="O795" s="7">
        <f>INDEX(Products!$A$1:$G$49,MATCH(Orders!$G795,Products!$A$1:$A$49,0),MATCH(Orders!O$1,Products!$A$1:$G$1,0))</f>
        <v>3.5849999999999995</v>
      </c>
      <c r="P795" s="7">
        <f t="shared" si="12"/>
        <v>17.924999999999997</v>
      </c>
      <c r="Q795" t="str" cm="1">
        <f t="array" ref="Q795">_xlfn.IFS(L795="Rob","Robusta",L795="Exc", "Excelsa",L795="Ara", "Arabica",L795="Lib", "Liberica")</f>
        <v>Robusta</v>
      </c>
      <c r="R795" t="str" cm="1">
        <f t="array" ref="R795">_xlfn.IFS(M795="M","Medium",M795="L","Light",M795="D","Dark")</f>
        <v>Light</v>
      </c>
    </row>
    <row r="796" spans="1:18">
      <c r="A796" s="2" t="s">
        <v>1587</v>
      </c>
      <c r="B796" s="3">
        <v>43987</v>
      </c>
      <c r="C796" s="9">
        <f>YEAR(Orders_Table[[#This Row],[Order Date]])</f>
        <v>2020</v>
      </c>
      <c r="D796" s="9">
        <f>MONTH(Orders_Table[[#This Row],[Order Date]])</f>
        <v>6</v>
      </c>
      <c r="E796" s="9" t="str" cm="1">
        <f t="array" ref="E7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796" s="2" t="s">
        <v>1588</v>
      </c>
      <c r="G796" t="s">
        <v>251</v>
      </c>
      <c r="H796" s="2">
        <v>5</v>
      </c>
      <c r="I796" s="2" t="str" cm="1">
        <f t="array" ref="I796">_xlfn.XLOOKUP(F796,Customers!A795:$A$1001,Customers!B795:$B$1001,"Not Found",0)</f>
        <v>Gregorius Trengrove</v>
      </c>
      <c r="J796" s="2" t="str" cm="1">
        <f t="array" ref="J796">IF(_xlfn.XLOOKUP(F796,Customers!A795:$A$1001,Customers!C795:$C$1001,"Not Found",0)=0,"",_xlfn.XLOOKUP(F796,Customers!A795:$A$1001,Customers!C795:$C$1001,"Not Found",0))</f>
        <v>gtrengrovem2@elpais.com</v>
      </c>
      <c r="K796" s="2" t="str" cm="1">
        <f t="array" ref="K796">_xlfn.XLOOKUP(F796,Customers!A795:$A$1001,Customers!G795:$G$1001,"Not Found",0)</f>
        <v>United States</v>
      </c>
      <c r="L796" t="str">
        <f>INDEX(Products!$A$1:$G$49,MATCH(Orders!$G796,Products!$A$1:$A$49,0),MATCH(Orders!L$1,Products!$A$1:$G$1,0))</f>
        <v>Ara</v>
      </c>
      <c r="M796" t="str">
        <f>INDEX(Products!$A$1:$G$49,MATCH(Orders!$G796,Products!$A$1:$A$49,0),MATCH(Orders!M$1,Products!$A$1:$G$1,0))</f>
        <v>L</v>
      </c>
      <c r="N796" s="4">
        <f>INDEX(Products!$A$1:$G$49,MATCH(Orders!$G796,Products!$A$1:$A$49,0),MATCH(Orders!N$1,Products!$A$1:$G$1,0))</f>
        <v>2.5</v>
      </c>
      <c r="O796" s="7">
        <f>INDEX(Products!$A$1:$G$49,MATCH(Orders!$G796,Products!$A$1:$A$49,0),MATCH(Orders!O$1,Products!$A$1:$G$1,0))</f>
        <v>29.784999999999997</v>
      </c>
      <c r="P796" s="7">
        <f t="shared" si="12"/>
        <v>148.92499999999998</v>
      </c>
      <c r="Q796" t="str" cm="1">
        <f t="array" ref="Q796">_xlfn.IFS(L796="Rob","Robusta",L796="Exc", "Excelsa",L796="Ara", "Arabica",L796="Lib", "Liberica")</f>
        <v>Arabica</v>
      </c>
      <c r="R796" t="str" cm="1">
        <f t="array" ref="R796">_xlfn.IFS(M796="M","Medium",M796="L","Light",M796="D","Dark")</f>
        <v>Light</v>
      </c>
    </row>
    <row r="797" spans="1:18">
      <c r="A797" s="2" t="s">
        <v>1589</v>
      </c>
      <c r="B797" s="3">
        <v>43540</v>
      </c>
      <c r="C797" s="9">
        <f>YEAR(Orders_Table[[#This Row],[Order Date]])</f>
        <v>2019</v>
      </c>
      <c r="D797" s="9">
        <f>MONTH(Orders_Table[[#This Row],[Order Date]])</f>
        <v>3</v>
      </c>
      <c r="E797" s="9" t="str" cm="1">
        <f t="array" ref="E7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797" s="2" t="s">
        <v>1590</v>
      </c>
      <c r="G797" t="s">
        <v>204</v>
      </c>
      <c r="H797" s="2">
        <v>4</v>
      </c>
      <c r="I797" s="2" t="str" cm="1">
        <f t="array" ref="I797">_xlfn.XLOOKUP(F797,Customers!A796:$A$1001,Customers!B796:$B$1001,"Not Found",0)</f>
        <v>Wright Caldero</v>
      </c>
      <c r="J797" s="2" t="str" cm="1">
        <f t="array" ref="J797">IF(_xlfn.XLOOKUP(F797,Customers!A796:$A$1001,Customers!C796:$C$1001,"Not Found",0)=0,"",_xlfn.XLOOKUP(F797,Customers!A796:$A$1001,Customers!C796:$C$1001,"Not Found",0))</f>
        <v>wcalderom3@stumbleupon.com</v>
      </c>
      <c r="K797" s="2" t="str" cm="1">
        <f t="array" ref="K797">_xlfn.XLOOKUP(F797,Customers!A796:$A$1001,Customers!G796:$G$1001,"Not Found",0)</f>
        <v>United States</v>
      </c>
      <c r="L797" t="str">
        <f>INDEX(Products!$A$1:$G$49,MATCH(Orders!$G797,Products!$A$1:$A$49,0),MATCH(Orders!L$1,Products!$A$1:$G$1,0))</f>
        <v>Rob</v>
      </c>
      <c r="M797" t="str">
        <f>INDEX(Products!$A$1:$G$49,MATCH(Orders!$G797,Products!$A$1:$A$49,0),MATCH(Orders!M$1,Products!$A$1:$G$1,0))</f>
        <v>L</v>
      </c>
      <c r="N797" s="4">
        <f>INDEX(Products!$A$1:$G$49,MATCH(Orders!$G797,Products!$A$1:$A$49,0),MATCH(Orders!N$1,Products!$A$1:$G$1,0))</f>
        <v>0.5</v>
      </c>
      <c r="O797" s="7">
        <f>INDEX(Products!$A$1:$G$49,MATCH(Orders!$G797,Products!$A$1:$A$49,0),MATCH(Orders!O$1,Products!$A$1:$G$1,0))</f>
        <v>7.169999999999999</v>
      </c>
      <c r="P797" s="7">
        <f t="shared" si="12"/>
        <v>28.679999999999996</v>
      </c>
      <c r="Q797" t="str" cm="1">
        <f t="array" ref="Q797">_xlfn.IFS(L797="Rob","Robusta",L797="Exc", "Excelsa",L797="Ara", "Arabica",L797="Lib", "Liberica")</f>
        <v>Robusta</v>
      </c>
      <c r="R797" t="str" cm="1">
        <f t="array" ref="R797">_xlfn.IFS(M797="M","Medium",M797="L","Light",M797="D","Dark")</f>
        <v>Light</v>
      </c>
    </row>
    <row r="798" spans="1:18">
      <c r="A798" s="2" t="s">
        <v>1591</v>
      </c>
      <c r="B798" s="3">
        <v>44533</v>
      </c>
      <c r="C798" s="9">
        <f>YEAR(Orders_Table[[#This Row],[Order Date]])</f>
        <v>2021</v>
      </c>
      <c r="D798" s="9">
        <f>MONTH(Orders_Table[[#This Row],[Order Date]])</f>
        <v>12</v>
      </c>
      <c r="E798" s="9" t="str" cm="1">
        <f t="array" ref="E7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798" s="2" t="s">
        <v>1592</v>
      </c>
      <c r="G798" t="s">
        <v>130</v>
      </c>
      <c r="H798" s="2">
        <v>1</v>
      </c>
      <c r="I798" s="2" t="str" cm="1">
        <f t="array" ref="I798">_xlfn.XLOOKUP(F798,Customers!A797:$A$1001,Customers!B797:$B$1001,"Not Found",0)</f>
        <v>Merell Zanazzi</v>
      </c>
      <c r="J798" s="2" t="str" cm="1">
        <f t="array" ref="J798">IF(_xlfn.XLOOKUP(F798,Customers!A797:$A$1001,Customers!C797:$C$1001,"Not Found",0)=0,"",_xlfn.XLOOKUP(F798,Customers!A797:$A$1001,Customers!C797:$C$1001,"Not Found",0))</f>
        <v/>
      </c>
      <c r="K798" s="2" t="str" cm="1">
        <f t="array" ref="K798">_xlfn.XLOOKUP(F798,Customers!A797:$A$1001,Customers!G797:$G$1001,"Not Found",0)</f>
        <v>United States</v>
      </c>
      <c r="L798" t="str">
        <f>INDEX(Products!$A$1:$G$49,MATCH(Orders!$G798,Products!$A$1:$A$49,0),MATCH(Orders!L$1,Products!$A$1:$G$1,0))</f>
        <v>Lib</v>
      </c>
      <c r="M798" t="str">
        <f>INDEX(Products!$A$1:$G$49,MATCH(Orders!$G798,Products!$A$1:$A$49,0),MATCH(Orders!M$1,Products!$A$1:$G$1,0))</f>
        <v>L</v>
      </c>
      <c r="N798" s="4">
        <f>INDEX(Products!$A$1:$G$49,MATCH(Orders!$G798,Products!$A$1:$A$49,0),MATCH(Orders!N$1,Products!$A$1:$G$1,0))</f>
        <v>0.5</v>
      </c>
      <c r="O798" s="7">
        <f>INDEX(Products!$A$1:$G$49,MATCH(Orders!$G798,Products!$A$1:$A$49,0),MATCH(Orders!O$1,Products!$A$1:$G$1,0))</f>
        <v>9.51</v>
      </c>
      <c r="P798" s="7">
        <f t="shared" si="12"/>
        <v>9.51</v>
      </c>
      <c r="Q798" t="str" cm="1">
        <f t="array" ref="Q798">_xlfn.IFS(L798="Rob","Robusta",L798="Exc", "Excelsa",L798="Ara", "Arabica",L798="Lib", "Liberica")</f>
        <v>Liberica</v>
      </c>
      <c r="R798" t="str" cm="1">
        <f t="array" ref="R798">_xlfn.IFS(M798="M","Medium",M798="L","Light",M798="D","Dark")</f>
        <v>Light</v>
      </c>
    </row>
    <row r="799" spans="1:18">
      <c r="A799" s="2" t="s">
        <v>1593</v>
      </c>
      <c r="B799" s="3">
        <v>44751</v>
      </c>
      <c r="C799" s="9">
        <f>YEAR(Orders_Table[[#This Row],[Order Date]])</f>
        <v>2022</v>
      </c>
      <c r="D799" s="9">
        <f>MONTH(Orders_Table[[#This Row],[Order Date]])</f>
        <v>7</v>
      </c>
      <c r="E799" s="9" t="str" cm="1">
        <f t="array" ref="E7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799" s="2" t="s">
        <v>1594</v>
      </c>
      <c r="G799" t="s">
        <v>239</v>
      </c>
      <c r="H799" s="2">
        <v>4</v>
      </c>
      <c r="I799" s="2" t="str" cm="1">
        <f t="array" ref="I799">_xlfn.XLOOKUP(F799,Customers!A798:$A$1001,Customers!B798:$B$1001,"Not Found",0)</f>
        <v>Jed Kennicott</v>
      </c>
      <c r="J799" s="2" t="str" cm="1">
        <f t="array" ref="J799">IF(_xlfn.XLOOKUP(F799,Customers!A798:$A$1001,Customers!C798:$C$1001,"Not Found",0)=0,"",_xlfn.XLOOKUP(F799,Customers!A798:$A$1001,Customers!C798:$C$1001,"Not Found",0))</f>
        <v>jkennicottm5@yahoo.co.jp</v>
      </c>
      <c r="K799" s="2" t="str" cm="1">
        <f t="array" ref="K799">_xlfn.XLOOKUP(F799,Customers!A798:$A$1001,Customers!G798:$G$1001,"Not Found",0)</f>
        <v>United States</v>
      </c>
      <c r="L799" t="str">
        <f>INDEX(Products!$A$1:$G$49,MATCH(Orders!$G799,Products!$A$1:$A$49,0),MATCH(Orders!L$1,Products!$A$1:$G$1,0))</f>
        <v>Ara</v>
      </c>
      <c r="M799" t="str">
        <f>INDEX(Products!$A$1:$G$49,MATCH(Orders!$G799,Products!$A$1:$A$49,0),MATCH(Orders!M$1,Products!$A$1:$G$1,0))</f>
        <v>L</v>
      </c>
      <c r="N799" s="4">
        <f>INDEX(Products!$A$1:$G$49,MATCH(Orders!$G799,Products!$A$1:$A$49,0),MATCH(Orders!N$1,Products!$A$1:$G$1,0))</f>
        <v>0.5</v>
      </c>
      <c r="O799" s="7">
        <f>INDEX(Products!$A$1:$G$49,MATCH(Orders!$G799,Products!$A$1:$A$49,0),MATCH(Orders!O$1,Products!$A$1:$G$1,0))</f>
        <v>7.77</v>
      </c>
      <c r="P799" s="7">
        <f t="shared" si="12"/>
        <v>31.08</v>
      </c>
      <c r="Q799" t="str" cm="1">
        <f t="array" ref="Q799">_xlfn.IFS(L799="Rob","Robusta",L799="Exc", "Excelsa",L799="Ara", "Arabica",L799="Lib", "Liberica")</f>
        <v>Arabica</v>
      </c>
      <c r="R799" t="str" cm="1">
        <f t="array" ref="R799">_xlfn.IFS(M799="M","Medium",M799="L","Light",M799="D","Dark")</f>
        <v>Light</v>
      </c>
    </row>
    <row r="800" spans="1:18">
      <c r="A800" s="2" t="s">
        <v>1595</v>
      </c>
      <c r="B800" s="3">
        <v>43950</v>
      </c>
      <c r="C800" s="9">
        <f>YEAR(Orders_Table[[#This Row],[Order Date]])</f>
        <v>2020</v>
      </c>
      <c r="D800" s="9">
        <f>MONTH(Orders_Table[[#This Row],[Order Date]])</f>
        <v>4</v>
      </c>
      <c r="E800" s="9" t="str" cm="1">
        <f t="array" ref="E8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00" s="2" t="s">
        <v>1596</v>
      </c>
      <c r="G800" t="s">
        <v>148</v>
      </c>
      <c r="H800" s="2">
        <v>3</v>
      </c>
      <c r="I800" s="2" t="str" cm="1">
        <f t="array" ref="I800">_xlfn.XLOOKUP(F800,Customers!A799:$A$1001,Customers!B799:$B$1001,"Not Found",0)</f>
        <v>Guenevere Ruggen</v>
      </c>
      <c r="J800" s="2" t="str" cm="1">
        <f t="array" ref="J800">IF(_xlfn.XLOOKUP(F800,Customers!A799:$A$1001,Customers!C799:$C$1001,"Not Found",0)=0,"",_xlfn.XLOOKUP(F800,Customers!A799:$A$1001,Customers!C799:$C$1001,"Not Found",0))</f>
        <v>gruggenm6@nymag.com</v>
      </c>
      <c r="K800" s="2" t="str" cm="1">
        <f t="array" ref="K800">_xlfn.XLOOKUP(F800,Customers!A799:$A$1001,Customers!G799:$G$1001,"Not Found",0)</f>
        <v>United States</v>
      </c>
      <c r="L800" t="str">
        <f>INDEX(Products!$A$1:$G$49,MATCH(Orders!$G800,Products!$A$1:$A$49,0),MATCH(Orders!L$1,Products!$A$1:$G$1,0))</f>
        <v>Rob</v>
      </c>
      <c r="M800" t="str">
        <f>INDEX(Products!$A$1:$G$49,MATCH(Orders!$G800,Products!$A$1:$A$49,0),MATCH(Orders!M$1,Products!$A$1:$G$1,0))</f>
        <v>D</v>
      </c>
      <c r="N800" s="4">
        <f>INDEX(Products!$A$1:$G$49,MATCH(Orders!$G800,Products!$A$1:$A$49,0),MATCH(Orders!N$1,Products!$A$1:$G$1,0))</f>
        <v>0.2</v>
      </c>
      <c r="O800" s="7">
        <f>INDEX(Products!$A$1:$G$49,MATCH(Orders!$G800,Products!$A$1:$A$49,0),MATCH(Orders!O$1,Products!$A$1:$G$1,0))</f>
        <v>2.6849999999999996</v>
      </c>
      <c r="P800" s="7">
        <f t="shared" si="12"/>
        <v>8.0549999999999997</v>
      </c>
      <c r="Q800" t="str" cm="1">
        <f t="array" ref="Q800">_xlfn.IFS(L800="Rob","Robusta",L800="Exc", "Excelsa",L800="Ara", "Arabica",L800="Lib", "Liberica")</f>
        <v>Robusta</v>
      </c>
      <c r="R800" t="str" cm="1">
        <f t="array" ref="R800">_xlfn.IFS(M800="M","Medium",M800="L","Light",M800="D","Dark")</f>
        <v>Dark</v>
      </c>
    </row>
    <row r="801" spans="1:18">
      <c r="A801" s="2" t="s">
        <v>1597</v>
      </c>
      <c r="B801" s="3">
        <v>44588</v>
      </c>
      <c r="C801" s="9">
        <f>YEAR(Orders_Table[[#This Row],[Order Date]])</f>
        <v>2022</v>
      </c>
      <c r="D801" s="9">
        <f>MONTH(Orders_Table[[#This Row],[Order Date]])</f>
        <v>1</v>
      </c>
      <c r="E801" s="9" t="str" cm="1">
        <f t="array" ref="E8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01" s="2" t="s">
        <v>1598</v>
      </c>
      <c r="G801" t="s">
        <v>292</v>
      </c>
      <c r="H801" s="2">
        <v>3</v>
      </c>
      <c r="I801" s="2" t="str" cm="1">
        <f t="array" ref="I801">_xlfn.XLOOKUP(F801,Customers!A800:$A$1001,Customers!B800:$B$1001,"Not Found",0)</f>
        <v>Gonzales Cicculi</v>
      </c>
      <c r="J801" s="2" t="str" cm="1">
        <f t="array" ref="J801">IF(_xlfn.XLOOKUP(F801,Customers!A800:$A$1001,Customers!C800:$C$1001,"Not Found",0)=0,"",_xlfn.XLOOKUP(F801,Customers!A800:$A$1001,Customers!C800:$C$1001,"Not Found",0))</f>
        <v/>
      </c>
      <c r="K801" s="2" t="str" cm="1">
        <f t="array" ref="K801">_xlfn.XLOOKUP(F801,Customers!A800:$A$1001,Customers!G800:$G$1001,"Not Found",0)</f>
        <v>United States</v>
      </c>
      <c r="L801" t="str">
        <f>INDEX(Products!$A$1:$G$49,MATCH(Orders!$G801,Products!$A$1:$A$49,0),MATCH(Orders!L$1,Products!$A$1:$G$1,0))</f>
        <v>Exc</v>
      </c>
      <c r="M801" t="str">
        <f>INDEX(Products!$A$1:$G$49,MATCH(Orders!$G801,Products!$A$1:$A$49,0),MATCH(Orders!M$1,Products!$A$1:$G$1,0))</f>
        <v>D</v>
      </c>
      <c r="N801" s="4">
        <f>INDEX(Products!$A$1:$G$49,MATCH(Orders!$G801,Products!$A$1:$A$49,0),MATCH(Orders!N$1,Products!$A$1:$G$1,0))</f>
        <v>1</v>
      </c>
      <c r="O801" s="7">
        <f>INDEX(Products!$A$1:$G$49,MATCH(Orders!$G801,Products!$A$1:$A$49,0),MATCH(Orders!O$1,Products!$A$1:$G$1,0))</f>
        <v>12.15</v>
      </c>
      <c r="P801" s="7">
        <f t="shared" si="12"/>
        <v>36.450000000000003</v>
      </c>
      <c r="Q801" t="str" cm="1">
        <f t="array" ref="Q801">_xlfn.IFS(L801="Rob","Robusta",L801="Exc", "Excelsa",L801="Ara", "Arabica",L801="Lib", "Liberica")</f>
        <v>Excelsa</v>
      </c>
      <c r="R801" t="str" cm="1">
        <f t="array" ref="R801">_xlfn.IFS(M801="M","Medium",M801="L","Light",M801="D","Dark")</f>
        <v>Dark</v>
      </c>
    </row>
    <row r="802" spans="1:18">
      <c r="A802" s="2" t="s">
        <v>1599</v>
      </c>
      <c r="B802" s="3">
        <v>44240</v>
      </c>
      <c r="C802" s="9">
        <f>YEAR(Orders_Table[[#This Row],[Order Date]])</f>
        <v>2021</v>
      </c>
      <c r="D802" s="9">
        <f>MONTH(Orders_Table[[#This Row],[Order Date]])</f>
        <v>2</v>
      </c>
      <c r="E802" s="9" t="str" cm="1">
        <f t="array" ref="E8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02" s="2" t="s">
        <v>1600</v>
      </c>
      <c r="G802" t="s">
        <v>148</v>
      </c>
      <c r="H802" s="2">
        <v>6</v>
      </c>
      <c r="I802" s="2" t="str" cm="1">
        <f t="array" ref="I802">_xlfn.XLOOKUP(F802,Customers!A801:$A$1001,Customers!B801:$B$1001,"Not Found",0)</f>
        <v>Man Fright</v>
      </c>
      <c r="J802" s="2" t="str" cm="1">
        <f t="array" ref="J802">IF(_xlfn.XLOOKUP(F802,Customers!A801:$A$1001,Customers!C801:$C$1001,"Not Found",0)=0,"",_xlfn.XLOOKUP(F802,Customers!A801:$A$1001,Customers!C801:$C$1001,"Not Found",0))</f>
        <v>mfrightm8@harvard.edu</v>
      </c>
      <c r="K802" s="2" t="str" cm="1">
        <f t="array" ref="K802">_xlfn.XLOOKUP(F802,Customers!A801:$A$1001,Customers!G801:$G$1001,"Not Found",0)</f>
        <v>Ireland</v>
      </c>
      <c r="L802" t="str">
        <f>INDEX(Products!$A$1:$G$49,MATCH(Orders!$G802,Products!$A$1:$A$49,0),MATCH(Orders!L$1,Products!$A$1:$G$1,0))</f>
        <v>Rob</v>
      </c>
      <c r="M802" t="str">
        <f>INDEX(Products!$A$1:$G$49,MATCH(Orders!$G802,Products!$A$1:$A$49,0),MATCH(Orders!M$1,Products!$A$1:$G$1,0))</f>
        <v>D</v>
      </c>
      <c r="N802" s="4">
        <f>INDEX(Products!$A$1:$G$49,MATCH(Orders!$G802,Products!$A$1:$A$49,0),MATCH(Orders!N$1,Products!$A$1:$G$1,0))</f>
        <v>0.2</v>
      </c>
      <c r="O802" s="7">
        <f>INDEX(Products!$A$1:$G$49,MATCH(Orders!$G802,Products!$A$1:$A$49,0),MATCH(Orders!O$1,Products!$A$1:$G$1,0))</f>
        <v>2.6849999999999996</v>
      </c>
      <c r="P802" s="7">
        <f t="shared" si="12"/>
        <v>16.11</v>
      </c>
      <c r="Q802" t="str" cm="1">
        <f t="array" ref="Q802">_xlfn.IFS(L802="Rob","Robusta",L802="Exc", "Excelsa",L802="Ara", "Arabica",L802="Lib", "Liberica")</f>
        <v>Robusta</v>
      </c>
      <c r="R802" t="str" cm="1">
        <f t="array" ref="R802">_xlfn.IFS(M802="M","Medium",M802="L","Light",M802="D","Dark")</f>
        <v>Dark</v>
      </c>
    </row>
    <row r="803" spans="1:18">
      <c r="A803" s="2" t="s">
        <v>1601</v>
      </c>
      <c r="B803" s="3">
        <v>44025</v>
      </c>
      <c r="C803" s="9">
        <f>YEAR(Orders_Table[[#This Row],[Order Date]])</f>
        <v>2020</v>
      </c>
      <c r="D803" s="9">
        <f>MONTH(Orders_Table[[#This Row],[Order Date]])</f>
        <v>7</v>
      </c>
      <c r="E803" s="9" t="str" cm="1">
        <f t="array" ref="E8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03" s="2" t="s">
        <v>1602</v>
      </c>
      <c r="G803" t="s">
        <v>82</v>
      </c>
      <c r="H803" s="2">
        <v>2</v>
      </c>
      <c r="I803" s="2" t="str" cm="1">
        <f t="array" ref="I803">_xlfn.XLOOKUP(F803,Customers!A802:$A$1001,Customers!B802:$B$1001,"Not Found",0)</f>
        <v>Boyce Tarte</v>
      </c>
      <c r="J803" s="2" t="str" cm="1">
        <f t="array" ref="J803">IF(_xlfn.XLOOKUP(F803,Customers!A802:$A$1001,Customers!C802:$C$1001,"Not Found",0)=0,"",_xlfn.XLOOKUP(F803,Customers!A802:$A$1001,Customers!C802:$C$1001,"Not Found",0))</f>
        <v>btartem9@aol.com</v>
      </c>
      <c r="K803" s="2" t="str" cm="1">
        <f t="array" ref="K803">_xlfn.XLOOKUP(F803,Customers!A802:$A$1001,Customers!G802:$G$1001,"Not Found",0)</f>
        <v>United States</v>
      </c>
      <c r="L803" t="str">
        <f>INDEX(Products!$A$1:$G$49,MATCH(Orders!$G803,Products!$A$1:$A$49,0),MATCH(Orders!L$1,Products!$A$1:$G$1,0))</f>
        <v>Rob</v>
      </c>
      <c r="M803" t="str">
        <f>INDEX(Products!$A$1:$G$49,MATCH(Orders!$G803,Products!$A$1:$A$49,0),MATCH(Orders!M$1,Products!$A$1:$G$1,0))</f>
        <v>D</v>
      </c>
      <c r="N803" s="4">
        <f>INDEX(Products!$A$1:$G$49,MATCH(Orders!$G803,Products!$A$1:$A$49,0),MATCH(Orders!N$1,Products!$A$1:$G$1,0))</f>
        <v>2.5</v>
      </c>
      <c r="O803" s="7">
        <f>INDEX(Products!$A$1:$G$49,MATCH(Orders!$G803,Products!$A$1:$A$49,0),MATCH(Orders!O$1,Products!$A$1:$G$1,0))</f>
        <v>20.584999999999997</v>
      </c>
      <c r="P803" s="7">
        <f t="shared" si="12"/>
        <v>41.169999999999995</v>
      </c>
      <c r="Q803" t="str" cm="1">
        <f t="array" ref="Q803">_xlfn.IFS(L803="Rob","Robusta",L803="Exc", "Excelsa",L803="Ara", "Arabica",L803="Lib", "Liberica")</f>
        <v>Robusta</v>
      </c>
      <c r="R803" t="str" cm="1">
        <f t="array" ref="R803">_xlfn.IFS(M803="M","Medium",M803="L","Light",M803="D","Dark")</f>
        <v>Dark</v>
      </c>
    </row>
    <row r="804" spans="1:18">
      <c r="A804" s="2" t="s">
        <v>1603</v>
      </c>
      <c r="B804" s="3">
        <v>43902</v>
      </c>
      <c r="C804" s="9">
        <f>YEAR(Orders_Table[[#This Row],[Order Date]])</f>
        <v>2020</v>
      </c>
      <c r="D804" s="9">
        <f>MONTH(Orders_Table[[#This Row],[Order Date]])</f>
        <v>3</v>
      </c>
      <c r="E804" s="9" t="str" cm="1">
        <f t="array" ref="E8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04" s="2" t="s">
        <v>1604</v>
      </c>
      <c r="G804" t="s">
        <v>148</v>
      </c>
      <c r="H804" s="2">
        <v>4</v>
      </c>
      <c r="I804" s="2" t="str" cm="1">
        <f t="array" ref="I804">_xlfn.XLOOKUP(F804,Customers!A803:$A$1001,Customers!B803:$B$1001,"Not Found",0)</f>
        <v>Caddric Krzysztofiak</v>
      </c>
      <c r="J804" s="2" t="str" cm="1">
        <f t="array" ref="J804">IF(_xlfn.XLOOKUP(F804,Customers!A803:$A$1001,Customers!C803:$C$1001,"Not Found",0)=0,"",_xlfn.XLOOKUP(F804,Customers!A803:$A$1001,Customers!C803:$C$1001,"Not Found",0))</f>
        <v>ckrzysztofiakma@skyrock.com</v>
      </c>
      <c r="K804" s="2" t="str" cm="1">
        <f t="array" ref="K804">_xlfn.XLOOKUP(F804,Customers!A803:$A$1001,Customers!G803:$G$1001,"Not Found",0)</f>
        <v>United States</v>
      </c>
      <c r="L804" t="str">
        <f>INDEX(Products!$A$1:$G$49,MATCH(Orders!$G804,Products!$A$1:$A$49,0),MATCH(Orders!L$1,Products!$A$1:$G$1,0))</f>
        <v>Rob</v>
      </c>
      <c r="M804" t="str">
        <f>INDEX(Products!$A$1:$G$49,MATCH(Orders!$G804,Products!$A$1:$A$49,0),MATCH(Orders!M$1,Products!$A$1:$G$1,0))</f>
        <v>D</v>
      </c>
      <c r="N804" s="4">
        <f>INDEX(Products!$A$1:$G$49,MATCH(Orders!$G804,Products!$A$1:$A$49,0),MATCH(Orders!N$1,Products!$A$1:$G$1,0))</f>
        <v>0.2</v>
      </c>
      <c r="O804" s="7">
        <f>INDEX(Products!$A$1:$G$49,MATCH(Orders!$G804,Products!$A$1:$A$49,0),MATCH(Orders!O$1,Products!$A$1:$G$1,0))</f>
        <v>2.6849999999999996</v>
      </c>
      <c r="P804" s="7">
        <f t="shared" si="12"/>
        <v>10.739999999999998</v>
      </c>
      <c r="Q804" t="str" cm="1">
        <f t="array" ref="Q804">_xlfn.IFS(L804="Rob","Robusta",L804="Exc", "Excelsa",L804="Ara", "Arabica",L804="Lib", "Liberica")</f>
        <v>Robusta</v>
      </c>
      <c r="R804" t="str" cm="1">
        <f t="array" ref="R804">_xlfn.IFS(M804="M","Medium",M804="L","Light",M804="D","Dark")</f>
        <v>Dark</v>
      </c>
    </row>
    <row r="805" spans="1:18">
      <c r="A805" s="2" t="s">
        <v>1605</v>
      </c>
      <c r="B805" s="3">
        <v>43955</v>
      </c>
      <c r="C805" s="9">
        <f>YEAR(Orders_Table[[#This Row],[Order Date]])</f>
        <v>2020</v>
      </c>
      <c r="D805" s="9">
        <f>MONTH(Orders_Table[[#This Row],[Order Date]])</f>
        <v>5</v>
      </c>
      <c r="E805" s="9" t="str" cm="1">
        <f t="array" ref="E8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805" s="2" t="s">
        <v>1606</v>
      </c>
      <c r="G805" t="s">
        <v>159</v>
      </c>
      <c r="H805" s="2">
        <v>4</v>
      </c>
      <c r="I805" s="2" t="str" cm="1">
        <f t="array" ref="I805">_xlfn.XLOOKUP(F805,Customers!A804:$A$1001,Customers!B804:$B$1001,"Not Found",0)</f>
        <v>Darn Penquet</v>
      </c>
      <c r="J805" s="2" t="str" cm="1">
        <f t="array" ref="J805">IF(_xlfn.XLOOKUP(F805,Customers!A804:$A$1001,Customers!C804:$C$1001,"Not Found",0)=0,"",_xlfn.XLOOKUP(F805,Customers!A804:$A$1001,Customers!C804:$C$1001,"Not Found",0))</f>
        <v>dpenquetmb@diigo.com</v>
      </c>
      <c r="K805" s="2" t="str" cm="1">
        <f t="array" ref="K805">_xlfn.XLOOKUP(F805,Customers!A804:$A$1001,Customers!G804:$G$1001,"Not Found",0)</f>
        <v>United States</v>
      </c>
      <c r="L805" t="str">
        <f>INDEX(Products!$A$1:$G$49,MATCH(Orders!$G805,Products!$A$1:$A$49,0),MATCH(Orders!L$1,Products!$A$1:$G$1,0))</f>
        <v>Exc</v>
      </c>
      <c r="M805" t="str">
        <f>INDEX(Products!$A$1:$G$49,MATCH(Orders!$G805,Products!$A$1:$A$49,0),MATCH(Orders!M$1,Products!$A$1:$G$1,0))</f>
        <v>M</v>
      </c>
      <c r="N805" s="4">
        <f>INDEX(Products!$A$1:$G$49,MATCH(Orders!$G805,Products!$A$1:$A$49,0),MATCH(Orders!N$1,Products!$A$1:$G$1,0))</f>
        <v>2.5</v>
      </c>
      <c r="O805" s="7">
        <f>INDEX(Products!$A$1:$G$49,MATCH(Orders!$G805,Products!$A$1:$A$49,0),MATCH(Orders!O$1,Products!$A$1:$G$1,0))</f>
        <v>31.624999999999996</v>
      </c>
      <c r="P805" s="7">
        <f t="shared" si="12"/>
        <v>126.49999999999999</v>
      </c>
      <c r="Q805" t="str" cm="1">
        <f t="array" ref="Q805">_xlfn.IFS(L805="Rob","Robusta",L805="Exc", "Excelsa",L805="Ara", "Arabica",L805="Lib", "Liberica")</f>
        <v>Excelsa</v>
      </c>
      <c r="R805" t="str" cm="1">
        <f t="array" ref="R805">_xlfn.IFS(M805="M","Medium",M805="L","Light",M805="D","Dark")</f>
        <v>Medium</v>
      </c>
    </row>
    <row r="806" spans="1:18">
      <c r="A806" s="2" t="s">
        <v>1607</v>
      </c>
      <c r="B806" s="3">
        <v>44289</v>
      </c>
      <c r="C806" s="9">
        <f>YEAR(Orders_Table[[#This Row],[Order Date]])</f>
        <v>2021</v>
      </c>
      <c r="D806" s="9">
        <f>MONTH(Orders_Table[[#This Row],[Order Date]])</f>
        <v>4</v>
      </c>
      <c r="E806" s="9" t="str" cm="1">
        <f t="array" ref="E8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06" s="2" t="s">
        <v>1608</v>
      </c>
      <c r="G806" t="s">
        <v>236</v>
      </c>
      <c r="H806" s="2">
        <v>2</v>
      </c>
      <c r="I806" s="2" t="str" cm="1">
        <f t="array" ref="I806">_xlfn.XLOOKUP(F806,Customers!A805:$A$1001,Customers!B805:$B$1001,"Not Found",0)</f>
        <v>Jammie Cloke</v>
      </c>
      <c r="J806" s="2" t="str" cm="1">
        <f t="array" ref="J806">IF(_xlfn.XLOOKUP(F806,Customers!A805:$A$1001,Customers!C805:$C$1001,"Not Found",0)=0,"",_xlfn.XLOOKUP(F806,Customers!A805:$A$1001,Customers!C805:$C$1001,"Not Found",0))</f>
        <v/>
      </c>
      <c r="K806" s="2" t="str" cm="1">
        <f t="array" ref="K806">_xlfn.XLOOKUP(F806,Customers!A805:$A$1001,Customers!G805:$G$1001,"Not Found",0)</f>
        <v>United Kingdom</v>
      </c>
      <c r="L806" t="str">
        <f>INDEX(Products!$A$1:$G$49,MATCH(Orders!$G806,Products!$A$1:$A$49,0),MATCH(Orders!L$1,Products!$A$1:$G$1,0))</f>
        <v>Rob</v>
      </c>
      <c r="M806" t="str">
        <f>INDEX(Products!$A$1:$G$49,MATCH(Orders!$G806,Products!$A$1:$A$49,0),MATCH(Orders!M$1,Products!$A$1:$G$1,0))</f>
        <v>L</v>
      </c>
      <c r="N806" s="4">
        <f>INDEX(Products!$A$1:$G$49,MATCH(Orders!$G806,Products!$A$1:$A$49,0),MATCH(Orders!N$1,Products!$A$1:$G$1,0))</f>
        <v>1</v>
      </c>
      <c r="O806" s="7">
        <f>INDEX(Products!$A$1:$G$49,MATCH(Orders!$G806,Products!$A$1:$A$49,0),MATCH(Orders!O$1,Products!$A$1:$G$1,0))</f>
        <v>11.95</v>
      </c>
      <c r="P806" s="7">
        <f t="shared" si="12"/>
        <v>23.9</v>
      </c>
      <c r="Q806" t="str" cm="1">
        <f t="array" ref="Q806">_xlfn.IFS(L806="Rob","Robusta",L806="Exc", "Excelsa",L806="Ara", "Arabica",L806="Lib", "Liberica")</f>
        <v>Robusta</v>
      </c>
      <c r="R806" t="str" cm="1">
        <f t="array" ref="R806">_xlfn.IFS(M806="M","Medium",M806="L","Light",M806="D","Dark")</f>
        <v>Light</v>
      </c>
    </row>
    <row r="807" spans="1:18">
      <c r="A807" s="2" t="s">
        <v>1609</v>
      </c>
      <c r="B807" s="3">
        <v>44713</v>
      </c>
      <c r="C807" s="9">
        <f>YEAR(Orders_Table[[#This Row],[Order Date]])</f>
        <v>2022</v>
      </c>
      <c r="D807" s="9">
        <f>MONTH(Orders_Table[[#This Row],[Order Date]])</f>
        <v>6</v>
      </c>
      <c r="E807" s="9" t="str" cm="1">
        <f t="array" ref="E8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07" s="2" t="s">
        <v>1610</v>
      </c>
      <c r="G807" t="s">
        <v>69</v>
      </c>
      <c r="H807" s="2">
        <v>1</v>
      </c>
      <c r="I807" s="2" t="str" cm="1">
        <f t="array" ref="I807">_xlfn.XLOOKUP(F807,Customers!A806:$A$1001,Customers!B806:$B$1001,"Not Found",0)</f>
        <v>Chester Clowton</v>
      </c>
      <c r="J807" s="2" t="str" cm="1">
        <f t="array" ref="J807">IF(_xlfn.XLOOKUP(F807,Customers!A806:$A$1001,Customers!C806:$C$1001,"Not Found",0)=0,"",_xlfn.XLOOKUP(F807,Customers!A806:$A$1001,Customers!C806:$C$1001,"Not Found",0))</f>
        <v/>
      </c>
      <c r="K807" s="2" t="str" cm="1">
        <f t="array" ref="K807">_xlfn.XLOOKUP(F807,Customers!A806:$A$1001,Customers!G806:$G$1001,"Not Found",0)</f>
        <v>United States</v>
      </c>
      <c r="L807" t="str">
        <f>INDEX(Products!$A$1:$G$49,MATCH(Orders!$G807,Products!$A$1:$A$49,0),MATCH(Orders!L$1,Products!$A$1:$G$1,0))</f>
        <v>Rob</v>
      </c>
      <c r="M807" t="str">
        <f>INDEX(Products!$A$1:$G$49,MATCH(Orders!$G807,Products!$A$1:$A$49,0),MATCH(Orders!M$1,Products!$A$1:$G$1,0))</f>
        <v>M</v>
      </c>
      <c r="N807" s="4">
        <f>INDEX(Products!$A$1:$G$49,MATCH(Orders!$G807,Products!$A$1:$A$49,0),MATCH(Orders!N$1,Products!$A$1:$G$1,0))</f>
        <v>0.5</v>
      </c>
      <c r="O807" s="7">
        <f>INDEX(Products!$A$1:$G$49,MATCH(Orders!$G807,Products!$A$1:$A$49,0),MATCH(Orders!O$1,Products!$A$1:$G$1,0))</f>
        <v>5.97</v>
      </c>
      <c r="P807" s="7">
        <f t="shared" si="12"/>
        <v>5.97</v>
      </c>
      <c r="Q807" t="str" cm="1">
        <f t="array" ref="Q807">_xlfn.IFS(L807="Rob","Robusta",L807="Exc", "Excelsa",L807="Ara", "Arabica",L807="Lib", "Liberica")</f>
        <v>Robusta</v>
      </c>
      <c r="R807" t="str" cm="1">
        <f t="array" ref="R807">_xlfn.IFS(M807="M","Medium",M807="L","Light",M807="D","Dark")</f>
        <v>Medium</v>
      </c>
    </row>
    <row r="808" spans="1:18">
      <c r="A808" s="2" t="s">
        <v>1611</v>
      </c>
      <c r="B808" s="3">
        <v>44241</v>
      </c>
      <c r="C808" s="9">
        <f>YEAR(Orders_Table[[#This Row],[Order Date]])</f>
        <v>2021</v>
      </c>
      <c r="D808" s="9">
        <f>MONTH(Orders_Table[[#This Row],[Order Date]])</f>
        <v>2</v>
      </c>
      <c r="E808" s="9" t="str" cm="1">
        <f t="array" ref="E8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08" s="2" t="s">
        <v>1612</v>
      </c>
      <c r="G808" t="s">
        <v>85</v>
      </c>
      <c r="H808" s="2">
        <v>2</v>
      </c>
      <c r="I808" s="2" t="str" cm="1">
        <f t="array" ref="I808">_xlfn.XLOOKUP(F808,Customers!A807:$A$1001,Customers!B807:$B$1001,"Not Found",0)</f>
        <v>Kathleen Diable</v>
      </c>
      <c r="J808" s="2" t="str" cm="1">
        <f t="array" ref="J808">IF(_xlfn.XLOOKUP(F808,Customers!A807:$A$1001,Customers!C807:$C$1001,"Not Found",0)=0,"",_xlfn.XLOOKUP(F808,Customers!A807:$A$1001,Customers!C807:$C$1001,"Not Found",0))</f>
        <v/>
      </c>
      <c r="K808" s="2" t="str" cm="1">
        <f t="array" ref="K808">_xlfn.XLOOKUP(F808,Customers!A807:$A$1001,Customers!G807:$G$1001,"Not Found",0)</f>
        <v>United Kingdom</v>
      </c>
      <c r="L808" t="str">
        <f>INDEX(Products!$A$1:$G$49,MATCH(Orders!$G808,Products!$A$1:$A$49,0),MATCH(Orders!L$1,Products!$A$1:$G$1,0))</f>
        <v>Lib</v>
      </c>
      <c r="M808" t="str">
        <f>INDEX(Products!$A$1:$G$49,MATCH(Orders!$G808,Products!$A$1:$A$49,0),MATCH(Orders!M$1,Products!$A$1:$G$1,0))</f>
        <v>D</v>
      </c>
      <c r="N808" s="4">
        <f>INDEX(Products!$A$1:$G$49,MATCH(Orders!$G808,Products!$A$1:$A$49,0),MATCH(Orders!N$1,Products!$A$1:$G$1,0))</f>
        <v>0.2</v>
      </c>
      <c r="O808" s="7">
        <f>INDEX(Products!$A$1:$G$49,MATCH(Orders!$G808,Products!$A$1:$A$49,0),MATCH(Orders!O$1,Products!$A$1:$G$1,0))</f>
        <v>3.8849999999999998</v>
      </c>
      <c r="P808" s="7">
        <f t="shared" si="12"/>
        <v>7.77</v>
      </c>
      <c r="Q808" t="str" cm="1">
        <f t="array" ref="Q808">_xlfn.IFS(L808="Rob","Robusta",L808="Exc", "Excelsa",L808="Ara", "Arabica",L808="Lib", "Liberica")</f>
        <v>Liberica</v>
      </c>
      <c r="R808" t="str" cm="1">
        <f t="array" ref="R808">_xlfn.IFS(M808="M","Medium",M808="L","Light",M808="D","Dark")</f>
        <v>Dark</v>
      </c>
    </row>
    <row r="809" spans="1:18">
      <c r="A809" s="2" t="s">
        <v>1613</v>
      </c>
      <c r="B809" s="3">
        <v>44543</v>
      </c>
      <c r="C809" s="9">
        <f>YEAR(Orders_Table[[#This Row],[Order Date]])</f>
        <v>2021</v>
      </c>
      <c r="D809" s="9">
        <f>MONTH(Orders_Table[[#This Row],[Order Date]])</f>
        <v>12</v>
      </c>
      <c r="E809" s="9" t="str" cm="1">
        <f t="array" ref="E8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809" s="2" t="s">
        <v>1614</v>
      </c>
      <c r="G809" t="s">
        <v>170</v>
      </c>
      <c r="H809" s="2">
        <v>3</v>
      </c>
      <c r="I809" s="2" t="str" cm="1">
        <f t="array" ref="I809">_xlfn.XLOOKUP(F809,Customers!A808:$A$1001,Customers!B808:$B$1001,"Not Found",0)</f>
        <v>Koren Ferretti</v>
      </c>
      <c r="J809" s="2" t="str" cm="1">
        <f t="array" ref="J809">IF(_xlfn.XLOOKUP(F809,Customers!A808:$A$1001,Customers!C808:$C$1001,"Not Found",0)=0,"",_xlfn.XLOOKUP(F809,Customers!A808:$A$1001,Customers!C808:$C$1001,"Not Found",0))</f>
        <v>kferrettimf@huffingtonpost.com</v>
      </c>
      <c r="K809" s="2" t="str" cm="1">
        <f t="array" ref="K809">_xlfn.XLOOKUP(F809,Customers!A808:$A$1001,Customers!G808:$G$1001,"Not Found",0)</f>
        <v>Ireland</v>
      </c>
      <c r="L809" t="str">
        <f>INDEX(Products!$A$1:$G$49,MATCH(Orders!$G809,Products!$A$1:$A$49,0),MATCH(Orders!L$1,Products!$A$1:$G$1,0))</f>
        <v>Lib</v>
      </c>
      <c r="M809" t="str">
        <f>INDEX(Products!$A$1:$G$49,MATCH(Orders!$G809,Products!$A$1:$A$49,0),MATCH(Orders!M$1,Products!$A$1:$G$1,0))</f>
        <v>D</v>
      </c>
      <c r="N809" s="4">
        <f>INDEX(Products!$A$1:$G$49,MATCH(Orders!$G809,Products!$A$1:$A$49,0),MATCH(Orders!N$1,Products!$A$1:$G$1,0))</f>
        <v>0.5</v>
      </c>
      <c r="O809" s="7">
        <f>INDEX(Products!$A$1:$G$49,MATCH(Orders!$G809,Products!$A$1:$A$49,0),MATCH(Orders!O$1,Products!$A$1:$G$1,0))</f>
        <v>7.77</v>
      </c>
      <c r="P809" s="7">
        <f t="shared" si="12"/>
        <v>23.31</v>
      </c>
      <c r="Q809" t="str" cm="1">
        <f t="array" ref="Q809">_xlfn.IFS(L809="Rob","Robusta",L809="Exc", "Excelsa",L809="Ara", "Arabica",L809="Lib", "Liberica")</f>
        <v>Liberica</v>
      </c>
      <c r="R809" t="str" cm="1">
        <f t="array" ref="R809">_xlfn.IFS(M809="M","Medium",M809="L","Light",M809="D","Dark")</f>
        <v>Dark</v>
      </c>
    </row>
    <row r="810" spans="1:18">
      <c r="A810" s="2" t="s">
        <v>1615</v>
      </c>
      <c r="B810" s="3">
        <v>43868</v>
      </c>
      <c r="C810" s="9">
        <f>YEAR(Orders_Table[[#This Row],[Order Date]])</f>
        <v>2020</v>
      </c>
      <c r="D810" s="9">
        <f>MONTH(Orders_Table[[#This Row],[Order Date]])</f>
        <v>2</v>
      </c>
      <c r="E810" s="9" t="str" cm="1">
        <f t="array" ref="E8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10" s="2" t="s">
        <v>1616</v>
      </c>
      <c r="G810" t="s">
        <v>57</v>
      </c>
      <c r="H810" s="2">
        <v>5</v>
      </c>
      <c r="I810" s="2" t="str" cm="1">
        <f t="array" ref="I810">_xlfn.XLOOKUP(F810,Customers!A809:$A$1001,Customers!B809:$B$1001,"Not Found",0)</f>
        <v>Allis Wilmore</v>
      </c>
      <c r="J810" s="2" t="str" cm="1">
        <f t="array" ref="J810">IF(_xlfn.XLOOKUP(F810,Customers!A809:$A$1001,Customers!C809:$C$1001,"Not Found",0)=0,"",_xlfn.XLOOKUP(F810,Customers!A809:$A$1001,Customers!C809:$C$1001,"Not Found",0))</f>
        <v/>
      </c>
      <c r="K810" s="2" t="str" cm="1">
        <f t="array" ref="K810">_xlfn.XLOOKUP(F810,Customers!A809:$A$1001,Customers!G809:$G$1001,"Not Found",0)</f>
        <v>United States</v>
      </c>
      <c r="L810" t="str">
        <f>INDEX(Products!$A$1:$G$49,MATCH(Orders!$G810,Products!$A$1:$A$49,0),MATCH(Orders!L$1,Products!$A$1:$G$1,0))</f>
        <v>Rob</v>
      </c>
      <c r="M810" t="str">
        <f>INDEX(Products!$A$1:$G$49,MATCH(Orders!$G810,Products!$A$1:$A$49,0),MATCH(Orders!M$1,Products!$A$1:$G$1,0))</f>
        <v>L</v>
      </c>
      <c r="N810" s="4">
        <f>INDEX(Products!$A$1:$G$49,MATCH(Orders!$G810,Products!$A$1:$A$49,0),MATCH(Orders!N$1,Products!$A$1:$G$1,0))</f>
        <v>2.5</v>
      </c>
      <c r="O810" s="7">
        <f>INDEX(Products!$A$1:$G$49,MATCH(Orders!$G810,Products!$A$1:$A$49,0),MATCH(Orders!O$1,Products!$A$1:$G$1,0))</f>
        <v>27.484999999999996</v>
      </c>
      <c r="P810" s="7">
        <f t="shared" si="12"/>
        <v>137.42499999999998</v>
      </c>
      <c r="Q810" t="str" cm="1">
        <f t="array" ref="Q810">_xlfn.IFS(L810="Rob","Robusta",L810="Exc", "Excelsa",L810="Ara", "Arabica",L810="Lib", "Liberica")</f>
        <v>Robusta</v>
      </c>
      <c r="R810" t="str" cm="1">
        <f t="array" ref="R810">_xlfn.IFS(M810="M","Medium",M810="L","Light",M810="D","Dark")</f>
        <v>Light</v>
      </c>
    </row>
    <row r="811" spans="1:18">
      <c r="A811" s="2" t="s">
        <v>1617</v>
      </c>
      <c r="B811" s="3">
        <v>44235</v>
      </c>
      <c r="C811" s="9">
        <f>YEAR(Orders_Table[[#This Row],[Order Date]])</f>
        <v>2021</v>
      </c>
      <c r="D811" s="9">
        <f>MONTH(Orders_Table[[#This Row],[Order Date]])</f>
        <v>2</v>
      </c>
      <c r="E811" s="9" t="str" cm="1">
        <f t="array" ref="E8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11" s="2" t="s">
        <v>1618</v>
      </c>
      <c r="G811" t="s">
        <v>148</v>
      </c>
      <c r="H811" s="2">
        <v>3</v>
      </c>
      <c r="I811" s="2" t="str" cm="1">
        <f t="array" ref="I811">_xlfn.XLOOKUP(F811,Customers!A810:$A$1001,Customers!B810:$B$1001,"Not Found",0)</f>
        <v>Chaddie Bennie</v>
      </c>
      <c r="J811" s="2" t="str" cm="1">
        <f t="array" ref="J811">IF(_xlfn.XLOOKUP(F811,Customers!A810:$A$1001,Customers!C810:$C$1001,"Not Found",0)=0,"",_xlfn.XLOOKUP(F811,Customers!A810:$A$1001,Customers!C810:$C$1001,"Not Found",0))</f>
        <v/>
      </c>
      <c r="K811" s="2" t="str" cm="1">
        <f t="array" ref="K811">_xlfn.XLOOKUP(F811,Customers!A810:$A$1001,Customers!G810:$G$1001,"Not Found",0)</f>
        <v>United States</v>
      </c>
      <c r="L811" t="str">
        <f>INDEX(Products!$A$1:$G$49,MATCH(Orders!$G811,Products!$A$1:$A$49,0),MATCH(Orders!L$1,Products!$A$1:$G$1,0))</f>
        <v>Rob</v>
      </c>
      <c r="M811" t="str">
        <f>INDEX(Products!$A$1:$G$49,MATCH(Orders!$G811,Products!$A$1:$A$49,0),MATCH(Orders!M$1,Products!$A$1:$G$1,0))</f>
        <v>D</v>
      </c>
      <c r="N811" s="4">
        <f>INDEX(Products!$A$1:$G$49,MATCH(Orders!$G811,Products!$A$1:$A$49,0),MATCH(Orders!N$1,Products!$A$1:$G$1,0))</f>
        <v>0.2</v>
      </c>
      <c r="O811" s="7">
        <f>INDEX(Products!$A$1:$G$49,MATCH(Orders!$G811,Products!$A$1:$A$49,0),MATCH(Orders!O$1,Products!$A$1:$G$1,0))</f>
        <v>2.6849999999999996</v>
      </c>
      <c r="P811" s="7">
        <f t="shared" si="12"/>
        <v>8.0549999999999997</v>
      </c>
      <c r="Q811" t="str" cm="1">
        <f t="array" ref="Q811">_xlfn.IFS(L811="Rob","Robusta",L811="Exc", "Excelsa",L811="Ara", "Arabica",L811="Lib", "Liberica")</f>
        <v>Robusta</v>
      </c>
      <c r="R811" t="str" cm="1">
        <f t="array" ref="R811">_xlfn.IFS(M811="M","Medium",M811="L","Light",M811="D","Dark")</f>
        <v>Dark</v>
      </c>
    </row>
    <row r="812" spans="1:18">
      <c r="A812" s="2" t="s">
        <v>1619</v>
      </c>
      <c r="B812" s="3">
        <v>44054</v>
      </c>
      <c r="C812" s="9">
        <f>YEAR(Orders_Table[[#This Row],[Order Date]])</f>
        <v>2020</v>
      </c>
      <c r="D812" s="9">
        <f>MONTH(Orders_Table[[#This Row],[Order Date]])</f>
        <v>8</v>
      </c>
      <c r="E812" s="9" t="str" cm="1">
        <f t="array" ref="E8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12" s="2" t="s">
        <v>1620</v>
      </c>
      <c r="G812" t="s">
        <v>130</v>
      </c>
      <c r="H812" s="2">
        <v>3</v>
      </c>
      <c r="I812" s="2" t="str" cm="1">
        <f t="array" ref="I812">_xlfn.XLOOKUP(F812,Customers!A811:$A$1001,Customers!B811:$B$1001,"Not Found",0)</f>
        <v>Alberta Balsdone</v>
      </c>
      <c r="J812" s="2" t="str" cm="1">
        <f t="array" ref="J812">IF(_xlfn.XLOOKUP(F812,Customers!A811:$A$1001,Customers!C811:$C$1001,"Not Found",0)=0,"",_xlfn.XLOOKUP(F812,Customers!A811:$A$1001,Customers!C811:$C$1001,"Not Found",0))</f>
        <v>abalsdonemi@toplist.cz</v>
      </c>
      <c r="K812" s="2" t="str" cm="1">
        <f t="array" ref="K812">_xlfn.XLOOKUP(F812,Customers!A811:$A$1001,Customers!G811:$G$1001,"Not Found",0)</f>
        <v>United States</v>
      </c>
      <c r="L812" t="str">
        <f>INDEX(Products!$A$1:$G$49,MATCH(Orders!$G812,Products!$A$1:$A$49,0),MATCH(Orders!L$1,Products!$A$1:$G$1,0))</f>
        <v>Lib</v>
      </c>
      <c r="M812" t="str">
        <f>INDEX(Products!$A$1:$G$49,MATCH(Orders!$G812,Products!$A$1:$A$49,0),MATCH(Orders!M$1,Products!$A$1:$G$1,0))</f>
        <v>L</v>
      </c>
      <c r="N812" s="4">
        <f>INDEX(Products!$A$1:$G$49,MATCH(Orders!$G812,Products!$A$1:$A$49,0),MATCH(Orders!N$1,Products!$A$1:$G$1,0))</f>
        <v>0.5</v>
      </c>
      <c r="O812" s="7">
        <f>INDEX(Products!$A$1:$G$49,MATCH(Orders!$G812,Products!$A$1:$A$49,0),MATCH(Orders!O$1,Products!$A$1:$G$1,0))</f>
        <v>9.51</v>
      </c>
      <c r="P812" s="7">
        <f t="shared" si="12"/>
        <v>28.53</v>
      </c>
      <c r="Q812" t="str" cm="1">
        <f t="array" ref="Q812">_xlfn.IFS(L812="Rob","Robusta",L812="Exc", "Excelsa",L812="Ara", "Arabica",L812="Lib", "Liberica")</f>
        <v>Liberica</v>
      </c>
      <c r="R812" t="str" cm="1">
        <f t="array" ref="R812">_xlfn.IFS(M812="M","Medium",M812="L","Light",M812="D","Dark")</f>
        <v>Light</v>
      </c>
    </row>
    <row r="813" spans="1:18">
      <c r="A813" s="2" t="s">
        <v>1621</v>
      </c>
      <c r="B813" s="3">
        <v>44114</v>
      </c>
      <c r="C813" s="9">
        <f>YEAR(Orders_Table[[#This Row],[Order Date]])</f>
        <v>2020</v>
      </c>
      <c r="D813" s="9">
        <f>MONTH(Orders_Table[[#This Row],[Order Date]])</f>
        <v>10</v>
      </c>
      <c r="E813" s="9" t="str" cm="1">
        <f t="array" ref="E8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13" s="2" t="s">
        <v>1622</v>
      </c>
      <c r="G813" t="s">
        <v>108</v>
      </c>
      <c r="H813" s="2">
        <v>6</v>
      </c>
      <c r="I813" s="2" t="str" cm="1">
        <f t="array" ref="I813">_xlfn.XLOOKUP(F813,Customers!A812:$A$1001,Customers!B812:$B$1001,"Not Found",0)</f>
        <v>Brice Romera</v>
      </c>
      <c r="J813" s="2" t="str" cm="1">
        <f t="array" ref="J813">IF(_xlfn.XLOOKUP(F813,Customers!A812:$A$1001,Customers!C812:$C$1001,"Not Found",0)=0,"",_xlfn.XLOOKUP(F813,Customers!A812:$A$1001,Customers!C812:$C$1001,"Not Found",0))</f>
        <v>bromeramj@list-manage.com</v>
      </c>
      <c r="K813" s="2" t="str" cm="1">
        <f t="array" ref="K813">_xlfn.XLOOKUP(F813,Customers!A812:$A$1001,Customers!G812:$G$1001,"Not Found",0)</f>
        <v>Ireland</v>
      </c>
      <c r="L813" t="str">
        <f>INDEX(Products!$A$1:$G$49,MATCH(Orders!$G813,Products!$A$1:$A$49,0),MATCH(Orders!L$1,Products!$A$1:$G$1,0))</f>
        <v>Ara</v>
      </c>
      <c r="M813" t="str">
        <f>INDEX(Products!$A$1:$G$49,MATCH(Orders!$G813,Products!$A$1:$A$49,0),MATCH(Orders!M$1,Products!$A$1:$G$1,0))</f>
        <v>M</v>
      </c>
      <c r="N813" s="4">
        <f>INDEX(Products!$A$1:$G$49,MATCH(Orders!$G813,Products!$A$1:$A$49,0),MATCH(Orders!N$1,Products!$A$1:$G$1,0))</f>
        <v>1</v>
      </c>
      <c r="O813" s="7">
        <f>INDEX(Products!$A$1:$G$49,MATCH(Orders!$G813,Products!$A$1:$A$49,0),MATCH(Orders!O$1,Products!$A$1:$G$1,0))</f>
        <v>11.25</v>
      </c>
      <c r="P813" s="7">
        <f t="shared" si="12"/>
        <v>67.5</v>
      </c>
      <c r="Q813" t="str" cm="1">
        <f t="array" ref="Q813">_xlfn.IFS(L813="Rob","Robusta",L813="Exc", "Excelsa",L813="Ara", "Arabica",L813="Lib", "Liberica")</f>
        <v>Arabica</v>
      </c>
      <c r="R813" t="str" cm="1">
        <f t="array" ref="R813">_xlfn.IFS(M813="M","Medium",M813="L","Light",M813="D","Dark")</f>
        <v>Medium</v>
      </c>
    </row>
    <row r="814" spans="1:18">
      <c r="A814" s="2" t="s">
        <v>1621</v>
      </c>
      <c r="B814" s="3">
        <v>44114</v>
      </c>
      <c r="C814" s="9">
        <f>YEAR(Orders_Table[[#This Row],[Order Date]])</f>
        <v>2020</v>
      </c>
      <c r="D814" s="9">
        <f>MONTH(Orders_Table[[#This Row],[Order Date]])</f>
        <v>10</v>
      </c>
      <c r="E814" s="9" t="str" cm="1">
        <f t="array" ref="E8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14" s="2" t="s">
        <v>1622</v>
      </c>
      <c r="G814" t="s">
        <v>156</v>
      </c>
      <c r="H814" s="2">
        <v>6</v>
      </c>
      <c r="I814" s="2" t="str" cm="1">
        <f t="array" ref="I814">_xlfn.XLOOKUP(F814,Customers!A813:$A$1001,Customers!B813:$B$1001,"Not Found",0)</f>
        <v>Brice Romera</v>
      </c>
      <c r="J814" s="2" t="str" cm="1">
        <f t="array" ref="J814">IF(_xlfn.XLOOKUP(F814,Customers!A813:$A$1001,Customers!C813:$C$1001,"Not Found",0)=0,"",_xlfn.XLOOKUP(F814,Customers!A813:$A$1001,Customers!C813:$C$1001,"Not Found",0))</f>
        <v>bromeramj@list-manage.com</v>
      </c>
      <c r="K814" s="2" t="str" cm="1">
        <f t="array" ref="K814">_xlfn.XLOOKUP(F814,Customers!A813:$A$1001,Customers!G813:$G$1001,"Not Found",0)</f>
        <v>Ireland</v>
      </c>
      <c r="L814" t="str">
        <f>INDEX(Products!$A$1:$G$49,MATCH(Orders!$G814,Products!$A$1:$A$49,0),MATCH(Orders!L$1,Products!$A$1:$G$1,0))</f>
        <v>Lib</v>
      </c>
      <c r="M814" t="str">
        <f>INDEX(Products!$A$1:$G$49,MATCH(Orders!$G814,Products!$A$1:$A$49,0),MATCH(Orders!M$1,Products!$A$1:$G$1,0))</f>
        <v>D</v>
      </c>
      <c r="N814" s="4">
        <f>INDEX(Products!$A$1:$G$49,MATCH(Orders!$G814,Products!$A$1:$A$49,0),MATCH(Orders!N$1,Products!$A$1:$G$1,0))</f>
        <v>2.5</v>
      </c>
      <c r="O814" s="7">
        <f>INDEX(Products!$A$1:$G$49,MATCH(Orders!$G814,Products!$A$1:$A$49,0),MATCH(Orders!O$1,Products!$A$1:$G$1,0))</f>
        <v>29.784999999999997</v>
      </c>
      <c r="P814" s="7">
        <f t="shared" si="12"/>
        <v>178.70999999999998</v>
      </c>
      <c r="Q814" t="str" cm="1">
        <f t="array" ref="Q814">_xlfn.IFS(L814="Rob","Robusta",L814="Exc", "Excelsa",L814="Ara", "Arabica",L814="Lib", "Liberica")</f>
        <v>Liberica</v>
      </c>
      <c r="R814" t="str" cm="1">
        <f t="array" ref="R814">_xlfn.IFS(M814="M","Medium",M814="L","Light",M814="D","Dark")</f>
        <v>Dark</v>
      </c>
    </row>
    <row r="815" spans="1:18">
      <c r="A815" s="2" t="s">
        <v>1623</v>
      </c>
      <c r="B815" s="3">
        <v>44173</v>
      </c>
      <c r="C815" s="9">
        <f>YEAR(Orders_Table[[#This Row],[Order Date]])</f>
        <v>2020</v>
      </c>
      <c r="D815" s="9">
        <f>MONTH(Orders_Table[[#This Row],[Order Date]])</f>
        <v>12</v>
      </c>
      <c r="E815" s="9" t="str" cm="1">
        <f t="array" ref="E8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815" s="2" t="s">
        <v>1624</v>
      </c>
      <c r="G815" t="s">
        <v>159</v>
      </c>
      <c r="H815" s="2">
        <v>1</v>
      </c>
      <c r="I815" s="2" t="str" cm="1">
        <f t="array" ref="I815">_xlfn.XLOOKUP(F815,Customers!A814:$A$1001,Customers!B814:$B$1001,"Not Found",0)</f>
        <v>Conchita Bryde</v>
      </c>
      <c r="J815" s="2" t="str" cm="1">
        <f t="array" ref="J815">IF(_xlfn.XLOOKUP(F815,Customers!A814:$A$1001,Customers!C814:$C$1001,"Not Found",0)=0,"",_xlfn.XLOOKUP(F815,Customers!A814:$A$1001,Customers!C814:$C$1001,"Not Found",0))</f>
        <v>cbrydeml@tuttocitta.it</v>
      </c>
      <c r="K815" s="2" t="str" cm="1">
        <f t="array" ref="K815">_xlfn.XLOOKUP(F815,Customers!A814:$A$1001,Customers!G814:$G$1001,"Not Found",0)</f>
        <v>United States</v>
      </c>
      <c r="L815" t="str">
        <f>INDEX(Products!$A$1:$G$49,MATCH(Orders!$G815,Products!$A$1:$A$49,0),MATCH(Orders!L$1,Products!$A$1:$G$1,0))</f>
        <v>Exc</v>
      </c>
      <c r="M815" t="str">
        <f>INDEX(Products!$A$1:$G$49,MATCH(Orders!$G815,Products!$A$1:$A$49,0),MATCH(Orders!M$1,Products!$A$1:$G$1,0))</f>
        <v>M</v>
      </c>
      <c r="N815" s="4">
        <f>INDEX(Products!$A$1:$G$49,MATCH(Orders!$G815,Products!$A$1:$A$49,0),MATCH(Orders!N$1,Products!$A$1:$G$1,0))</f>
        <v>2.5</v>
      </c>
      <c r="O815" s="7">
        <f>INDEX(Products!$A$1:$G$49,MATCH(Orders!$G815,Products!$A$1:$A$49,0),MATCH(Orders!O$1,Products!$A$1:$G$1,0))</f>
        <v>31.624999999999996</v>
      </c>
      <c r="P815" s="7">
        <f t="shared" si="12"/>
        <v>31.624999999999996</v>
      </c>
      <c r="Q815" t="str" cm="1">
        <f t="array" ref="Q815">_xlfn.IFS(L815="Rob","Robusta",L815="Exc", "Excelsa",L815="Ara", "Arabica",L815="Lib", "Liberica")</f>
        <v>Excelsa</v>
      </c>
      <c r="R815" t="str" cm="1">
        <f t="array" ref="R815">_xlfn.IFS(M815="M","Medium",M815="L","Light",M815="D","Dark")</f>
        <v>Medium</v>
      </c>
    </row>
    <row r="816" spans="1:18">
      <c r="A816" s="2" t="s">
        <v>1625</v>
      </c>
      <c r="B816" s="3">
        <v>43573</v>
      </c>
      <c r="C816" s="9">
        <f>YEAR(Orders_Table[[#This Row],[Order Date]])</f>
        <v>2019</v>
      </c>
      <c r="D816" s="9">
        <f>MONTH(Orders_Table[[#This Row],[Order Date]])</f>
        <v>4</v>
      </c>
      <c r="E816" s="9" t="str" cm="1">
        <f t="array" ref="E8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16" s="2" t="s">
        <v>1626</v>
      </c>
      <c r="G816" t="s">
        <v>301</v>
      </c>
      <c r="H816" s="2">
        <v>2</v>
      </c>
      <c r="I816" s="2" t="str" cm="1">
        <f t="array" ref="I816">_xlfn.XLOOKUP(F816,Customers!A815:$A$1001,Customers!B815:$B$1001,"Not Found",0)</f>
        <v>Silvanus Enefer</v>
      </c>
      <c r="J816" s="2" t="str" cm="1">
        <f t="array" ref="J816">IF(_xlfn.XLOOKUP(F816,Customers!A815:$A$1001,Customers!C815:$C$1001,"Not Found",0)=0,"",_xlfn.XLOOKUP(F816,Customers!A815:$A$1001,Customers!C815:$C$1001,"Not Found",0))</f>
        <v>senefermm@blog.com</v>
      </c>
      <c r="K816" s="2" t="str" cm="1">
        <f t="array" ref="K816">_xlfn.XLOOKUP(F816,Customers!A815:$A$1001,Customers!G815:$G$1001,"Not Found",0)</f>
        <v>United States</v>
      </c>
      <c r="L816" t="str">
        <f>INDEX(Products!$A$1:$G$49,MATCH(Orders!$G816,Products!$A$1:$A$49,0),MATCH(Orders!L$1,Products!$A$1:$G$1,0))</f>
        <v>Exc</v>
      </c>
      <c r="M816" t="str">
        <f>INDEX(Products!$A$1:$G$49,MATCH(Orders!$G816,Products!$A$1:$A$49,0),MATCH(Orders!M$1,Products!$A$1:$G$1,0))</f>
        <v>L</v>
      </c>
      <c r="N816" s="4">
        <f>INDEX(Products!$A$1:$G$49,MATCH(Orders!$G816,Products!$A$1:$A$49,0),MATCH(Orders!N$1,Products!$A$1:$G$1,0))</f>
        <v>0.2</v>
      </c>
      <c r="O816" s="7">
        <f>INDEX(Products!$A$1:$G$49,MATCH(Orders!$G816,Products!$A$1:$A$49,0),MATCH(Orders!O$1,Products!$A$1:$G$1,0))</f>
        <v>4.4550000000000001</v>
      </c>
      <c r="P816" s="7">
        <f t="shared" si="12"/>
        <v>8.91</v>
      </c>
      <c r="Q816" t="str" cm="1">
        <f t="array" ref="Q816">_xlfn.IFS(L816="Rob","Robusta",L816="Exc", "Excelsa",L816="Ara", "Arabica",L816="Lib", "Liberica")</f>
        <v>Excelsa</v>
      </c>
      <c r="R816" t="str" cm="1">
        <f t="array" ref="R816">_xlfn.IFS(M816="M","Medium",M816="L","Light",M816="D","Dark")</f>
        <v>Light</v>
      </c>
    </row>
    <row r="817" spans="1:18">
      <c r="A817" s="2" t="s">
        <v>1627</v>
      </c>
      <c r="B817" s="3">
        <v>44200</v>
      </c>
      <c r="C817" s="9">
        <f>YEAR(Orders_Table[[#This Row],[Order Date]])</f>
        <v>2021</v>
      </c>
      <c r="D817" s="9">
        <f>MONTH(Orders_Table[[#This Row],[Order Date]])</f>
        <v>1</v>
      </c>
      <c r="E817" s="9" t="str" cm="1">
        <f t="array" ref="E8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17" s="2" t="s">
        <v>1628</v>
      </c>
      <c r="G817" t="s">
        <v>69</v>
      </c>
      <c r="H817" s="2">
        <v>6</v>
      </c>
      <c r="I817" s="2" t="str" cm="1">
        <f t="array" ref="I817">_xlfn.XLOOKUP(F817,Customers!A816:$A$1001,Customers!B816:$B$1001,"Not Found",0)</f>
        <v>Lenci Haggerstone</v>
      </c>
      <c r="J817" s="2" t="str" cm="1">
        <f t="array" ref="J817">IF(_xlfn.XLOOKUP(F817,Customers!A816:$A$1001,Customers!C816:$C$1001,"Not Found",0)=0,"",_xlfn.XLOOKUP(F817,Customers!A816:$A$1001,Customers!C816:$C$1001,"Not Found",0))</f>
        <v>lhaggerstonemn@independent.co.uk</v>
      </c>
      <c r="K817" s="2" t="str" cm="1">
        <f t="array" ref="K817">_xlfn.XLOOKUP(F817,Customers!A816:$A$1001,Customers!G816:$G$1001,"Not Found",0)</f>
        <v>United States</v>
      </c>
      <c r="L817" t="str">
        <f>INDEX(Products!$A$1:$G$49,MATCH(Orders!$G817,Products!$A$1:$A$49,0),MATCH(Orders!L$1,Products!$A$1:$G$1,0))</f>
        <v>Rob</v>
      </c>
      <c r="M817" t="str">
        <f>INDEX(Products!$A$1:$G$49,MATCH(Orders!$G817,Products!$A$1:$A$49,0),MATCH(Orders!M$1,Products!$A$1:$G$1,0))</f>
        <v>M</v>
      </c>
      <c r="N817" s="4">
        <f>INDEX(Products!$A$1:$G$49,MATCH(Orders!$G817,Products!$A$1:$A$49,0),MATCH(Orders!N$1,Products!$A$1:$G$1,0))</f>
        <v>0.5</v>
      </c>
      <c r="O817" s="7">
        <f>INDEX(Products!$A$1:$G$49,MATCH(Orders!$G817,Products!$A$1:$A$49,0),MATCH(Orders!O$1,Products!$A$1:$G$1,0))</f>
        <v>5.97</v>
      </c>
      <c r="P817" s="7">
        <f t="shared" si="12"/>
        <v>35.82</v>
      </c>
      <c r="Q817" t="str" cm="1">
        <f t="array" ref="Q817">_xlfn.IFS(L817="Rob","Robusta",L817="Exc", "Excelsa",L817="Ara", "Arabica",L817="Lib", "Liberica")</f>
        <v>Robusta</v>
      </c>
      <c r="R817" t="str" cm="1">
        <f t="array" ref="R817">_xlfn.IFS(M817="M","Medium",M817="L","Light",M817="D","Dark")</f>
        <v>Medium</v>
      </c>
    </row>
    <row r="818" spans="1:18">
      <c r="A818" s="2" t="s">
        <v>1629</v>
      </c>
      <c r="B818" s="3">
        <v>43534</v>
      </c>
      <c r="C818" s="9">
        <f>YEAR(Orders_Table[[#This Row],[Order Date]])</f>
        <v>2019</v>
      </c>
      <c r="D818" s="9">
        <f>MONTH(Orders_Table[[#This Row],[Order Date]])</f>
        <v>3</v>
      </c>
      <c r="E818" s="9" t="str" cm="1">
        <f t="array" ref="E8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18" s="2" t="s">
        <v>1630</v>
      </c>
      <c r="G818" t="s">
        <v>130</v>
      </c>
      <c r="H818" s="2">
        <v>4</v>
      </c>
      <c r="I818" s="2" t="str" cm="1">
        <f t="array" ref="I818">_xlfn.XLOOKUP(F818,Customers!A817:$A$1001,Customers!B817:$B$1001,"Not Found",0)</f>
        <v>Marvin Gundry</v>
      </c>
      <c r="J818" s="2" t="str" cm="1">
        <f t="array" ref="J818">IF(_xlfn.XLOOKUP(F818,Customers!A817:$A$1001,Customers!C817:$C$1001,"Not Found",0)=0,"",_xlfn.XLOOKUP(F818,Customers!A817:$A$1001,Customers!C817:$C$1001,"Not Found",0))</f>
        <v>mgundrymo@omniture.com</v>
      </c>
      <c r="K818" s="2" t="str" cm="1">
        <f t="array" ref="K818">_xlfn.XLOOKUP(F818,Customers!A817:$A$1001,Customers!G817:$G$1001,"Not Found",0)</f>
        <v>Ireland</v>
      </c>
      <c r="L818" t="str">
        <f>INDEX(Products!$A$1:$G$49,MATCH(Orders!$G818,Products!$A$1:$A$49,0),MATCH(Orders!L$1,Products!$A$1:$G$1,0))</f>
        <v>Lib</v>
      </c>
      <c r="M818" t="str">
        <f>INDEX(Products!$A$1:$G$49,MATCH(Orders!$G818,Products!$A$1:$A$49,0),MATCH(Orders!M$1,Products!$A$1:$G$1,0))</f>
        <v>L</v>
      </c>
      <c r="N818" s="4">
        <f>INDEX(Products!$A$1:$G$49,MATCH(Orders!$G818,Products!$A$1:$A$49,0),MATCH(Orders!N$1,Products!$A$1:$G$1,0))</f>
        <v>0.5</v>
      </c>
      <c r="O818" s="7">
        <f>INDEX(Products!$A$1:$G$49,MATCH(Orders!$G818,Products!$A$1:$A$49,0),MATCH(Orders!O$1,Products!$A$1:$G$1,0))</f>
        <v>9.51</v>
      </c>
      <c r="P818" s="7">
        <f t="shared" si="12"/>
        <v>38.04</v>
      </c>
      <c r="Q818" t="str" cm="1">
        <f t="array" ref="Q818">_xlfn.IFS(L818="Rob","Robusta",L818="Exc", "Excelsa",L818="Ara", "Arabica",L818="Lib", "Liberica")</f>
        <v>Liberica</v>
      </c>
      <c r="R818" t="str" cm="1">
        <f t="array" ref="R818">_xlfn.IFS(M818="M","Medium",M818="L","Light",M818="D","Dark")</f>
        <v>Light</v>
      </c>
    </row>
    <row r="819" spans="1:18">
      <c r="A819" s="2" t="s">
        <v>1631</v>
      </c>
      <c r="B819" s="3">
        <v>43798</v>
      </c>
      <c r="C819" s="9">
        <f>YEAR(Orders_Table[[#This Row],[Order Date]])</f>
        <v>2019</v>
      </c>
      <c r="D819" s="9">
        <f>MONTH(Orders_Table[[#This Row],[Order Date]])</f>
        <v>11</v>
      </c>
      <c r="E819" s="9" t="str" cm="1">
        <f t="array" ref="E8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19" s="2" t="s">
        <v>1632</v>
      </c>
      <c r="G819" t="s">
        <v>170</v>
      </c>
      <c r="H819" s="2">
        <v>2</v>
      </c>
      <c r="I819" s="2" t="str" cm="1">
        <f t="array" ref="I819">_xlfn.XLOOKUP(F819,Customers!A818:$A$1001,Customers!B818:$B$1001,"Not Found",0)</f>
        <v>Bayard Wellan</v>
      </c>
      <c r="J819" s="2" t="str" cm="1">
        <f t="array" ref="J819">IF(_xlfn.XLOOKUP(F819,Customers!A818:$A$1001,Customers!C818:$C$1001,"Not Found",0)=0,"",_xlfn.XLOOKUP(F819,Customers!A818:$A$1001,Customers!C818:$C$1001,"Not Found",0))</f>
        <v>bwellanmp@cafepress.com</v>
      </c>
      <c r="K819" s="2" t="str" cm="1">
        <f t="array" ref="K819">_xlfn.XLOOKUP(F819,Customers!A818:$A$1001,Customers!G818:$G$1001,"Not Found",0)</f>
        <v>United States</v>
      </c>
      <c r="L819" t="str">
        <f>INDEX(Products!$A$1:$G$49,MATCH(Orders!$G819,Products!$A$1:$A$49,0),MATCH(Orders!L$1,Products!$A$1:$G$1,0))</f>
        <v>Lib</v>
      </c>
      <c r="M819" t="str">
        <f>INDEX(Products!$A$1:$G$49,MATCH(Orders!$G819,Products!$A$1:$A$49,0),MATCH(Orders!M$1,Products!$A$1:$G$1,0))</f>
        <v>D</v>
      </c>
      <c r="N819" s="4">
        <f>INDEX(Products!$A$1:$G$49,MATCH(Orders!$G819,Products!$A$1:$A$49,0),MATCH(Orders!N$1,Products!$A$1:$G$1,0))</f>
        <v>0.5</v>
      </c>
      <c r="O819" s="7">
        <f>INDEX(Products!$A$1:$G$49,MATCH(Orders!$G819,Products!$A$1:$A$49,0),MATCH(Orders!O$1,Products!$A$1:$G$1,0))</f>
        <v>7.77</v>
      </c>
      <c r="P819" s="7">
        <f t="shared" si="12"/>
        <v>15.54</v>
      </c>
      <c r="Q819" t="str" cm="1">
        <f t="array" ref="Q819">_xlfn.IFS(L819="Rob","Robusta",L819="Exc", "Excelsa",L819="Ara", "Arabica",L819="Lib", "Liberica")</f>
        <v>Liberica</v>
      </c>
      <c r="R819" t="str" cm="1">
        <f t="array" ref="R819">_xlfn.IFS(M819="M","Medium",M819="L","Light",M819="D","Dark")</f>
        <v>Dark</v>
      </c>
    </row>
    <row r="820" spans="1:18">
      <c r="A820" s="2" t="s">
        <v>1633</v>
      </c>
      <c r="B820" s="3">
        <v>44761</v>
      </c>
      <c r="C820" s="9">
        <f>YEAR(Orders_Table[[#This Row],[Order Date]])</f>
        <v>2022</v>
      </c>
      <c r="D820" s="9">
        <f>MONTH(Orders_Table[[#This Row],[Order Date]])</f>
        <v>7</v>
      </c>
      <c r="E820" s="9" t="str" cm="1">
        <f t="array" ref="E8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20" s="2" t="s">
        <v>1616</v>
      </c>
      <c r="G820" t="s">
        <v>179</v>
      </c>
      <c r="H820" s="2">
        <v>5</v>
      </c>
      <c r="I820" s="2" t="str" cm="1">
        <f t="array" ref="I820">_xlfn.XLOOKUP(F820,Customers!A819:$A$1001,Customers!B819:$B$1001,"Not Found",0)</f>
        <v>Allis Wilmore</v>
      </c>
      <c r="J820" s="2" t="str" cm="1">
        <f t="array" ref="J820">IF(_xlfn.XLOOKUP(F820,Customers!A819:$A$1001,Customers!C819:$C$1001,"Not Found",0)=0,"",_xlfn.XLOOKUP(F820,Customers!A819:$A$1001,Customers!C819:$C$1001,"Not Found",0))</f>
        <v/>
      </c>
      <c r="K820" s="2" t="str" cm="1">
        <f t="array" ref="K820">_xlfn.XLOOKUP(F820,Customers!A819:$A$1001,Customers!G819:$G$1001,"Not Found",0)</f>
        <v>United States</v>
      </c>
      <c r="L820" t="str">
        <f>INDEX(Products!$A$1:$G$49,MATCH(Orders!$G820,Products!$A$1:$A$49,0),MATCH(Orders!L$1,Products!$A$1:$G$1,0))</f>
        <v>Lib</v>
      </c>
      <c r="M820" t="str">
        <f>INDEX(Products!$A$1:$G$49,MATCH(Orders!$G820,Products!$A$1:$A$49,0),MATCH(Orders!M$1,Products!$A$1:$G$1,0))</f>
        <v>L</v>
      </c>
      <c r="N820" s="4">
        <f>INDEX(Products!$A$1:$G$49,MATCH(Orders!$G820,Products!$A$1:$A$49,0),MATCH(Orders!N$1,Products!$A$1:$G$1,0))</f>
        <v>1</v>
      </c>
      <c r="O820" s="7">
        <f>INDEX(Products!$A$1:$G$49,MATCH(Orders!$G820,Products!$A$1:$A$49,0),MATCH(Orders!O$1,Products!$A$1:$G$1,0))</f>
        <v>15.85</v>
      </c>
      <c r="P820" s="7">
        <f t="shared" si="12"/>
        <v>79.25</v>
      </c>
      <c r="Q820" t="str" cm="1">
        <f t="array" ref="Q820">_xlfn.IFS(L820="Rob","Robusta",L820="Exc", "Excelsa",L820="Ara", "Arabica",L820="Lib", "Liberica")</f>
        <v>Liberica</v>
      </c>
      <c r="R820" t="str" cm="1">
        <f t="array" ref="R820">_xlfn.IFS(M820="M","Medium",M820="L","Light",M820="D","Dark")</f>
        <v>Light</v>
      </c>
    </row>
    <row r="821" spans="1:18">
      <c r="A821" s="2" t="s">
        <v>1634</v>
      </c>
      <c r="B821" s="3">
        <v>44008</v>
      </c>
      <c r="C821" s="9">
        <f>YEAR(Orders_Table[[#This Row],[Order Date]])</f>
        <v>2020</v>
      </c>
      <c r="D821" s="9">
        <f>MONTH(Orders_Table[[#This Row],[Order Date]])</f>
        <v>6</v>
      </c>
      <c r="E821" s="9" t="str" cm="1">
        <f t="array" ref="E8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21" s="2" t="s">
        <v>1635</v>
      </c>
      <c r="G821" t="s">
        <v>66</v>
      </c>
      <c r="H821" s="2">
        <v>1</v>
      </c>
      <c r="I821" s="2" t="str" cm="1">
        <f t="array" ref="I821">_xlfn.XLOOKUP(F821,Customers!A820:$A$1001,Customers!B820:$B$1001,"Not Found",0)</f>
        <v>Caddric Atcheson</v>
      </c>
      <c r="J821" s="2" t="str" cm="1">
        <f t="array" ref="J821">IF(_xlfn.XLOOKUP(F821,Customers!A820:$A$1001,Customers!C820:$C$1001,"Not Found",0)=0,"",_xlfn.XLOOKUP(F821,Customers!A820:$A$1001,Customers!C820:$C$1001,"Not Found",0))</f>
        <v>catchesonmr@xinhuanet.com</v>
      </c>
      <c r="K821" s="2" t="str" cm="1">
        <f t="array" ref="K821">_xlfn.XLOOKUP(F821,Customers!A820:$A$1001,Customers!G820:$G$1001,"Not Found",0)</f>
        <v>United States</v>
      </c>
      <c r="L821" t="str">
        <f>INDEX(Products!$A$1:$G$49,MATCH(Orders!$G821,Products!$A$1:$A$49,0),MATCH(Orders!L$1,Products!$A$1:$G$1,0))</f>
        <v>Lib</v>
      </c>
      <c r="M821" t="str">
        <f>INDEX(Products!$A$1:$G$49,MATCH(Orders!$G821,Products!$A$1:$A$49,0),MATCH(Orders!M$1,Products!$A$1:$G$1,0))</f>
        <v>L</v>
      </c>
      <c r="N821" s="4">
        <f>INDEX(Products!$A$1:$G$49,MATCH(Orders!$G821,Products!$A$1:$A$49,0),MATCH(Orders!N$1,Products!$A$1:$G$1,0))</f>
        <v>0.2</v>
      </c>
      <c r="O821" s="7">
        <f>INDEX(Products!$A$1:$G$49,MATCH(Orders!$G821,Products!$A$1:$A$49,0),MATCH(Orders!O$1,Products!$A$1:$G$1,0))</f>
        <v>4.7549999999999999</v>
      </c>
      <c r="P821" s="7">
        <f t="shared" si="12"/>
        <v>4.7549999999999999</v>
      </c>
      <c r="Q821" t="str" cm="1">
        <f t="array" ref="Q821">_xlfn.IFS(L821="Rob","Robusta",L821="Exc", "Excelsa",L821="Ara", "Arabica",L821="Lib", "Liberica")</f>
        <v>Liberica</v>
      </c>
      <c r="R821" t="str" cm="1">
        <f t="array" ref="R821">_xlfn.IFS(M821="M","Medium",M821="L","Light",M821="D","Dark")</f>
        <v>Light</v>
      </c>
    </row>
    <row r="822" spans="1:18">
      <c r="A822" s="2" t="s">
        <v>1636</v>
      </c>
      <c r="B822" s="3">
        <v>43510</v>
      </c>
      <c r="C822" s="9">
        <f>YEAR(Orders_Table[[#This Row],[Order Date]])</f>
        <v>2019</v>
      </c>
      <c r="D822" s="9">
        <f>MONTH(Orders_Table[[#This Row],[Order Date]])</f>
        <v>2</v>
      </c>
      <c r="E822" s="9" t="str" cm="1">
        <f t="array" ref="E8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22" s="2" t="s">
        <v>1637</v>
      </c>
      <c r="G822" t="s">
        <v>56</v>
      </c>
      <c r="H822" s="2">
        <v>4</v>
      </c>
      <c r="I822" s="2" t="str" cm="1">
        <f t="array" ref="I822">_xlfn.XLOOKUP(F822,Customers!A821:$A$1001,Customers!B821:$B$1001,"Not Found",0)</f>
        <v>Eustace Stenton</v>
      </c>
      <c r="J822" s="2" t="str" cm="1">
        <f t="array" ref="J822">IF(_xlfn.XLOOKUP(F822,Customers!A821:$A$1001,Customers!C821:$C$1001,"Not Found",0)=0,"",_xlfn.XLOOKUP(F822,Customers!A821:$A$1001,Customers!C821:$C$1001,"Not Found",0))</f>
        <v>estentonms@google.it</v>
      </c>
      <c r="K822" s="2" t="str" cm="1">
        <f t="array" ref="K822">_xlfn.XLOOKUP(F822,Customers!A821:$A$1001,Customers!G821:$G$1001,"Not Found",0)</f>
        <v>United States</v>
      </c>
      <c r="L822" t="str">
        <f>INDEX(Products!$A$1:$G$49,MATCH(Orders!$G822,Products!$A$1:$A$49,0),MATCH(Orders!L$1,Products!$A$1:$G$1,0))</f>
        <v>Exc</v>
      </c>
      <c r="M822" t="str">
        <f>INDEX(Products!$A$1:$G$49,MATCH(Orders!$G822,Products!$A$1:$A$49,0),MATCH(Orders!M$1,Products!$A$1:$G$1,0))</f>
        <v>M</v>
      </c>
      <c r="N822" s="4">
        <f>INDEX(Products!$A$1:$G$49,MATCH(Orders!$G822,Products!$A$1:$A$49,0),MATCH(Orders!N$1,Products!$A$1:$G$1,0))</f>
        <v>1</v>
      </c>
      <c r="O822" s="7">
        <f>INDEX(Products!$A$1:$G$49,MATCH(Orders!$G822,Products!$A$1:$A$49,0),MATCH(Orders!O$1,Products!$A$1:$G$1,0))</f>
        <v>13.75</v>
      </c>
      <c r="P822" s="7">
        <f t="shared" si="12"/>
        <v>55</v>
      </c>
      <c r="Q822" t="str" cm="1">
        <f t="array" ref="Q822">_xlfn.IFS(L822="Rob","Robusta",L822="Exc", "Excelsa",L822="Ara", "Arabica",L822="Lib", "Liberica")</f>
        <v>Excelsa</v>
      </c>
      <c r="R822" t="str" cm="1">
        <f t="array" ref="R822">_xlfn.IFS(M822="M","Medium",M822="L","Light",M822="D","Dark")</f>
        <v>Medium</v>
      </c>
    </row>
    <row r="823" spans="1:18">
      <c r="A823" s="2" t="s">
        <v>1638</v>
      </c>
      <c r="B823" s="3">
        <v>44144</v>
      </c>
      <c r="C823" s="9">
        <f>YEAR(Orders_Table[[#This Row],[Order Date]])</f>
        <v>2020</v>
      </c>
      <c r="D823" s="9">
        <f>MONTH(Orders_Table[[#This Row],[Order Date]])</f>
        <v>11</v>
      </c>
      <c r="E823" s="9" t="str" cm="1">
        <f t="array" ref="E8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23" s="2" t="s">
        <v>1639</v>
      </c>
      <c r="G823" t="s">
        <v>193</v>
      </c>
      <c r="H823" s="2">
        <v>5</v>
      </c>
      <c r="I823" s="2" t="str" cm="1">
        <f t="array" ref="I823">_xlfn.XLOOKUP(F823,Customers!A822:$A$1001,Customers!B822:$B$1001,"Not Found",0)</f>
        <v>Ericka Tripp</v>
      </c>
      <c r="J823" s="2" t="str" cm="1">
        <f t="array" ref="J823">IF(_xlfn.XLOOKUP(F823,Customers!A822:$A$1001,Customers!C822:$C$1001,"Not Found",0)=0,"",_xlfn.XLOOKUP(F823,Customers!A822:$A$1001,Customers!C822:$C$1001,"Not Found",0))</f>
        <v>etrippmt@wp.com</v>
      </c>
      <c r="K823" s="2" t="str" cm="1">
        <f t="array" ref="K823">_xlfn.XLOOKUP(F823,Customers!A822:$A$1001,Customers!G822:$G$1001,"Not Found",0)</f>
        <v>United States</v>
      </c>
      <c r="L823" t="str">
        <f>INDEX(Products!$A$1:$G$49,MATCH(Orders!$G823,Products!$A$1:$A$49,0),MATCH(Orders!L$1,Products!$A$1:$G$1,0))</f>
        <v>Rob</v>
      </c>
      <c r="M823" t="str">
        <f>INDEX(Products!$A$1:$G$49,MATCH(Orders!$G823,Products!$A$1:$A$49,0),MATCH(Orders!M$1,Products!$A$1:$G$1,0))</f>
        <v>D</v>
      </c>
      <c r="N823" s="4">
        <f>INDEX(Products!$A$1:$G$49,MATCH(Orders!$G823,Products!$A$1:$A$49,0),MATCH(Orders!N$1,Products!$A$1:$G$1,0))</f>
        <v>0.5</v>
      </c>
      <c r="O823" s="7">
        <f>INDEX(Products!$A$1:$G$49,MATCH(Orders!$G823,Products!$A$1:$A$49,0),MATCH(Orders!O$1,Products!$A$1:$G$1,0))</f>
        <v>5.3699999999999992</v>
      </c>
      <c r="P823" s="7">
        <f t="shared" si="12"/>
        <v>26.849999999999994</v>
      </c>
      <c r="Q823" t="str" cm="1">
        <f t="array" ref="Q823">_xlfn.IFS(L823="Rob","Robusta",L823="Exc", "Excelsa",L823="Ara", "Arabica",L823="Lib", "Liberica")</f>
        <v>Robusta</v>
      </c>
      <c r="R823" t="str" cm="1">
        <f t="array" ref="R823">_xlfn.IFS(M823="M","Medium",M823="L","Light",M823="D","Dark")</f>
        <v>Dark</v>
      </c>
    </row>
    <row r="824" spans="1:18">
      <c r="A824" s="2" t="s">
        <v>1640</v>
      </c>
      <c r="B824" s="3">
        <v>43585</v>
      </c>
      <c r="C824" s="9">
        <f>YEAR(Orders_Table[[#This Row],[Order Date]])</f>
        <v>2019</v>
      </c>
      <c r="D824" s="9">
        <f>MONTH(Orders_Table[[#This Row],[Order Date]])</f>
        <v>4</v>
      </c>
      <c r="E824" s="9" t="str" cm="1">
        <f t="array" ref="E8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24" s="2" t="s">
        <v>1641</v>
      </c>
      <c r="G824" t="s">
        <v>77</v>
      </c>
      <c r="H824" s="2">
        <v>4</v>
      </c>
      <c r="I824" s="2" t="str" cm="1">
        <f t="array" ref="I824">_xlfn.XLOOKUP(F824,Customers!A823:$A$1001,Customers!B823:$B$1001,"Not Found",0)</f>
        <v>Lyndsey MacManus</v>
      </c>
      <c r="J824" s="2" t="str" cm="1">
        <f t="array" ref="J824">IF(_xlfn.XLOOKUP(F824,Customers!A823:$A$1001,Customers!C823:$C$1001,"Not Found",0)=0,"",_xlfn.XLOOKUP(F824,Customers!A823:$A$1001,Customers!C823:$C$1001,"Not Found",0))</f>
        <v>lmacmanusmu@imdb.com</v>
      </c>
      <c r="K824" s="2" t="str" cm="1">
        <f t="array" ref="K824">_xlfn.XLOOKUP(F824,Customers!A823:$A$1001,Customers!G823:$G$1001,"Not Found",0)</f>
        <v>United States</v>
      </c>
      <c r="L824" t="str">
        <f>INDEX(Products!$A$1:$G$49,MATCH(Orders!$G824,Products!$A$1:$A$49,0),MATCH(Orders!L$1,Products!$A$1:$G$1,0))</f>
        <v>Exc</v>
      </c>
      <c r="M824" t="str">
        <f>INDEX(Products!$A$1:$G$49,MATCH(Orders!$G824,Products!$A$1:$A$49,0),MATCH(Orders!M$1,Products!$A$1:$G$1,0))</f>
        <v>L</v>
      </c>
      <c r="N824" s="4">
        <f>INDEX(Products!$A$1:$G$49,MATCH(Orders!$G824,Products!$A$1:$A$49,0),MATCH(Orders!N$1,Products!$A$1:$G$1,0))</f>
        <v>2.5</v>
      </c>
      <c r="O824" s="7">
        <f>INDEX(Products!$A$1:$G$49,MATCH(Orders!$G824,Products!$A$1:$A$49,0),MATCH(Orders!O$1,Products!$A$1:$G$1,0))</f>
        <v>34.154999999999994</v>
      </c>
      <c r="P824" s="7">
        <f t="shared" si="12"/>
        <v>136.61999999999998</v>
      </c>
      <c r="Q824" t="str" cm="1">
        <f t="array" ref="Q824">_xlfn.IFS(L824="Rob","Robusta",L824="Exc", "Excelsa",L824="Ara", "Arabica",L824="Lib", "Liberica")</f>
        <v>Excelsa</v>
      </c>
      <c r="R824" t="str" cm="1">
        <f t="array" ref="R824">_xlfn.IFS(M824="M","Medium",M824="L","Light",M824="D","Dark")</f>
        <v>Light</v>
      </c>
    </row>
    <row r="825" spans="1:18">
      <c r="A825" s="2" t="s">
        <v>1642</v>
      </c>
      <c r="B825" s="3">
        <v>44134</v>
      </c>
      <c r="C825" s="9">
        <f>YEAR(Orders_Table[[#This Row],[Order Date]])</f>
        <v>2020</v>
      </c>
      <c r="D825" s="9">
        <f>MONTH(Orders_Table[[#This Row],[Order Date]])</f>
        <v>10</v>
      </c>
      <c r="E825" s="9" t="str" cm="1">
        <f t="array" ref="E8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25" s="2" t="s">
        <v>1643</v>
      </c>
      <c r="G825" t="s">
        <v>179</v>
      </c>
      <c r="H825" s="2">
        <v>3</v>
      </c>
      <c r="I825" s="2" t="str" cm="1">
        <f t="array" ref="I825">_xlfn.XLOOKUP(F825,Customers!A824:$A$1001,Customers!B824:$B$1001,"Not Found",0)</f>
        <v>Tess Benediktovich</v>
      </c>
      <c r="J825" s="2" t="str" cm="1">
        <f t="array" ref="J825">IF(_xlfn.XLOOKUP(F825,Customers!A824:$A$1001,Customers!C824:$C$1001,"Not Found",0)=0,"",_xlfn.XLOOKUP(F825,Customers!A824:$A$1001,Customers!C824:$C$1001,"Not Found",0))</f>
        <v>tbenediktovichmv@ebay.com</v>
      </c>
      <c r="K825" s="2" t="str" cm="1">
        <f t="array" ref="K825">_xlfn.XLOOKUP(F825,Customers!A824:$A$1001,Customers!G824:$G$1001,"Not Found",0)</f>
        <v>United States</v>
      </c>
      <c r="L825" t="str">
        <f>INDEX(Products!$A$1:$G$49,MATCH(Orders!$G825,Products!$A$1:$A$49,0),MATCH(Orders!L$1,Products!$A$1:$G$1,0))</f>
        <v>Lib</v>
      </c>
      <c r="M825" t="str">
        <f>INDEX(Products!$A$1:$G$49,MATCH(Orders!$G825,Products!$A$1:$A$49,0),MATCH(Orders!M$1,Products!$A$1:$G$1,0))</f>
        <v>L</v>
      </c>
      <c r="N825" s="4">
        <f>INDEX(Products!$A$1:$G$49,MATCH(Orders!$G825,Products!$A$1:$A$49,0),MATCH(Orders!N$1,Products!$A$1:$G$1,0))</f>
        <v>1</v>
      </c>
      <c r="O825" s="7">
        <f>INDEX(Products!$A$1:$G$49,MATCH(Orders!$G825,Products!$A$1:$A$49,0),MATCH(Orders!O$1,Products!$A$1:$G$1,0))</f>
        <v>15.85</v>
      </c>
      <c r="P825" s="7">
        <f t="shared" si="12"/>
        <v>47.55</v>
      </c>
      <c r="Q825" t="str" cm="1">
        <f t="array" ref="Q825">_xlfn.IFS(L825="Rob","Robusta",L825="Exc", "Excelsa",L825="Ara", "Arabica",L825="Lib", "Liberica")</f>
        <v>Liberica</v>
      </c>
      <c r="R825" t="str" cm="1">
        <f t="array" ref="R825">_xlfn.IFS(M825="M","Medium",M825="L","Light",M825="D","Dark")</f>
        <v>Light</v>
      </c>
    </row>
    <row r="826" spans="1:18">
      <c r="A826" s="2" t="s">
        <v>1644</v>
      </c>
      <c r="B826" s="3">
        <v>43781</v>
      </c>
      <c r="C826" s="9">
        <f>YEAR(Orders_Table[[#This Row],[Order Date]])</f>
        <v>2019</v>
      </c>
      <c r="D826" s="9">
        <f>MONTH(Orders_Table[[#This Row],[Order Date]])</f>
        <v>11</v>
      </c>
      <c r="E826" s="9" t="str" cm="1">
        <f t="array" ref="E8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26" s="2" t="s">
        <v>1645</v>
      </c>
      <c r="G826" t="s">
        <v>91</v>
      </c>
      <c r="H826" s="2">
        <v>5</v>
      </c>
      <c r="I826" s="2" t="str" cm="1">
        <f t="array" ref="I826">_xlfn.XLOOKUP(F826,Customers!A825:$A$1001,Customers!B825:$B$1001,"Not Found",0)</f>
        <v>Correy Bourner</v>
      </c>
      <c r="J826" s="2" t="str" cm="1">
        <f t="array" ref="J826">IF(_xlfn.XLOOKUP(F826,Customers!A825:$A$1001,Customers!C825:$C$1001,"Not Found",0)=0,"",_xlfn.XLOOKUP(F826,Customers!A825:$A$1001,Customers!C825:$C$1001,"Not Found",0))</f>
        <v>cbournermw@chronoengine.com</v>
      </c>
      <c r="K826" s="2" t="str" cm="1">
        <f t="array" ref="K826">_xlfn.XLOOKUP(F826,Customers!A825:$A$1001,Customers!G825:$G$1001,"Not Found",0)</f>
        <v>United States</v>
      </c>
      <c r="L826" t="str">
        <f>INDEX(Products!$A$1:$G$49,MATCH(Orders!$G826,Products!$A$1:$A$49,0),MATCH(Orders!L$1,Products!$A$1:$G$1,0))</f>
        <v>Ara</v>
      </c>
      <c r="M826" t="str">
        <f>INDEX(Products!$A$1:$G$49,MATCH(Orders!$G826,Products!$A$1:$A$49,0),MATCH(Orders!M$1,Products!$A$1:$G$1,0))</f>
        <v>M</v>
      </c>
      <c r="N826" s="4">
        <f>INDEX(Products!$A$1:$G$49,MATCH(Orders!$G826,Products!$A$1:$A$49,0),MATCH(Orders!N$1,Products!$A$1:$G$1,0))</f>
        <v>0.2</v>
      </c>
      <c r="O826" s="7">
        <f>INDEX(Products!$A$1:$G$49,MATCH(Orders!$G826,Products!$A$1:$A$49,0),MATCH(Orders!O$1,Products!$A$1:$G$1,0))</f>
        <v>3.375</v>
      </c>
      <c r="P826" s="7">
        <f t="shared" si="12"/>
        <v>16.875</v>
      </c>
      <c r="Q826" t="str" cm="1">
        <f t="array" ref="Q826">_xlfn.IFS(L826="Rob","Robusta",L826="Exc", "Excelsa",L826="Ara", "Arabica",L826="Lib", "Liberica")</f>
        <v>Arabica</v>
      </c>
      <c r="R826" t="str" cm="1">
        <f t="array" ref="R826">_xlfn.IFS(M826="M","Medium",M826="L","Light",M826="D","Dark")</f>
        <v>Medium</v>
      </c>
    </row>
    <row r="827" spans="1:18">
      <c r="A827" s="2" t="s">
        <v>1646</v>
      </c>
      <c r="B827" s="3">
        <v>44603</v>
      </c>
      <c r="C827" s="9">
        <f>YEAR(Orders_Table[[#This Row],[Order Date]])</f>
        <v>2022</v>
      </c>
      <c r="D827" s="9">
        <f>MONTH(Orders_Table[[#This Row],[Order Date]])</f>
        <v>2</v>
      </c>
      <c r="E827" s="9" t="str" cm="1">
        <f t="array" ref="E8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27" s="2" t="s">
        <v>1647</v>
      </c>
      <c r="G827" t="s">
        <v>74</v>
      </c>
      <c r="H827" s="2">
        <v>3</v>
      </c>
      <c r="I827" s="2" t="str" cm="1">
        <f t="array" ref="I827">_xlfn.XLOOKUP(F827,Customers!A826:$A$1001,Customers!B826:$B$1001,"Not Found",0)</f>
        <v>Odelia Skerme</v>
      </c>
      <c r="J827" s="2" t="str" cm="1">
        <f t="array" ref="J827">IF(_xlfn.XLOOKUP(F827,Customers!A826:$A$1001,Customers!C826:$C$1001,"Not Found",0)=0,"",_xlfn.XLOOKUP(F827,Customers!A826:$A$1001,Customers!C826:$C$1001,"Not Found",0))</f>
        <v>oskermen3@hatena.ne.jp</v>
      </c>
      <c r="K827" s="2" t="str" cm="1">
        <f t="array" ref="K827">_xlfn.XLOOKUP(F827,Customers!A826:$A$1001,Customers!G826:$G$1001,"Not Found",0)</f>
        <v>United States</v>
      </c>
      <c r="L827" t="str">
        <f>INDEX(Products!$A$1:$G$49,MATCH(Orders!$G827,Products!$A$1:$A$49,0),MATCH(Orders!L$1,Products!$A$1:$G$1,0))</f>
        <v>Ara</v>
      </c>
      <c r="M827" t="str">
        <f>INDEX(Products!$A$1:$G$49,MATCH(Orders!$G827,Products!$A$1:$A$49,0),MATCH(Orders!M$1,Products!$A$1:$G$1,0))</f>
        <v>D</v>
      </c>
      <c r="N827" s="4">
        <f>INDEX(Products!$A$1:$G$49,MATCH(Orders!$G827,Products!$A$1:$A$49,0),MATCH(Orders!N$1,Products!$A$1:$G$1,0))</f>
        <v>1</v>
      </c>
      <c r="O827" s="7">
        <f>INDEX(Products!$A$1:$G$49,MATCH(Orders!$G827,Products!$A$1:$A$49,0),MATCH(Orders!O$1,Products!$A$1:$G$1,0))</f>
        <v>9.9499999999999993</v>
      </c>
      <c r="P827" s="7">
        <f t="shared" si="12"/>
        <v>29.849999999999998</v>
      </c>
      <c r="Q827" t="str" cm="1">
        <f t="array" ref="Q827">_xlfn.IFS(L827="Rob","Robusta",L827="Exc", "Excelsa",L827="Ara", "Arabica",L827="Lib", "Liberica")</f>
        <v>Arabica</v>
      </c>
      <c r="R827" t="str" cm="1">
        <f t="array" ref="R827">_xlfn.IFS(M827="M","Medium",M827="L","Light",M827="D","Dark")</f>
        <v>Dark</v>
      </c>
    </row>
    <row r="828" spans="1:18">
      <c r="A828" s="2" t="s">
        <v>1648</v>
      </c>
      <c r="B828" s="3">
        <v>44283</v>
      </c>
      <c r="C828" s="9">
        <f>YEAR(Orders_Table[[#This Row],[Order Date]])</f>
        <v>2021</v>
      </c>
      <c r="D828" s="9">
        <f>MONTH(Orders_Table[[#This Row],[Order Date]])</f>
        <v>3</v>
      </c>
      <c r="E828" s="9" t="str" cm="1">
        <f t="array" ref="E8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28" s="2" t="s">
        <v>1649</v>
      </c>
      <c r="G828" t="s">
        <v>50</v>
      </c>
      <c r="H828" s="2">
        <v>5</v>
      </c>
      <c r="I828" s="2" t="str" cm="1">
        <f t="array" ref="I828">_xlfn.XLOOKUP(F828,Customers!A827:$A$1001,Customers!B827:$B$1001,"Not Found",0)</f>
        <v>Kandy Heddan</v>
      </c>
      <c r="J828" s="2" t="str" cm="1">
        <f t="array" ref="J828">IF(_xlfn.XLOOKUP(F828,Customers!A827:$A$1001,Customers!C827:$C$1001,"Not Found",0)=0,"",_xlfn.XLOOKUP(F828,Customers!A827:$A$1001,Customers!C827:$C$1001,"Not Found",0))</f>
        <v>kheddanmy@icq.com</v>
      </c>
      <c r="K828" s="2" t="str" cm="1">
        <f t="array" ref="K828">_xlfn.XLOOKUP(F828,Customers!A827:$A$1001,Customers!G827:$G$1001,"Not Found",0)</f>
        <v>United States</v>
      </c>
      <c r="L828" t="str">
        <f>INDEX(Products!$A$1:$G$49,MATCH(Orders!$G828,Products!$A$1:$A$49,0),MATCH(Orders!L$1,Products!$A$1:$G$1,0))</f>
        <v>Exc</v>
      </c>
      <c r="M828" t="str">
        <f>INDEX(Products!$A$1:$G$49,MATCH(Orders!$G828,Products!$A$1:$A$49,0),MATCH(Orders!M$1,Products!$A$1:$G$1,0))</f>
        <v>M</v>
      </c>
      <c r="N828" s="4">
        <f>INDEX(Products!$A$1:$G$49,MATCH(Orders!$G828,Products!$A$1:$A$49,0),MATCH(Orders!N$1,Products!$A$1:$G$1,0))</f>
        <v>0.5</v>
      </c>
      <c r="O828" s="7">
        <f>INDEX(Products!$A$1:$G$49,MATCH(Orders!$G828,Products!$A$1:$A$49,0),MATCH(Orders!O$1,Products!$A$1:$G$1,0))</f>
        <v>8.25</v>
      </c>
      <c r="P828" s="7">
        <f t="shared" si="12"/>
        <v>41.25</v>
      </c>
      <c r="Q828" t="str" cm="1">
        <f t="array" ref="Q828">_xlfn.IFS(L828="Rob","Robusta",L828="Exc", "Excelsa",L828="Ara", "Arabica",L828="Lib", "Liberica")</f>
        <v>Excelsa</v>
      </c>
      <c r="R828" t="str" cm="1">
        <f t="array" ref="R828">_xlfn.IFS(M828="M","Medium",M828="L","Light",M828="D","Dark")</f>
        <v>Medium</v>
      </c>
    </row>
    <row r="829" spans="1:18">
      <c r="A829" s="2" t="s">
        <v>1650</v>
      </c>
      <c r="B829" s="3">
        <v>44540</v>
      </c>
      <c r="C829" s="9">
        <f>YEAR(Orders_Table[[#This Row],[Order Date]])</f>
        <v>2021</v>
      </c>
      <c r="D829" s="9">
        <f>MONTH(Orders_Table[[#This Row],[Order Date]])</f>
        <v>12</v>
      </c>
      <c r="E829" s="9" t="str" cm="1">
        <f t="array" ref="E8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829" s="2" t="s">
        <v>1651</v>
      </c>
      <c r="G829" t="s">
        <v>111</v>
      </c>
      <c r="H829" s="2">
        <v>5</v>
      </c>
      <c r="I829" s="2" t="str" cm="1">
        <f t="array" ref="I829">_xlfn.XLOOKUP(F829,Customers!A828:$A$1001,Customers!B828:$B$1001,"Not Found",0)</f>
        <v>Ibby Charters</v>
      </c>
      <c r="J829" s="2" t="str" cm="1">
        <f t="array" ref="J829">IF(_xlfn.XLOOKUP(F829,Customers!A828:$A$1001,Customers!C828:$C$1001,"Not Found",0)=0,"",_xlfn.XLOOKUP(F829,Customers!A828:$A$1001,Customers!C828:$C$1001,"Not Found",0))</f>
        <v>ichartersmz@abc.net.au</v>
      </c>
      <c r="K829" s="2" t="str" cm="1">
        <f t="array" ref="K829">_xlfn.XLOOKUP(F829,Customers!A828:$A$1001,Customers!G828:$G$1001,"Not Found",0)</f>
        <v>United States</v>
      </c>
      <c r="L829" t="str">
        <f>INDEX(Products!$A$1:$G$49,MATCH(Orders!$G829,Products!$A$1:$A$49,0),MATCH(Orders!L$1,Products!$A$1:$G$1,0))</f>
        <v>Exc</v>
      </c>
      <c r="M829" t="str">
        <f>INDEX(Products!$A$1:$G$49,MATCH(Orders!$G829,Products!$A$1:$A$49,0),MATCH(Orders!M$1,Products!$A$1:$G$1,0))</f>
        <v>M</v>
      </c>
      <c r="N829" s="4">
        <f>INDEX(Products!$A$1:$G$49,MATCH(Orders!$G829,Products!$A$1:$A$49,0),MATCH(Orders!N$1,Products!$A$1:$G$1,0))</f>
        <v>0.2</v>
      </c>
      <c r="O829" s="7">
        <f>INDEX(Products!$A$1:$G$49,MATCH(Orders!$G829,Products!$A$1:$A$49,0),MATCH(Orders!O$1,Products!$A$1:$G$1,0))</f>
        <v>4.125</v>
      </c>
      <c r="P829" s="7">
        <f t="shared" si="12"/>
        <v>20.625</v>
      </c>
      <c r="Q829" t="str" cm="1">
        <f t="array" ref="Q829">_xlfn.IFS(L829="Rob","Robusta",L829="Exc", "Excelsa",L829="Ara", "Arabica",L829="Lib", "Liberica")</f>
        <v>Excelsa</v>
      </c>
      <c r="R829" t="str" cm="1">
        <f t="array" ref="R829">_xlfn.IFS(M829="M","Medium",M829="L","Light",M829="D","Dark")</f>
        <v>Medium</v>
      </c>
    </row>
    <row r="830" spans="1:18">
      <c r="A830" s="2" t="s">
        <v>1652</v>
      </c>
      <c r="B830" s="3">
        <v>44505</v>
      </c>
      <c r="C830" s="9">
        <f>YEAR(Orders_Table[[#This Row],[Order Date]])</f>
        <v>2021</v>
      </c>
      <c r="D830" s="9">
        <f>MONTH(Orders_Table[[#This Row],[Order Date]])</f>
        <v>11</v>
      </c>
      <c r="E830" s="9" t="str" cm="1">
        <f t="array" ref="E8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30" s="2" t="s">
        <v>1653</v>
      </c>
      <c r="G830" t="s">
        <v>165</v>
      </c>
      <c r="H830" s="2">
        <v>6</v>
      </c>
      <c r="I830" s="2" t="str" cm="1">
        <f t="array" ref="I830">_xlfn.XLOOKUP(F830,Customers!A829:$A$1001,Customers!B829:$B$1001,"Not Found",0)</f>
        <v>Adora Roubert</v>
      </c>
      <c r="J830" s="2" t="str" cm="1">
        <f t="array" ref="J830">IF(_xlfn.XLOOKUP(F830,Customers!A829:$A$1001,Customers!C829:$C$1001,"Not Found",0)=0,"",_xlfn.XLOOKUP(F830,Customers!A829:$A$1001,Customers!C829:$C$1001,"Not Found",0))</f>
        <v>aroubertn0@tmall.com</v>
      </c>
      <c r="K830" s="2" t="str" cm="1">
        <f t="array" ref="K830">_xlfn.XLOOKUP(F830,Customers!A829:$A$1001,Customers!G829:$G$1001,"Not Found",0)</f>
        <v>United States</v>
      </c>
      <c r="L830" t="str">
        <f>INDEX(Products!$A$1:$G$49,MATCH(Orders!$G830,Products!$A$1:$A$49,0),MATCH(Orders!L$1,Products!$A$1:$G$1,0))</f>
        <v>Ara</v>
      </c>
      <c r="M830" t="str">
        <f>INDEX(Products!$A$1:$G$49,MATCH(Orders!$G830,Products!$A$1:$A$49,0),MATCH(Orders!M$1,Products!$A$1:$G$1,0))</f>
        <v>D</v>
      </c>
      <c r="N830" s="4">
        <f>INDEX(Products!$A$1:$G$49,MATCH(Orders!$G830,Products!$A$1:$A$49,0),MATCH(Orders!N$1,Products!$A$1:$G$1,0))</f>
        <v>2.5</v>
      </c>
      <c r="O830" s="7">
        <f>INDEX(Products!$A$1:$G$49,MATCH(Orders!$G830,Products!$A$1:$A$49,0),MATCH(Orders!O$1,Products!$A$1:$G$1,0))</f>
        <v>22.884999999999998</v>
      </c>
      <c r="P830" s="7">
        <f t="shared" si="12"/>
        <v>137.31</v>
      </c>
      <c r="Q830" t="str" cm="1">
        <f t="array" ref="Q830">_xlfn.IFS(L830="Rob","Robusta",L830="Exc", "Excelsa",L830="Ara", "Arabica",L830="Lib", "Liberica")</f>
        <v>Arabica</v>
      </c>
      <c r="R830" t="str" cm="1">
        <f t="array" ref="R830">_xlfn.IFS(M830="M","Medium",M830="L","Light",M830="D","Dark")</f>
        <v>Dark</v>
      </c>
    </row>
    <row r="831" spans="1:18">
      <c r="A831" s="2" t="s">
        <v>1654</v>
      </c>
      <c r="B831" s="3">
        <v>43890</v>
      </c>
      <c r="C831" s="9">
        <f>YEAR(Orders_Table[[#This Row],[Order Date]])</f>
        <v>2020</v>
      </c>
      <c r="D831" s="9">
        <f>MONTH(Orders_Table[[#This Row],[Order Date]])</f>
        <v>2</v>
      </c>
      <c r="E831" s="9" t="str" cm="1">
        <f t="array" ref="E8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31" s="2" t="s">
        <v>1655</v>
      </c>
      <c r="G831" t="s">
        <v>101</v>
      </c>
      <c r="H831" s="2">
        <v>1</v>
      </c>
      <c r="I831" s="2" t="str" cm="1">
        <f t="array" ref="I831">_xlfn.XLOOKUP(F831,Customers!A830:$A$1001,Customers!B830:$B$1001,"Not Found",0)</f>
        <v>Hillel Mairs</v>
      </c>
      <c r="J831" s="2" t="str" cm="1">
        <f t="array" ref="J831">IF(_xlfn.XLOOKUP(F831,Customers!A830:$A$1001,Customers!C830:$C$1001,"Not Found",0)=0,"",_xlfn.XLOOKUP(F831,Customers!A830:$A$1001,Customers!C830:$C$1001,"Not Found",0))</f>
        <v>hmairsn1@so-net.ne.jp</v>
      </c>
      <c r="K831" s="2" t="str" cm="1">
        <f t="array" ref="K831">_xlfn.XLOOKUP(F831,Customers!A830:$A$1001,Customers!G830:$G$1001,"Not Found",0)</f>
        <v>United States</v>
      </c>
      <c r="L831" t="str">
        <f>INDEX(Products!$A$1:$G$49,MATCH(Orders!$G831,Products!$A$1:$A$49,0),MATCH(Orders!L$1,Products!$A$1:$G$1,0))</f>
        <v>Ara</v>
      </c>
      <c r="M831" t="str">
        <f>INDEX(Products!$A$1:$G$49,MATCH(Orders!$G831,Products!$A$1:$A$49,0),MATCH(Orders!M$1,Products!$A$1:$G$1,0))</f>
        <v>D</v>
      </c>
      <c r="N831" s="4">
        <f>INDEX(Products!$A$1:$G$49,MATCH(Orders!$G831,Products!$A$1:$A$49,0),MATCH(Orders!N$1,Products!$A$1:$G$1,0))</f>
        <v>0.2</v>
      </c>
      <c r="O831" s="7">
        <f>INDEX(Products!$A$1:$G$49,MATCH(Orders!$G831,Products!$A$1:$A$49,0),MATCH(Orders!O$1,Products!$A$1:$G$1,0))</f>
        <v>2.9849999999999999</v>
      </c>
      <c r="P831" s="7">
        <f t="shared" si="12"/>
        <v>2.9849999999999999</v>
      </c>
      <c r="Q831" t="str" cm="1">
        <f t="array" ref="Q831">_xlfn.IFS(L831="Rob","Robusta",L831="Exc", "Excelsa",L831="Ara", "Arabica",L831="Lib", "Liberica")</f>
        <v>Arabica</v>
      </c>
      <c r="R831" t="str" cm="1">
        <f t="array" ref="R831">_xlfn.IFS(M831="M","Medium",M831="L","Light",M831="D","Dark")</f>
        <v>Dark</v>
      </c>
    </row>
    <row r="832" spans="1:18">
      <c r="A832" s="2" t="s">
        <v>1656</v>
      </c>
      <c r="B832" s="3">
        <v>44414</v>
      </c>
      <c r="C832" s="9">
        <f>YEAR(Orders_Table[[#This Row],[Order Date]])</f>
        <v>2021</v>
      </c>
      <c r="D832" s="9">
        <f>MONTH(Orders_Table[[#This Row],[Order Date]])</f>
        <v>8</v>
      </c>
      <c r="E832" s="9" t="str" cm="1">
        <f t="array" ref="E8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32" s="2" t="s">
        <v>1657</v>
      </c>
      <c r="G832" t="s">
        <v>56</v>
      </c>
      <c r="H832" s="2">
        <v>2</v>
      </c>
      <c r="I832" s="2" t="str" cm="1">
        <f t="array" ref="I832">_xlfn.XLOOKUP(F832,Customers!A831:$A$1001,Customers!B831:$B$1001,"Not Found",0)</f>
        <v>Helaina Rainforth</v>
      </c>
      <c r="J832" s="2" t="str" cm="1">
        <f t="array" ref="J832">IF(_xlfn.XLOOKUP(F832,Customers!A831:$A$1001,Customers!C831:$C$1001,"Not Found",0)=0,"",_xlfn.XLOOKUP(F832,Customers!A831:$A$1001,Customers!C831:$C$1001,"Not Found",0))</f>
        <v>hrainforthn2@blog.com</v>
      </c>
      <c r="K832" s="2" t="str" cm="1">
        <f t="array" ref="K832">_xlfn.XLOOKUP(F832,Customers!A831:$A$1001,Customers!G831:$G$1001,"Not Found",0)</f>
        <v>United States</v>
      </c>
      <c r="L832" t="str">
        <f>INDEX(Products!$A$1:$G$49,MATCH(Orders!$G832,Products!$A$1:$A$49,0),MATCH(Orders!L$1,Products!$A$1:$G$1,0))</f>
        <v>Exc</v>
      </c>
      <c r="M832" t="str">
        <f>INDEX(Products!$A$1:$G$49,MATCH(Orders!$G832,Products!$A$1:$A$49,0),MATCH(Orders!M$1,Products!$A$1:$G$1,0))</f>
        <v>M</v>
      </c>
      <c r="N832" s="4">
        <f>INDEX(Products!$A$1:$G$49,MATCH(Orders!$G832,Products!$A$1:$A$49,0),MATCH(Orders!N$1,Products!$A$1:$G$1,0))</f>
        <v>1</v>
      </c>
      <c r="O832" s="7">
        <f>INDEX(Products!$A$1:$G$49,MATCH(Orders!$G832,Products!$A$1:$A$49,0),MATCH(Orders!O$1,Products!$A$1:$G$1,0))</f>
        <v>13.75</v>
      </c>
      <c r="P832" s="7">
        <f t="shared" si="12"/>
        <v>27.5</v>
      </c>
      <c r="Q832" t="str" cm="1">
        <f t="array" ref="Q832">_xlfn.IFS(L832="Rob","Robusta",L832="Exc", "Excelsa",L832="Ara", "Arabica",L832="Lib", "Liberica")</f>
        <v>Excelsa</v>
      </c>
      <c r="R832" t="str" cm="1">
        <f t="array" ref="R832">_xlfn.IFS(M832="M","Medium",M832="L","Light",M832="D","Dark")</f>
        <v>Medium</v>
      </c>
    </row>
    <row r="833" spans="1:18">
      <c r="A833" s="2" t="s">
        <v>1656</v>
      </c>
      <c r="B833" s="3">
        <v>44414</v>
      </c>
      <c r="C833" s="9">
        <f>YEAR(Orders_Table[[#This Row],[Order Date]])</f>
        <v>2021</v>
      </c>
      <c r="D833" s="9">
        <f>MONTH(Orders_Table[[#This Row],[Order Date]])</f>
        <v>8</v>
      </c>
      <c r="E833" s="9" t="str" cm="1">
        <f t="array" ref="E8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33" s="2" t="s">
        <v>1657</v>
      </c>
      <c r="G833" t="s">
        <v>101</v>
      </c>
      <c r="H833" s="2">
        <v>2</v>
      </c>
      <c r="I833" s="2" t="str" cm="1">
        <f t="array" ref="I833">_xlfn.XLOOKUP(F833,Customers!A832:$A$1001,Customers!B832:$B$1001,"Not Found",0)</f>
        <v>Helaina Rainforth</v>
      </c>
      <c r="J833" s="2" t="str" cm="1">
        <f t="array" ref="J833">IF(_xlfn.XLOOKUP(F833,Customers!A832:$A$1001,Customers!C832:$C$1001,"Not Found",0)=0,"",_xlfn.XLOOKUP(F833,Customers!A832:$A$1001,Customers!C832:$C$1001,"Not Found",0))</f>
        <v>hrainforthn2@blog.com</v>
      </c>
      <c r="K833" s="2" t="str" cm="1">
        <f t="array" ref="K833">_xlfn.XLOOKUP(F833,Customers!A832:$A$1001,Customers!G832:$G$1001,"Not Found",0)</f>
        <v>United States</v>
      </c>
      <c r="L833" t="str">
        <f>INDEX(Products!$A$1:$G$49,MATCH(Orders!$G833,Products!$A$1:$A$49,0),MATCH(Orders!L$1,Products!$A$1:$G$1,0))</f>
        <v>Ara</v>
      </c>
      <c r="M833" t="str">
        <f>INDEX(Products!$A$1:$G$49,MATCH(Orders!$G833,Products!$A$1:$A$49,0),MATCH(Orders!M$1,Products!$A$1:$G$1,0))</f>
        <v>D</v>
      </c>
      <c r="N833" s="4">
        <f>INDEX(Products!$A$1:$G$49,MATCH(Orders!$G833,Products!$A$1:$A$49,0),MATCH(Orders!N$1,Products!$A$1:$G$1,0))</f>
        <v>0.2</v>
      </c>
      <c r="O833" s="7">
        <f>INDEX(Products!$A$1:$G$49,MATCH(Orders!$G833,Products!$A$1:$A$49,0),MATCH(Orders!O$1,Products!$A$1:$G$1,0))</f>
        <v>2.9849999999999999</v>
      </c>
      <c r="P833" s="7">
        <f t="shared" si="12"/>
        <v>5.97</v>
      </c>
      <c r="Q833" t="str" cm="1">
        <f t="array" ref="Q833">_xlfn.IFS(L833="Rob","Robusta",L833="Exc", "Excelsa",L833="Ara", "Arabica",L833="Lib", "Liberica")</f>
        <v>Arabica</v>
      </c>
      <c r="R833" t="str" cm="1">
        <f t="array" ref="R833">_xlfn.IFS(M833="M","Medium",M833="L","Light",M833="D","Dark")</f>
        <v>Dark</v>
      </c>
    </row>
    <row r="834" spans="1:18">
      <c r="A834" s="2" t="s">
        <v>1658</v>
      </c>
      <c r="B834" s="3">
        <v>44274</v>
      </c>
      <c r="C834" s="9">
        <f>YEAR(Orders_Table[[#This Row],[Order Date]])</f>
        <v>2021</v>
      </c>
      <c r="D834" s="9">
        <f>MONTH(Orders_Table[[#This Row],[Order Date]])</f>
        <v>3</v>
      </c>
      <c r="E834" s="9" t="str" cm="1">
        <f t="array" ref="E8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34" s="2" t="s">
        <v>1659</v>
      </c>
      <c r="G834" t="s">
        <v>49</v>
      </c>
      <c r="H834" s="2">
        <v>6</v>
      </c>
      <c r="I834" s="2" t="str" cm="1">
        <f t="array" ref="I834">_xlfn.XLOOKUP(F834,Customers!A833:$A$1001,Customers!B833:$B$1001,"Not Found",0)</f>
        <v>Isac Jesper</v>
      </c>
      <c r="J834" s="2" t="str" cm="1">
        <f t="array" ref="J834">IF(_xlfn.XLOOKUP(F834,Customers!A833:$A$1001,Customers!C833:$C$1001,"Not Found",0)=0,"",_xlfn.XLOOKUP(F834,Customers!A833:$A$1001,Customers!C833:$C$1001,"Not Found",0))</f>
        <v>ijespern4@theglobeandmail.com</v>
      </c>
      <c r="K834" s="2" t="str" cm="1">
        <f t="array" ref="K834">_xlfn.XLOOKUP(F834,Customers!A833:$A$1001,Customers!G833:$G$1001,"Not Found",0)</f>
        <v>United States</v>
      </c>
      <c r="L834" t="str">
        <f>INDEX(Products!$A$1:$G$49,MATCH(Orders!$G834,Products!$A$1:$A$49,0),MATCH(Orders!L$1,Products!$A$1:$G$1,0))</f>
        <v>Rob</v>
      </c>
      <c r="M834" t="str">
        <f>INDEX(Products!$A$1:$G$49,MATCH(Orders!$G834,Products!$A$1:$A$49,0),MATCH(Orders!M$1,Products!$A$1:$G$1,0))</f>
        <v>M</v>
      </c>
      <c r="N834" s="4">
        <f>INDEX(Products!$A$1:$G$49,MATCH(Orders!$G834,Products!$A$1:$A$49,0),MATCH(Orders!N$1,Products!$A$1:$G$1,0))</f>
        <v>1</v>
      </c>
      <c r="O834" s="7">
        <f>INDEX(Products!$A$1:$G$49,MATCH(Orders!$G834,Products!$A$1:$A$49,0),MATCH(Orders!O$1,Products!$A$1:$G$1,0))</f>
        <v>9.9499999999999993</v>
      </c>
      <c r="P834" s="7">
        <f t="shared" si="12"/>
        <v>59.699999999999996</v>
      </c>
      <c r="Q834" t="str" cm="1">
        <f t="array" ref="Q834">_xlfn.IFS(L834="Rob","Robusta",L834="Exc", "Excelsa",L834="Ara", "Arabica",L834="Lib", "Liberica")</f>
        <v>Robusta</v>
      </c>
      <c r="R834" t="str" cm="1">
        <f t="array" ref="R834">_xlfn.IFS(M834="M","Medium",M834="L","Light",M834="D","Dark")</f>
        <v>Medium</v>
      </c>
    </row>
    <row r="835" spans="1:18">
      <c r="A835" s="2" t="s">
        <v>1660</v>
      </c>
      <c r="B835" s="3">
        <v>44302</v>
      </c>
      <c r="C835" s="9">
        <f>YEAR(Orders_Table[[#This Row],[Order Date]])</f>
        <v>2021</v>
      </c>
      <c r="D835" s="9">
        <f>MONTH(Orders_Table[[#This Row],[Order Date]])</f>
        <v>4</v>
      </c>
      <c r="E835" s="9" t="str" cm="1">
        <f t="array" ref="E8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35" s="2" t="s">
        <v>1661</v>
      </c>
      <c r="G835" t="s">
        <v>82</v>
      </c>
      <c r="H835" s="2">
        <v>4</v>
      </c>
      <c r="I835" s="2" t="str" cm="1">
        <f t="array" ref="I835">_xlfn.XLOOKUP(F835,Customers!A834:$A$1001,Customers!B834:$B$1001,"Not Found",0)</f>
        <v>Lenette Dwerryhouse</v>
      </c>
      <c r="J835" s="2" t="str" cm="1">
        <f t="array" ref="J835">IF(_xlfn.XLOOKUP(F835,Customers!A834:$A$1001,Customers!C834:$C$1001,"Not Found",0)=0,"",_xlfn.XLOOKUP(F835,Customers!A834:$A$1001,Customers!C834:$C$1001,"Not Found",0))</f>
        <v>ldwerryhousen5@gravatar.com</v>
      </c>
      <c r="K835" s="2" t="str" cm="1">
        <f t="array" ref="K835">_xlfn.XLOOKUP(F835,Customers!A834:$A$1001,Customers!G834:$G$1001,"Not Found",0)</f>
        <v>United States</v>
      </c>
      <c r="L835" t="str">
        <f>INDEX(Products!$A$1:$G$49,MATCH(Orders!$G835,Products!$A$1:$A$49,0),MATCH(Orders!L$1,Products!$A$1:$G$1,0))</f>
        <v>Rob</v>
      </c>
      <c r="M835" t="str">
        <f>INDEX(Products!$A$1:$G$49,MATCH(Orders!$G835,Products!$A$1:$A$49,0),MATCH(Orders!M$1,Products!$A$1:$G$1,0))</f>
        <v>D</v>
      </c>
      <c r="N835" s="4">
        <f>INDEX(Products!$A$1:$G$49,MATCH(Orders!$G835,Products!$A$1:$A$49,0),MATCH(Orders!N$1,Products!$A$1:$G$1,0))</f>
        <v>2.5</v>
      </c>
      <c r="O835" s="7">
        <f>INDEX(Products!$A$1:$G$49,MATCH(Orders!$G835,Products!$A$1:$A$49,0),MATCH(Orders!O$1,Products!$A$1:$G$1,0))</f>
        <v>20.584999999999997</v>
      </c>
      <c r="P835" s="7">
        <f t="shared" ref="P835:P898" si="13">O835*H835</f>
        <v>82.339999999999989</v>
      </c>
      <c r="Q835" t="str" cm="1">
        <f t="array" ref="Q835">_xlfn.IFS(L835="Rob","Robusta",L835="Exc", "Excelsa",L835="Ara", "Arabica",L835="Lib", "Liberica")</f>
        <v>Robusta</v>
      </c>
      <c r="R835" t="str" cm="1">
        <f t="array" ref="R835">_xlfn.IFS(M835="M","Medium",M835="L","Light",M835="D","Dark")</f>
        <v>Dark</v>
      </c>
    </row>
    <row r="836" spans="1:18">
      <c r="A836" s="2" t="s">
        <v>1662</v>
      </c>
      <c r="B836" s="3">
        <v>44141</v>
      </c>
      <c r="C836" s="9">
        <f>YEAR(Orders_Table[[#This Row],[Order Date]])</f>
        <v>2020</v>
      </c>
      <c r="D836" s="9">
        <f>MONTH(Orders_Table[[#This Row],[Order Date]])</f>
        <v>11</v>
      </c>
      <c r="E836" s="9" t="str" cm="1">
        <f t="array" ref="E8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36" s="2" t="s">
        <v>1663</v>
      </c>
      <c r="G836" t="s">
        <v>165</v>
      </c>
      <c r="H836" s="2">
        <v>1</v>
      </c>
      <c r="I836" s="2" t="str" cm="1">
        <f t="array" ref="I836">_xlfn.XLOOKUP(F836,Customers!A835:$A$1001,Customers!B835:$B$1001,"Not Found",0)</f>
        <v>Nadeen Broomer</v>
      </c>
      <c r="J836" s="2" t="str" cm="1">
        <f t="array" ref="J836">IF(_xlfn.XLOOKUP(F836,Customers!A835:$A$1001,Customers!C835:$C$1001,"Not Found",0)=0,"",_xlfn.XLOOKUP(F836,Customers!A835:$A$1001,Customers!C835:$C$1001,"Not Found",0))</f>
        <v>nbroomern6@examiner.com</v>
      </c>
      <c r="K836" s="2" t="str" cm="1">
        <f t="array" ref="K836">_xlfn.XLOOKUP(F836,Customers!A835:$A$1001,Customers!G835:$G$1001,"Not Found",0)</f>
        <v>United States</v>
      </c>
      <c r="L836" t="str">
        <f>INDEX(Products!$A$1:$G$49,MATCH(Orders!$G836,Products!$A$1:$A$49,0),MATCH(Orders!L$1,Products!$A$1:$G$1,0))</f>
        <v>Ara</v>
      </c>
      <c r="M836" t="str">
        <f>INDEX(Products!$A$1:$G$49,MATCH(Orders!$G836,Products!$A$1:$A$49,0),MATCH(Orders!M$1,Products!$A$1:$G$1,0))</f>
        <v>D</v>
      </c>
      <c r="N836" s="4">
        <f>INDEX(Products!$A$1:$G$49,MATCH(Orders!$G836,Products!$A$1:$A$49,0),MATCH(Orders!N$1,Products!$A$1:$G$1,0))</f>
        <v>2.5</v>
      </c>
      <c r="O836" s="7">
        <f>INDEX(Products!$A$1:$G$49,MATCH(Orders!$G836,Products!$A$1:$A$49,0),MATCH(Orders!O$1,Products!$A$1:$G$1,0))</f>
        <v>22.884999999999998</v>
      </c>
      <c r="P836" s="7">
        <f t="shared" si="13"/>
        <v>22.884999999999998</v>
      </c>
      <c r="Q836" t="str" cm="1">
        <f t="array" ref="Q836">_xlfn.IFS(L836="Rob","Robusta",L836="Exc", "Excelsa",L836="Ara", "Arabica",L836="Lib", "Liberica")</f>
        <v>Arabica</v>
      </c>
      <c r="R836" t="str" cm="1">
        <f t="array" ref="R836">_xlfn.IFS(M836="M","Medium",M836="L","Light",M836="D","Dark")</f>
        <v>Dark</v>
      </c>
    </row>
    <row r="837" spans="1:18">
      <c r="A837" s="2" t="s">
        <v>1664</v>
      </c>
      <c r="B837" s="3">
        <v>44270</v>
      </c>
      <c r="C837" s="9">
        <f>YEAR(Orders_Table[[#This Row],[Order Date]])</f>
        <v>2021</v>
      </c>
      <c r="D837" s="9">
        <f>MONTH(Orders_Table[[#This Row],[Order Date]])</f>
        <v>3</v>
      </c>
      <c r="E837" s="9" t="str" cm="1">
        <f t="array" ref="E8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37" s="2" t="s">
        <v>1665</v>
      </c>
      <c r="G837" t="s">
        <v>223</v>
      </c>
      <c r="H837" s="2">
        <v>1</v>
      </c>
      <c r="I837" s="2" t="str" cm="1">
        <f t="array" ref="I837">_xlfn.XLOOKUP(F837,Customers!A836:$A$1001,Customers!B836:$B$1001,"Not Found",0)</f>
        <v>Konstantine Thoumasson</v>
      </c>
      <c r="J837" s="2" t="str" cm="1">
        <f t="array" ref="J837">IF(_xlfn.XLOOKUP(F837,Customers!A836:$A$1001,Customers!C836:$C$1001,"Not Found",0)=0,"",_xlfn.XLOOKUP(F837,Customers!A836:$A$1001,Customers!C836:$C$1001,"Not Found",0))</f>
        <v>kthoumassonn7@bloglovin.com</v>
      </c>
      <c r="K837" s="2" t="str" cm="1">
        <f t="array" ref="K837">_xlfn.XLOOKUP(F837,Customers!A836:$A$1001,Customers!G836:$G$1001,"Not Found",0)</f>
        <v>United States</v>
      </c>
      <c r="L837" t="str">
        <f>INDEX(Products!$A$1:$G$49,MATCH(Orders!$G837,Products!$A$1:$A$49,0),MATCH(Orders!L$1,Products!$A$1:$G$1,0))</f>
        <v>Exc</v>
      </c>
      <c r="M837" t="str">
        <f>INDEX(Products!$A$1:$G$49,MATCH(Orders!$G837,Products!$A$1:$A$49,0),MATCH(Orders!M$1,Products!$A$1:$G$1,0))</f>
        <v>L</v>
      </c>
      <c r="N837" s="4">
        <f>INDEX(Products!$A$1:$G$49,MATCH(Orders!$G837,Products!$A$1:$A$49,0),MATCH(Orders!N$1,Products!$A$1:$G$1,0))</f>
        <v>0.5</v>
      </c>
      <c r="O837" s="7">
        <f>INDEX(Products!$A$1:$G$49,MATCH(Orders!$G837,Products!$A$1:$A$49,0),MATCH(Orders!O$1,Products!$A$1:$G$1,0))</f>
        <v>8.91</v>
      </c>
      <c r="P837" s="7">
        <f t="shared" si="13"/>
        <v>8.91</v>
      </c>
      <c r="Q837" t="str" cm="1">
        <f t="array" ref="Q837">_xlfn.IFS(L837="Rob","Robusta",L837="Exc", "Excelsa",L837="Ara", "Arabica",L837="Lib", "Liberica")</f>
        <v>Excelsa</v>
      </c>
      <c r="R837" t="str" cm="1">
        <f t="array" ref="R837">_xlfn.IFS(M837="M","Medium",M837="L","Light",M837="D","Dark")</f>
        <v>Light</v>
      </c>
    </row>
    <row r="838" spans="1:18">
      <c r="A838" s="2" t="s">
        <v>1666</v>
      </c>
      <c r="B838" s="3">
        <v>44486</v>
      </c>
      <c r="C838" s="9">
        <f>YEAR(Orders_Table[[#This Row],[Order Date]])</f>
        <v>2021</v>
      </c>
      <c r="D838" s="9">
        <f>MONTH(Orders_Table[[#This Row],[Order Date]])</f>
        <v>10</v>
      </c>
      <c r="E838" s="9" t="str" cm="1">
        <f t="array" ref="E8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38" s="2" t="s">
        <v>1667</v>
      </c>
      <c r="G838" t="s">
        <v>101</v>
      </c>
      <c r="H838" s="2">
        <v>4</v>
      </c>
      <c r="I838" s="2" t="str" cm="1">
        <f t="array" ref="I838">_xlfn.XLOOKUP(F838,Customers!A837:$A$1001,Customers!B837:$B$1001,"Not Found",0)</f>
        <v>Frans Habbergham</v>
      </c>
      <c r="J838" s="2" t="str" cm="1">
        <f t="array" ref="J838">IF(_xlfn.XLOOKUP(F838,Customers!A837:$A$1001,Customers!C837:$C$1001,"Not Found",0)=0,"",_xlfn.XLOOKUP(F838,Customers!A837:$A$1001,Customers!C837:$C$1001,"Not Found",0))</f>
        <v>fhabberghamn8@discovery.com</v>
      </c>
      <c r="K838" s="2" t="str" cm="1">
        <f t="array" ref="K838">_xlfn.XLOOKUP(F838,Customers!A837:$A$1001,Customers!G837:$G$1001,"Not Found",0)</f>
        <v>United States</v>
      </c>
      <c r="L838" t="str">
        <f>INDEX(Products!$A$1:$G$49,MATCH(Orders!$G838,Products!$A$1:$A$49,0),MATCH(Orders!L$1,Products!$A$1:$G$1,0))</f>
        <v>Ara</v>
      </c>
      <c r="M838" t="str">
        <f>INDEX(Products!$A$1:$G$49,MATCH(Orders!$G838,Products!$A$1:$A$49,0),MATCH(Orders!M$1,Products!$A$1:$G$1,0))</f>
        <v>D</v>
      </c>
      <c r="N838" s="4">
        <f>INDEX(Products!$A$1:$G$49,MATCH(Orders!$G838,Products!$A$1:$A$49,0),MATCH(Orders!N$1,Products!$A$1:$G$1,0))</f>
        <v>0.2</v>
      </c>
      <c r="O838" s="7">
        <f>INDEX(Products!$A$1:$G$49,MATCH(Orders!$G838,Products!$A$1:$A$49,0),MATCH(Orders!O$1,Products!$A$1:$G$1,0))</f>
        <v>2.9849999999999999</v>
      </c>
      <c r="P838" s="7">
        <f t="shared" si="13"/>
        <v>11.94</v>
      </c>
      <c r="Q838" t="str" cm="1">
        <f t="array" ref="Q838">_xlfn.IFS(L838="Rob","Robusta",L838="Exc", "Excelsa",L838="Ara", "Arabica",L838="Lib", "Liberica")</f>
        <v>Arabica</v>
      </c>
      <c r="R838" t="str" cm="1">
        <f t="array" ref="R838">_xlfn.IFS(M838="M","Medium",M838="L","Light",M838="D","Dark")</f>
        <v>Dark</v>
      </c>
    </row>
    <row r="839" spans="1:18">
      <c r="A839" s="2" t="s">
        <v>1668</v>
      </c>
      <c r="B839" s="3">
        <v>43715</v>
      </c>
      <c r="C839" s="9">
        <f>YEAR(Orders_Table[[#This Row],[Order Date]])</f>
        <v>2019</v>
      </c>
      <c r="D839" s="9">
        <f>MONTH(Orders_Table[[#This Row],[Order Date]])</f>
        <v>9</v>
      </c>
      <c r="E839" s="9" t="str" cm="1">
        <f t="array" ref="E8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39" s="2" t="s">
        <v>1616</v>
      </c>
      <c r="G839" t="s">
        <v>244</v>
      </c>
      <c r="H839" s="2">
        <v>3</v>
      </c>
      <c r="I839" s="2" t="str" cm="1">
        <f t="array" ref="I839">_xlfn.XLOOKUP(F839,Customers!A838:$A$1001,Customers!B838:$B$1001,"Not Found",0)</f>
        <v>Not Found</v>
      </c>
      <c r="J839" s="2" t="str" cm="1">
        <f t="array" ref="J839">IF(_xlfn.XLOOKUP(F839,Customers!A838:$A$1001,Customers!C838:$C$1001,"Not Found",0)=0,"",_xlfn.XLOOKUP(F839,Customers!A838:$A$1001,Customers!C838:$C$1001,"Not Found",0))</f>
        <v>Not Found</v>
      </c>
      <c r="K839" s="2" t="str" cm="1">
        <f t="array" ref="K839">_xlfn.XLOOKUP(F839,Customers!A838:$A$1001,Customers!G838:$G$1001,"Not Found",0)</f>
        <v>Not Found</v>
      </c>
      <c r="L839" t="str">
        <f>INDEX(Products!$A$1:$G$49,MATCH(Orders!$G839,Products!$A$1:$A$49,0),MATCH(Orders!L$1,Products!$A$1:$G$1,0))</f>
        <v>Lib</v>
      </c>
      <c r="M839" t="str">
        <f>INDEX(Products!$A$1:$G$49,MATCH(Orders!$G839,Products!$A$1:$A$49,0),MATCH(Orders!M$1,Products!$A$1:$G$1,0))</f>
        <v>M</v>
      </c>
      <c r="N839" s="4">
        <f>INDEX(Products!$A$1:$G$49,MATCH(Orders!$G839,Products!$A$1:$A$49,0),MATCH(Orders!N$1,Products!$A$1:$G$1,0))</f>
        <v>2.5</v>
      </c>
      <c r="O839" s="7">
        <f>INDEX(Products!$A$1:$G$49,MATCH(Orders!$G839,Products!$A$1:$A$49,0),MATCH(Orders!O$1,Products!$A$1:$G$1,0))</f>
        <v>33.464999999999996</v>
      </c>
      <c r="P839" s="7">
        <f t="shared" si="13"/>
        <v>100.39499999999998</v>
      </c>
      <c r="Q839" t="str" cm="1">
        <f t="array" ref="Q839">_xlfn.IFS(L839="Rob","Robusta",L839="Exc", "Excelsa",L839="Ara", "Arabica",L839="Lib", "Liberica")</f>
        <v>Liberica</v>
      </c>
      <c r="R839" t="str" cm="1">
        <f t="array" ref="R839">_xlfn.IFS(M839="M","Medium",M839="L","Light",M839="D","Dark")</f>
        <v>Medium</v>
      </c>
    </row>
    <row r="840" spans="1:18">
      <c r="A840" s="2" t="s">
        <v>1669</v>
      </c>
      <c r="B840" s="3">
        <v>44755</v>
      </c>
      <c r="C840" s="9">
        <f>YEAR(Orders_Table[[#This Row],[Order Date]])</f>
        <v>2022</v>
      </c>
      <c r="D840" s="9">
        <f>MONTH(Orders_Table[[#This Row],[Order Date]])</f>
        <v>7</v>
      </c>
      <c r="E840" s="9" t="str" cm="1">
        <f t="array" ref="E8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40" s="2" t="s">
        <v>1670</v>
      </c>
      <c r="G840" t="s">
        <v>165</v>
      </c>
      <c r="H840" s="2">
        <v>5</v>
      </c>
      <c r="I840" s="2" t="str" cm="1">
        <f t="array" ref="I840">_xlfn.XLOOKUP(F840,Customers!A839:$A$1001,Customers!B839:$B$1001,"Not Found",0)</f>
        <v>Romain Avrashin</v>
      </c>
      <c r="J840" s="2" t="str" cm="1">
        <f t="array" ref="J840">IF(_xlfn.XLOOKUP(F840,Customers!A839:$A$1001,Customers!C839:$C$1001,"Not Found",0)=0,"",_xlfn.XLOOKUP(F840,Customers!A839:$A$1001,Customers!C839:$C$1001,"Not Found",0))</f>
        <v>ravrashinna@tamu.edu</v>
      </c>
      <c r="K840" s="2" t="str" cm="1">
        <f t="array" ref="K840">_xlfn.XLOOKUP(F840,Customers!A839:$A$1001,Customers!G839:$G$1001,"Not Found",0)</f>
        <v>United States</v>
      </c>
      <c r="L840" t="str">
        <f>INDEX(Products!$A$1:$G$49,MATCH(Orders!$G840,Products!$A$1:$A$49,0),MATCH(Orders!L$1,Products!$A$1:$G$1,0))</f>
        <v>Ara</v>
      </c>
      <c r="M840" t="str">
        <f>INDEX(Products!$A$1:$G$49,MATCH(Orders!$G840,Products!$A$1:$A$49,0),MATCH(Orders!M$1,Products!$A$1:$G$1,0))</f>
        <v>D</v>
      </c>
      <c r="N840" s="4">
        <f>INDEX(Products!$A$1:$G$49,MATCH(Orders!$G840,Products!$A$1:$A$49,0),MATCH(Orders!N$1,Products!$A$1:$G$1,0))</f>
        <v>2.5</v>
      </c>
      <c r="O840" s="7">
        <f>INDEX(Products!$A$1:$G$49,MATCH(Orders!$G840,Products!$A$1:$A$49,0),MATCH(Orders!O$1,Products!$A$1:$G$1,0))</f>
        <v>22.884999999999998</v>
      </c>
      <c r="P840" s="7">
        <f t="shared" si="13"/>
        <v>114.42499999999998</v>
      </c>
      <c r="Q840" t="str" cm="1">
        <f t="array" ref="Q840">_xlfn.IFS(L840="Rob","Robusta",L840="Exc", "Excelsa",L840="Ara", "Arabica",L840="Lib", "Liberica")</f>
        <v>Arabica</v>
      </c>
      <c r="R840" t="str" cm="1">
        <f t="array" ref="R840">_xlfn.IFS(M840="M","Medium",M840="L","Light",M840="D","Dark")</f>
        <v>Dark</v>
      </c>
    </row>
    <row r="841" spans="1:18">
      <c r="A841" s="2" t="s">
        <v>1671</v>
      </c>
      <c r="B841" s="3">
        <v>44521</v>
      </c>
      <c r="C841" s="9">
        <f>YEAR(Orders_Table[[#This Row],[Order Date]])</f>
        <v>2021</v>
      </c>
      <c r="D841" s="9">
        <f>MONTH(Orders_Table[[#This Row],[Order Date]])</f>
        <v>11</v>
      </c>
      <c r="E841" s="9" t="str" cm="1">
        <f t="array" ref="E8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41" s="2" t="s">
        <v>1672</v>
      </c>
      <c r="G841" t="s">
        <v>50</v>
      </c>
      <c r="H841" s="2">
        <v>5</v>
      </c>
      <c r="I841" s="2" t="str" cm="1">
        <f t="array" ref="I841">_xlfn.XLOOKUP(F841,Customers!A840:$A$1001,Customers!B840:$B$1001,"Not Found",0)</f>
        <v>Miran Doidge</v>
      </c>
      <c r="J841" s="2" t="str" cm="1">
        <f t="array" ref="J841">IF(_xlfn.XLOOKUP(F841,Customers!A840:$A$1001,Customers!C840:$C$1001,"Not Found",0)=0,"",_xlfn.XLOOKUP(F841,Customers!A840:$A$1001,Customers!C840:$C$1001,"Not Found",0))</f>
        <v>mdoidgenb@etsy.com</v>
      </c>
      <c r="K841" s="2" t="str" cm="1">
        <f t="array" ref="K841">_xlfn.XLOOKUP(F841,Customers!A840:$A$1001,Customers!G840:$G$1001,"Not Found",0)</f>
        <v>United States</v>
      </c>
      <c r="L841" t="str">
        <f>INDEX(Products!$A$1:$G$49,MATCH(Orders!$G841,Products!$A$1:$A$49,0),MATCH(Orders!L$1,Products!$A$1:$G$1,0))</f>
        <v>Exc</v>
      </c>
      <c r="M841" t="str">
        <f>INDEX(Products!$A$1:$G$49,MATCH(Orders!$G841,Products!$A$1:$A$49,0),MATCH(Orders!M$1,Products!$A$1:$G$1,0))</f>
        <v>M</v>
      </c>
      <c r="N841" s="4">
        <f>INDEX(Products!$A$1:$G$49,MATCH(Orders!$G841,Products!$A$1:$A$49,0),MATCH(Orders!N$1,Products!$A$1:$G$1,0))</f>
        <v>0.5</v>
      </c>
      <c r="O841" s="7">
        <f>INDEX(Products!$A$1:$G$49,MATCH(Orders!$G841,Products!$A$1:$A$49,0),MATCH(Orders!O$1,Products!$A$1:$G$1,0))</f>
        <v>8.25</v>
      </c>
      <c r="P841" s="7">
        <f t="shared" si="13"/>
        <v>41.25</v>
      </c>
      <c r="Q841" t="str" cm="1">
        <f t="array" ref="Q841">_xlfn.IFS(L841="Rob","Robusta",L841="Exc", "Excelsa",L841="Ara", "Arabica",L841="Lib", "Liberica")</f>
        <v>Excelsa</v>
      </c>
      <c r="R841" t="str" cm="1">
        <f t="array" ref="R841">_xlfn.IFS(M841="M","Medium",M841="L","Light",M841="D","Dark")</f>
        <v>Medium</v>
      </c>
    </row>
    <row r="842" spans="1:18">
      <c r="A842" s="2" t="s">
        <v>1673</v>
      </c>
      <c r="B842" s="3">
        <v>44574</v>
      </c>
      <c r="C842" s="9">
        <f>YEAR(Orders_Table[[#This Row],[Order Date]])</f>
        <v>2022</v>
      </c>
      <c r="D842" s="9">
        <f>MONTH(Orders_Table[[#This Row],[Order Date]])</f>
        <v>1</v>
      </c>
      <c r="E842" s="9" t="str" cm="1">
        <f t="array" ref="E8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42" s="2" t="s">
        <v>1674</v>
      </c>
      <c r="G842" t="s">
        <v>204</v>
      </c>
      <c r="H842" s="2">
        <v>4</v>
      </c>
      <c r="I842" s="2" t="str" cm="1">
        <f t="array" ref="I842">_xlfn.XLOOKUP(F842,Customers!A841:$A$1001,Customers!B841:$B$1001,"Not Found",0)</f>
        <v>Janeva Edinboro</v>
      </c>
      <c r="J842" s="2" t="str" cm="1">
        <f t="array" ref="J842">IF(_xlfn.XLOOKUP(F842,Customers!A841:$A$1001,Customers!C841:$C$1001,"Not Found",0)=0,"",_xlfn.XLOOKUP(F842,Customers!A841:$A$1001,Customers!C841:$C$1001,"Not Found",0))</f>
        <v>jedinboronc@reverbnation.com</v>
      </c>
      <c r="K842" s="2" t="str" cm="1">
        <f t="array" ref="K842">_xlfn.XLOOKUP(F842,Customers!A841:$A$1001,Customers!G841:$G$1001,"Not Found",0)</f>
        <v>United States</v>
      </c>
      <c r="L842" t="str">
        <f>INDEX(Products!$A$1:$G$49,MATCH(Orders!$G842,Products!$A$1:$A$49,0),MATCH(Orders!L$1,Products!$A$1:$G$1,0))</f>
        <v>Rob</v>
      </c>
      <c r="M842" t="str">
        <f>INDEX(Products!$A$1:$G$49,MATCH(Orders!$G842,Products!$A$1:$A$49,0),MATCH(Orders!M$1,Products!$A$1:$G$1,0))</f>
        <v>L</v>
      </c>
      <c r="N842" s="4">
        <f>INDEX(Products!$A$1:$G$49,MATCH(Orders!$G842,Products!$A$1:$A$49,0),MATCH(Orders!N$1,Products!$A$1:$G$1,0))</f>
        <v>0.5</v>
      </c>
      <c r="O842" s="7">
        <f>INDEX(Products!$A$1:$G$49,MATCH(Orders!$G842,Products!$A$1:$A$49,0),MATCH(Orders!O$1,Products!$A$1:$G$1,0))</f>
        <v>7.169999999999999</v>
      </c>
      <c r="P842" s="7">
        <f t="shared" si="13"/>
        <v>28.679999999999996</v>
      </c>
      <c r="Q842" t="str" cm="1">
        <f t="array" ref="Q842">_xlfn.IFS(L842="Rob","Robusta",L842="Exc", "Excelsa",L842="Ara", "Arabica",L842="Lib", "Liberica")</f>
        <v>Robusta</v>
      </c>
      <c r="R842" t="str" cm="1">
        <f t="array" ref="R842">_xlfn.IFS(M842="M","Medium",M842="L","Light",M842="D","Dark")</f>
        <v>Light</v>
      </c>
    </row>
    <row r="843" spans="1:18">
      <c r="A843" s="2" t="s">
        <v>1675</v>
      </c>
      <c r="B843" s="3">
        <v>44755</v>
      </c>
      <c r="C843" s="9">
        <f>YEAR(Orders_Table[[#This Row],[Order Date]])</f>
        <v>2022</v>
      </c>
      <c r="D843" s="9">
        <f>MONTH(Orders_Table[[#This Row],[Order Date]])</f>
        <v>7</v>
      </c>
      <c r="E843" s="9" t="str" cm="1">
        <f t="array" ref="E8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43" s="2" t="s">
        <v>1676</v>
      </c>
      <c r="G843" t="s">
        <v>124</v>
      </c>
      <c r="H843" s="2">
        <v>1</v>
      </c>
      <c r="I843" s="2" t="str" cm="1">
        <f t="array" ref="I843">_xlfn.XLOOKUP(F843,Customers!A842:$A$1001,Customers!B842:$B$1001,"Not Found",0)</f>
        <v>Trumaine Tewelson</v>
      </c>
      <c r="J843" s="2" t="str" cm="1">
        <f t="array" ref="J843">IF(_xlfn.XLOOKUP(F843,Customers!A842:$A$1001,Customers!C842:$C$1001,"Not Found",0)=0,"",_xlfn.XLOOKUP(F843,Customers!A842:$A$1001,Customers!C842:$C$1001,"Not Found",0))</f>
        <v>ttewelsonnd@cdbaby.com</v>
      </c>
      <c r="K843" s="2" t="str" cm="1">
        <f t="array" ref="K843">_xlfn.XLOOKUP(F843,Customers!A842:$A$1001,Customers!G842:$G$1001,"Not Found",0)</f>
        <v>United States</v>
      </c>
      <c r="L843" t="str">
        <f>INDEX(Products!$A$1:$G$49,MATCH(Orders!$G843,Products!$A$1:$A$49,0),MATCH(Orders!L$1,Products!$A$1:$G$1,0))</f>
        <v>Lib</v>
      </c>
      <c r="M843" t="str">
        <f>INDEX(Products!$A$1:$G$49,MATCH(Orders!$G843,Products!$A$1:$A$49,0),MATCH(Orders!M$1,Products!$A$1:$G$1,0))</f>
        <v>M</v>
      </c>
      <c r="N843" s="4">
        <f>INDEX(Products!$A$1:$G$49,MATCH(Orders!$G843,Products!$A$1:$A$49,0),MATCH(Orders!N$1,Products!$A$1:$G$1,0))</f>
        <v>0.2</v>
      </c>
      <c r="O843" s="7">
        <f>INDEX(Products!$A$1:$G$49,MATCH(Orders!$G843,Products!$A$1:$A$49,0),MATCH(Orders!O$1,Products!$A$1:$G$1,0))</f>
        <v>4.3650000000000002</v>
      </c>
      <c r="P843" s="7">
        <f t="shared" si="13"/>
        <v>4.3650000000000002</v>
      </c>
      <c r="Q843" t="str" cm="1">
        <f t="array" ref="Q843">_xlfn.IFS(L843="Rob","Robusta",L843="Exc", "Excelsa",L843="Ara", "Arabica",L843="Lib", "Liberica")</f>
        <v>Liberica</v>
      </c>
      <c r="R843" t="str" cm="1">
        <f t="array" ref="R843">_xlfn.IFS(M843="M","Medium",M843="L","Light",M843="D","Dark")</f>
        <v>Medium</v>
      </c>
    </row>
    <row r="844" spans="1:18">
      <c r="A844" s="2" t="s">
        <v>1677</v>
      </c>
      <c r="B844" s="3">
        <v>44502</v>
      </c>
      <c r="C844" s="9">
        <f>YEAR(Orders_Table[[#This Row],[Order Date]])</f>
        <v>2021</v>
      </c>
      <c r="D844" s="9">
        <f>MONTH(Orders_Table[[#This Row],[Order Date]])</f>
        <v>11</v>
      </c>
      <c r="E844" s="9" t="str" cm="1">
        <f t="array" ref="E8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44" s="2" t="s">
        <v>1647</v>
      </c>
      <c r="G844" t="s">
        <v>111</v>
      </c>
      <c r="H844" s="2">
        <v>2</v>
      </c>
      <c r="I844" s="2" t="str" cm="1">
        <f t="array" ref="I844">_xlfn.XLOOKUP(F844,Customers!A843:$A$1001,Customers!B843:$B$1001,"Not Found",0)</f>
        <v>Not Found</v>
      </c>
      <c r="J844" s="2" t="str" cm="1">
        <f t="array" ref="J844">IF(_xlfn.XLOOKUP(F844,Customers!A843:$A$1001,Customers!C843:$C$1001,"Not Found",0)=0,"",_xlfn.XLOOKUP(F844,Customers!A843:$A$1001,Customers!C843:$C$1001,"Not Found",0))</f>
        <v>Not Found</v>
      </c>
      <c r="K844" s="2" t="str" cm="1">
        <f t="array" ref="K844">_xlfn.XLOOKUP(F844,Customers!A843:$A$1001,Customers!G843:$G$1001,"Not Found",0)</f>
        <v>Not Found</v>
      </c>
      <c r="L844" t="str">
        <f>INDEX(Products!$A$1:$G$49,MATCH(Orders!$G844,Products!$A$1:$A$49,0),MATCH(Orders!L$1,Products!$A$1:$G$1,0))</f>
        <v>Exc</v>
      </c>
      <c r="M844" t="str">
        <f>INDEX(Products!$A$1:$G$49,MATCH(Orders!$G844,Products!$A$1:$A$49,0),MATCH(Orders!M$1,Products!$A$1:$G$1,0))</f>
        <v>M</v>
      </c>
      <c r="N844" s="4">
        <f>INDEX(Products!$A$1:$G$49,MATCH(Orders!$G844,Products!$A$1:$A$49,0),MATCH(Orders!N$1,Products!$A$1:$G$1,0))</f>
        <v>0.2</v>
      </c>
      <c r="O844" s="7">
        <f>INDEX(Products!$A$1:$G$49,MATCH(Orders!$G844,Products!$A$1:$A$49,0),MATCH(Orders!O$1,Products!$A$1:$G$1,0))</f>
        <v>4.125</v>
      </c>
      <c r="P844" s="7">
        <f t="shared" si="13"/>
        <v>8.25</v>
      </c>
      <c r="Q844" t="str" cm="1">
        <f t="array" ref="Q844">_xlfn.IFS(L844="Rob","Robusta",L844="Exc", "Excelsa",L844="Ara", "Arabica",L844="Lib", "Liberica")</f>
        <v>Excelsa</v>
      </c>
      <c r="R844" t="str" cm="1">
        <f t="array" ref="R844">_xlfn.IFS(M844="M","Medium",M844="L","Light",M844="D","Dark")</f>
        <v>Medium</v>
      </c>
    </row>
    <row r="845" spans="1:18">
      <c r="A845" s="2" t="s">
        <v>1678</v>
      </c>
      <c r="B845" s="3">
        <v>44387</v>
      </c>
      <c r="C845" s="9">
        <f>YEAR(Orders_Table[[#This Row],[Order Date]])</f>
        <v>2021</v>
      </c>
      <c r="D845" s="9">
        <f>MONTH(Orders_Table[[#This Row],[Order Date]])</f>
        <v>7</v>
      </c>
      <c r="E845" s="9" t="str" cm="1">
        <f t="array" ref="E8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45" s="2" t="s">
        <v>1679</v>
      </c>
      <c r="G845" t="s">
        <v>111</v>
      </c>
      <c r="H845" s="2">
        <v>2</v>
      </c>
      <c r="I845" s="2" t="str" cm="1">
        <f t="array" ref="I845">_xlfn.XLOOKUP(F845,Customers!A844:$A$1001,Customers!B844:$B$1001,"Not Found",0)</f>
        <v>De Drewitt</v>
      </c>
      <c r="J845" s="2" t="str" cm="1">
        <f t="array" ref="J845">IF(_xlfn.XLOOKUP(F845,Customers!A844:$A$1001,Customers!C844:$C$1001,"Not Found",0)=0,"",_xlfn.XLOOKUP(F845,Customers!A844:$A$1001,Customers!C844:$C$1001,"Not Found",0))</f>
        <v>ddrewittnf@mapquest.com</v>
      </c>
      <c r="K845" s="2" t="str" cm="1">
        <f t="array" ref="K845">_xlfn.XLOOKUP(F845,Customers!A844:$A$1001,Customers!G844:$G$1001,"Not Found",0)</f>
        <v>United States</v>
      </c>
      <c r="L845" t="str">
        <f>INDEX(Products!$A$1:$G$49,MATCH(Orders!$G845,Products!$A$1:$A$49,0),MATCH(Orders!L$1,Products!$A$1:$G$1,0))</f>
        <v>Exc</v>
      </c>
      <c r="M845" t="str">
        <f>INDEX(Products!$A$1:$G$49,MATCH(Orders!$G845,Products!$A$1:$A$49,0),MATCH(Orders!M$1,Products!$A$1:$G$1,0))</f>
        <v>M</v>
      </c>
      <c r="N845" s="4">
        <f>INDEX(Products!$A$1:$G$49,MATCH(Orders!$G845,Products!$A$1:$A$49,0),MATCH(Orders!N$1,Products!$A$1:$G$1,0))</f>
        <v>0.2</v>
      </c>
      <c r="O845" s="7">
        <f>INDEX(Products!$A$1:$G$49,MATCH(Orders!$G845,Products!$A$1:$A$49,0),MATCH(Orders!O$1,Products!$A$1:$G$1,0))</f>
        <v>4.125</v>
      </c>
      <c r="P845" s="7">
        <f t="shared" si="13"/>
        <v>8.25</v>
      </c>
      <c r="Q845" t="str" cm="1">
        <f t="array" ref="Q845">_xlfn.IFS(L845="Rob","Robusta",L845="Exc", "Excelsa",L845="Ara", "Arabica",L845="Lib", "Liberica")</f>
        <v>Excelsa</v>
      </c>
      <c r="R845" t="str" cm="1">
        <f t="array" ref="R845">_xlfn.IFS(M845="M","Medium",M845="L","Light",M845="D","Dark")</f>
        <v>Medium</v>
      </c>
    </row>
    <row r="846" spans="1:18">
      <c r="A846" s="2" t="s">
        <v>1680</v>
      </c>
      <c r="B846" s="3">
        <v>44476</v>
      </c>
      <c r="C846" s="9">
        <f>YEAR(Orders_Table[[#This Row],[Order Date]])</f>
        <v>2021</v>
      </c>
      <c r="D846" s="9">
        <f>MONTH(Orders_Table[[#This Row],[Order Date]])</f>
        <v>10</v>
      </c>
      <c r="E846" s="9" t="str" cm="1">
        <f t="array" ref="E8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46" s="2" t="s">
        <v>1681</v>
      </c>
      <c r="G846" t="s">
        <v>119</v>
      </c>
      <c r="H846" s="2">
        <v>6</v>
      </c>
      <c r="I846" s="2" t="str" cm="1">
        <f t="array" ref="I846">_xlfn.XLOOKUP(F846,Customers!A845:$A$1001,Customers!B845:$B$1001,"Not Found",0)</f>
        <v>Adelheid Gladhill</v>
      </c>
      <c r="J846" s="2" t="str" cm="1">
        <f t="array" ref="J846">IF(_xlfn.XLOOKUP(F846,Customers!A845:$A$1001,Customers!C845:$C$1001,"Not Found",0)=0,"",_xlfn.XLOOKUP(F846,Customers!A845:$A$1001,Customers!C845:$C$1001,"Not Found",0))</f>
        <v>agladhillng@stanford.edu</v>
      </c>
      <c r="K846" s="2" t="str" cm="1">
        <f t="array" ref="K846">_xlfn.XLOOKUP(F846,Customers!A845:$A$1001,Customers!G845:$G$1001,"Not Found",0)</f>
        <v>United States</v>
      </c>
      <c r="L846" t="str">
        <f>INDEX(Products!$A$1:$G$49,MATCH(Orders!$G846,Products!$A$1:$A$49,0),MATCH(Orders!L$1,Products!$A$1:$G$1,0))</f>
        <v>Ara</v>
      </c>
      <c r="M846" t="str">
        <f>INDEX(Products!$A$1:$G$49,MATCH(Orders!$G846,Products!$A$1:$A$49,0),MATCH(Orders!M$1,Products!$A$1:$G$1,0))</f>
        <v>D</v>
      </c>
      <c r="N846" s="4">
        <f>INDEX(Products!$A$1:$G$49,MATCH(Orders!$G846,Products!$A$1:$A$49,0),MATCH(Orders!N$1,Products!$A$1:$G$1,0))</f>
        <v>0.5</v>
      </c>
      <c r="O846" s="7">
        <f>INDEX(Products!$A$1:$G$49,MATCH(Orders!$G846,Products!$A$1:$A$49,0),MATCH(Orders!O$1,Products!$A$1:$G$1,0))</f>
        <v>5.97</v>
      </c>
      <c r="P846" s="7">
        <f t="shared" si="13"/>
        <v>35.82</v>
      </c>
      <c r="Q846" t="str" cm="1">
        <f t="array" ref="Q846">_xlfn.IFS(L846="Rob","Robusta",L846="Exc", "Excelsa",L846="Ara", "Arabica",L846="Lib", "Liberica")</f>
        <v>Arabica</v>
      </c>
      <c r="R846" t="str" cm="1">
        <f t="array" ref="R846">_xlfn.IFS(M846="M","Medium",M846="L","Light",M846="D","Dark")</f>
        <v>Dark</v>
      </c>
    </row>
    <row r="847" spans="1:18">
      <c r="A847" s="2" t="s">
        <v>1682</v>
      </c>
      <c r="B847" s="3">
        <v>43889</v>
      </c>
      <c r="C847" s="9">
        <f>YEAR(Orders_Table[[#This Row],[Order Date]])</f>
        <v>2020</v>
      </c>
      <c r="D847" s="9">
        <f>MONTH(Orders_Table[[#This Row],[Order Date]])</f>
        <v>2</v>
      </c>
      <c r="E847" s="9" t="str" cm="1">
        <f t="array" ref="E8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47" s="2" t="s">
        <v>1683</v>
      </c>
      <c r="G847" t="s">
        <v>577</v>
      </c>
      <c r="H847" s="2">
        <v>6</v>
      </c>
      <c r="I847" s="2" t="str" cm="1">
        <f t="array" ref="I847">_xlfn.XLOOKUP(F847,Customers!A846:$A$1001,Customers!B846:$B$1001,"Not Found",0)</f>
        <v>Murielle Lorinez</v>
      </c>
      <c r="J847" s="2" t="str" cm="1">
        <f t="array" ref="J847">IF(_xlfn.XLOOKUP(F847,Customers!A846:$A$1001,Customers!C846:$C$1001,"Not Found",0)=0,"",_xlfn.XLOOKUP(F847,Customers!A846:$A$1001,Customers!C846:$C$1001,"Not Found",0))</f>
        <v>mlorineznh@whitehouse.gov</v>
      </c>
      <c r="K847" s="2" t="str" cm="1">
        <f t="array" ref="K847">_xlfn.XLOOKUP(F847,Customers!A846:$A$1001,Customers!G846:$G$1001,"Not Found",0)</f>
        <v>United States</v>
      </c>
      <c r="L847" t="str">
        <f>INDEX(Products!$A$1:$G$49,MATCH(Orders!$G847,Products!$A$1:$A$49,0),MATCH(Orders!L$1,Products!$A$1:$G$1,0))</f>
        <v>Exc</v>
      </c>
      <c r="M847" t="str">
        <f>INDEX(Products!$A$1:$G$49,MATCH(Orders!$G847,Products!$A$1:$A$49,0),MATCH(Orders!M$1,Products!$A$1:$G$1,0))</f>
        <v>D</v>
      </c>
      <c r="N847" s="4">
        <f>INDEX(Products!$A$1:$G$49,MATCH(Orders!$G847,Products!$A$1:$A$49,0),MATCH(Orders!N$1,Products!$A$1:$G$1,0))</f>
        <v>2.5</v>
      </c>
      <c r="O847" s="7">
        <f>INDEX(Products!$A$1:$G$49,MATCH(Orders!$G847,Products!$A$1:$A$49,0),MATCH(Orders!O$1,Products!$A$1:$G$1,0))</f>
        <v>27.945</v>
      </c>
      <c r="P847" s="7">
        <f t="shared" si="13"/>
        <v>167.67000000000002</v>
      </c>
      <c r="Q847" t="str" cm="1">
        <f t="array" ref="Q847">_xlfn.IFS(L847="Rob","Robusta",L847="Exc", "Excelsa",L847="Ara", "Arabica",L847="Lib", "Liberica")</f>
        <v>Excelsa</v>
      </c>
      <c r="R847" t="str" cm="1">
        <f t="array" ref="R847">_xlfn.IFS(M847="M","Medium",M847="L","Light",M847="D","Dark")</f>
        <v>Dark</v>
      </c>
    </row>
    <row r="848" spans="1:18">
      <c r="A848" s="2" t="s">
        <v>1684</v>
      </c>
      <c r="B848" s="3">
        <v>44747</v>
      </c>
      <c r="C848" s="9">
        <f>YEAR(Orders_Table[[#This Row],[Order Date]])</f>
        <v>2022</v>
      </c>
      <c r="D848" s="9">
        <f>MONTH(Orders_Table[[#This Row],[Order Date]])</f>
        <v>7</v>
      </c>
      <c r="E848" s="9" t="str" cm="1">
        <f t="array" ref="E8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48" s="2" t="s">
        <v>1685</v>
      </c>
      <c r="G848" t="s">
        <v>218</v>
      </c>
      <c r="H848" s="2">
        <v>2</v>
      </c>
      <c r="I848" s="2" t="str" cm="1">
        <f t="array" ref="I848">_xlfn.XLOOKUP(F848,Customers!A847:$A$1001,Customers!B847:$B$1001,"Not Found",0)</f>
        <v>Edin Mathe</v>
      </c>
      <c r="J848" s="2" t="str" cm="1">
        <f t="array" ref="J848">IF(_xlfn.XLOOKUP(F848,Customers!A847:$A$1001,Customers!C847:$C$1001,"Not Found",0)=0,"",_xlfn.XLOOKUP(F848,Customers!A847:$A$1001,Customers!C847:$C$1001,"Not Found",0))</f>
        <v/>
      </c>
      <c r="K848" s="2" t="str" cm="1">
        <f t="array" ref="K848">_xlfn.XLOOKUP(F848,Customers!A847:$A$1001,Customers!G847:$G$1001,"Not Found",0)</f>
        <v>United States</v>
      </c>
      <c r="L848" t="str">
        <f>INDEX(Products!$A$1:$G$49,MATCH(Orders!$G848,Products!$A$1:$A$49,0),MATCH(Orders!L$1,Products!$A$1:$G$1,0))</f>
        <v>Ara</v>
      </c>
      <c r="M848" t="str">
        <f>INDEX(Products!$A$1:$G$49,MATCH(Orders!$G848,Products!$A$1:$A$49,0),MATCH(Orders!M$1,Products!$A$1:$G$1,0))</f>
        <v>M</v>
      </c>
      <c r="N848" s="4">
        <f>INDEX(Products!$A$1:$G$49,MATCH(Orders!$G848,Products!$A$1:$A$49,0),MATCH(Orders!N$1,Products!$A$1:$G$1,0))</f>
        <v>2.5</v>
      </c>
      <c r="O848" s="7">
        <f>INDEX(Products!$A$1:$G$49,MATCH(Orders!$G848,Products!$A$1:$A$49,0),MATCH(Orders!O$1,Products!$A$1:$G$1,0))</f>
        <v>25.874999999999996</v>
      </c>
      <c r="P848" s="7">
        <f t="shared" si="13"/>
        <v>51.749999999999993</v>
      </c>
      <c r="Q848" t="str" cm="1">
        <f t="array" ref="Q848">_xlfn.IFS(L848="Rob","Robusta",L848="Exc", "Excelsa",L848="Ara", "Arabica",L848="Lib", "Liberica")</f>
        <v>Arabica</v>
      </c>
      <c r="R848" t="str" cm="1">
        <f t="array" ref="R848">_xlfn.IFS(M848="M","Medium",M848="L","Light",M848="D","Dark")</f>
        <v>Medium</v>
      </c>
    </row>
    <row r="849" spans="1:18">
      <c r="A849" s="2" t="s">
        <v>1686</v>
      </c>
      <c r="B849" s="3">
        <v>44460</v>
      </c>
      <c r="C849" s="9">
        <f>YEAR(Orders_Table[[#This Row],[Order Date]])</f>
        <v>2021</v>
      </c>
      <c r="D849" s="9">
        <f>MONTH(Orders_Table[[#This Row],[Order Date]])</f>
        <v>9</v>
      </c>
      <c r="E849" s="9" t="str" cm="1">
        <f t="array" ref="E8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49" s="2" t="s">
        <v>1687</v>
      </c>
      <c r="G849" t="s">
        <v>101</v>
      </c>
      <c r="H849" s="2">
        <v>3</v>
      </c>
      <c r="I849" s="2" t="str" cm="1">
        <f t="array" ref="I849">_xlfn.XLOOKUP(F849,Customers!A848:$A$1001,Customers!B848:$B$1001,"Not Found",0)</f>
        <v>Mordy Van Der Vlies</v>
      </c>
      <c r="J849" s="2" t="str" cm="1">
        <f t="array" ref="J849">IF(_xlfn.XLOOKUP(F849,Customers!A848:$A$1001,Customers!C848:$C$1001,"Not Found",0)=0,"",_xlfn.XLOOKUP(F849,Customers!A848:$A$1001,Customers!C848:$C$1001,"Not Found",0))</f>
        <v>mvannj@wikipedia.org</v>
      </c>
      <c r="K849" s="2" t="str" cm="1">
        <f t="array" ref="K849">_xlfn.XLOOKUP(F849,Customers!A848:$A$1001,Customers!G848:$G$1001,"Not Found",0)</f>
        <v>United States</v>
      </c>
      <c r="L849" t="str">
        <f>INDEX(Products!$A$1:$G$49,MATCH(Orders!$G849,Products!$A$1:$A$49,0),MATCH(Orders!L$1,Products!$A$1:$G$1,0))</f>
        <v>Ara</v>
      </c>
      <c r="M849" t="str">
        <f>INDEX(Products!$A$1:$G$49,MATCH(Orders!$G849,Products!$A$1:$A$49,0),MATCH(Orders!M$1,Products!$A$1:$G$1,0))</f>
        <v>D</v>
      </c>
      <c r="N849" s="4">
        <f>INDEX(Products!$A$1:$G$49,MATCH(Orders!$G849,Products!$A$1:$A$49,0),MATCH(Orders!N$1,Products!$A$1:$G$1,0))</f>
        <v>0.2</v>
      </c>
      <c r="O849" s="7">
        <f>INDEX(Products!$A$1:$G$49,MATCH(Orders!$G849,Products!$A$1:$A$49,0),MATCH(Orders!O$1,Products!$A$1:$G$1,0))</f>
        <v>2.9849999999999999</v>
      </c>
      <c r="P849" s="7">
        <f t="shared" si="13"/>
        <v>8.9550000000000001</v>
      </c>
      <c r="Q849" t="str" cm="1">
        <f t="array" ref="Q849">_xlfn.IFS(L849="Rob","Robusta",L849="Exc", "Excelsa",L849="Ara", "Arabica",L849="Lib", "Liberica")</f>
        <v>Arabica</v>
      </c>
      <c r="R849" t="str" cm="1">
        <f t="array" ref="R849">_xlfn.IFS(M849="M","Medium",M849="L","Light",M849="D","Dark")</f>
        <v>Dark</v>
      </c>
    </row>
    <row r="850" spans="1:18">
      <c r="A850" s="2" t="s">
        <v>1688</v>
      </c>
      <c r="B850" s="3">
        <v>43468</v>
      </c>
      <c r="C850" s="9">
        <f>YEAR(Orders_Table[[#This Row],[Order Date]])</f>
        <v>2019</v>
      </c>
      <c r="D850" s="9">
        <f>MONTH(Orders_Table[[#This Row],[Order Date]])</f>
        <v>1</v>
      </c>
      <c r="E850" s="9" t="str" cm="1">
        <f t="array" ref="E8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50" s="2" t="s">
        <v>1689</v>
      </c>
      <c r="G850" t="s">
        <v>223</v>
      </c>
      <c r="H850" s="2">
        <v>6</v>
      </c>
      <c r="I850" s="2" t="str" cm="1">
        <f t="array" ref="I850">_xlfn.XLOOKUP(F850,Customers!A849:$A$1001,Customers!B849:$B$1001,"Not Found",0)</f>
        <v>Spencer Wastell</v>
      </c>
      <c r="J850" s="2" t="str" cm="1">
        <f t="array" ref="J850">IF(_xlfn.XLOOKUP(F850,Customers!A849:$A$1001,Customers!C849:$C$1001,"Not Found",0)=0,"",_xlfn.XLOOKUP(F850,Customers!A849:$A$1001,Customers!C849:$C$1001,"Not Found",0))</f>
        <v/>
      </c>
      <c r="K850" s="2" t="str" cm="1">
        <f t="array" ref="K850">_xlfn.XLOOKUP(F850,Customers!A849:$A$1001,Customers!G849:$G$1001,"Not Found",0)</f>
        <v>United States</v>
      </c>
      <c r="L850" t="str">
        <f>INDEX(Products!$A$1:$G$49,MATCH(Orders!$G850,Products!$A$1:$A$49,0),MATCH(Orders!L$1,Products!$A$1:$G$1,0))</f>
        <v>Exc</v>
      </c>
      <c r="M850" t="str">
        <f>INDEX(Products!$A$1:$G$49,MATCH(Orders!$G850,Products!$A$1:$A$49,0),MATCH(Orders!M$1,Products!$A$1:$G$1,0))</f>
        <v>L</v>
      </c>
      <c r="N850" s="4">
        <f>INDEX(Products!$A$1:$G$49,MATCH(Orders!$G850,Products!$A$1:$A$49,0),MATCH(Orders!N$1,Products!$A$1:$G$1,0))</f>
        <v>0.5</v>
      </c>
      <c r="O850" s="7">
        <f>INDEX(Products!$A$1:$G$49,MATCH(Orders!$G850,Products!$A$1:$A$49,0),MATCH(Orders!O$1,Products!$A$1:$G$1,0))</f>
        <v>8.91</v>
      </c>
      <c r="P850" s="7">
        <f t="shared" si="13"/>
        <v>53.46</v>
      </c>
      <c r="Q850" t="str" cm="1">
        <f t="array" ref="Q850">_xlfn.IFS(L850="Rob","Robusta",L850="Exc", "Excelsa",L850="Ara", "Arabica",L850="Lib", "Liberica")</f>
        <v>Excelsa</v>
      </c>
      <c r="R850" t="str" cm="1">
        <f t="array" ref="R850">_xlfn.IFS(M850="M","Medium",M850="L","Light",M850="D","Dark")</f>
        <v>Light</v>
      </c>
    </row>
    <row r="851" spans="1:18">
      <c r="A851" s="2" t="s">
        <v>1690</v>
      </c>
      <c r="B851" s="3">
        <v>44628</v>
      </c>
      <c r="C851" s="9">
        <f>YEAR(Orders_Table[[#This Row],[Order Date]])</f>
        <v>2022</v>
      </c>
      <c r="D851" s="9">
        <f>MONTH(Orders_Table[[#This Row],[Order Date]])</f>
        <v>3</v>
      </c>
      <c r="E851" s="9" t="str" cm="1">
        <f t="array" ref="E8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51" s="2" t="s">
        <v>1691</v>
      </c>
      <c r="G851" t="s">
        <v>162</v>
      </c>
      <c r="H851" s="2">
        <v>6</v>
      </c>
      <c r="I851" s="2" t="str" cm="1">
        <f t="array" ref="I851">_xlfn.XLOOKUP(F851,Customers!A850:$A$1001,Customers!B850:$B$1001,"Not Found",0)</f>
        <v>Jemimah Ethelston</v>
      </c>
      <c r="J851" s="2" t="str" cm="1">
        <f t="array" ref="J851">IF(_xlfn.XLOOKUP(F851,Customers!A850:$A$1001,Customers!C850:$C$1001,"Not Found",0)=0,"",_xlfn.XLOOKUP(F851,Customers!A850:$A$1001,Customers!C850:$C$1001,"Not Found",0))</f>
        <v>jethelstonnl@creativecommons.org</v>
      </c>
      <c r="K851" s="2" t="str" cm="1">
        <f t="array" ref="K851">_xlfn.XLOOKUP(F851,Customers!A850:$A$1001,Customers!G850:$G$1001,"Not Found",0)</f>
        <v>United States</v>
      </c>
      <c r="L851" t="str">
        <f>INDEX(Products!$A$1:$G$49,MATCH(Orders!$G851,Products!$A$1:$A$49,0),MATCH(Orders!L$1,Products!$A$1:$G$1,0))</f>
        <v>Ara</v>
      </c>
      <c r="M851" t="str">
        <f>INDEX(Products!$A$1:$G$49,MATCH(Orders!$G851,Products!$A$1:$A$49,0),MATCH(Orders!M$1,Products!$A$1:$G$1,0))</f>
        <v>L</v>
      </c>
      <c r="N851" s="4">
        <f>INDEX(Products!$A$1:$G$49,MATCH(Orders!$G851,Products!$A$1:$A$49,0),MATCH(Orders!N$1,Products!$A$1:$G$1,0))</f>
        <v>0.2</v>
      </c>
      <c r="O851" s="7">
        <f>INDEX(Products!$A$1:$G$49,MATCH(Orders!$G851,Products!$A$1:$A$49,0),MATCH(Orders!O$1,Products!$A$1:$G$1,0))</f>
        <v>3.8849999999999998</v>
      </c>
      <c r="P851" s="7">
        <f t="shared" si="13"/>
        <v>23.31</v>
      </c>
      <c r="Q851" t="str" cm="1">
        <f t="array" ref="Q851">_xlfn.IFS(L851="Rob","Robusta",L851="Exc", "Excelsa",L851="Ara", "Arabica",L851="Lib", "Liberica")</f>
        <v>Arabica</v>
      </c>
      <c r="R851" t="str" cm="1">
        <f t="array" ref="R851">_xlfn.IFS(M851="M","Medium",M851="L","Light",M851="D","Dark")</f>
        <v>Light</v>
      </c>
    </row>
    <row r="852" spans="1:18">
      <c r="A852" s="2" t="s">
        <v>1690</v>
      </c>
      <c r="B852" s="3">
        <v>44628</v>
      </c>
      <c r="C852" s="9">
        <f>YEAR(Orders_Table[[#This Row],[Order Date]])</f>
        <v>2022</v>
      </c>
      <c r="D852" s="9">
        <f>MONTH(Orders_Table[[#This Row],[Order Date]])</f>
        <v>3</v>
      </c>
      <c r="E852" s="9" t="str" cm="1">
        <f t="array" ref="E8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52" s="2" t="s">
        <v>1691</v>
      </c>
      <c r="G852" t="s">
        <v>91</v>
      </c>
      <c r="H852" s="2">
        <v>2</v>
      </c>
      <c r="I852" s="2" t="str" cm="1">
        <f t="array" ref="I852">_xlfn.XLOOKUP(F852,Customers!A851:$A$1001,Customers!B851:$B$1001,"Not Found",0)</f>
        <v>Jemimah Ethelston</v>
      </c>
      <c r="J852" s="2" t="str" cm="1">
        <f t="array" ref="J852">IF(_xlfn.XLOOKUP(F852,Customers!A851:$A$1001,Customers!C851:$C$1001,"Not Found",0)=0,"",_xlfn.XLOOKUP(F852,Customers!A851:$A$1001,Customers!C851:$C$1001,"Not Found",0))</f>
        <v>jethelstonnl@creativecommons.org</v>
      </c>
      <c r="K852" s="2" t="str" cm="1">
        <f t="array" ref="K852">_xlfn.XLOOKUP(F852,Customers!A851:$A$1001,Customers!G851:$G$1001,"Not Found",0)</f>
        <v>United States</v>
      </c>
      <c r="L852" t="str">
        <f>INDEX(Products!$A$1:$G$49,MATCH(Orders!$G852,Products!$A$1:$A$49,0),MATCH(Orders!L$1,Products!$A$1:$G$1,0))</f>
        <v>Ara</v>
      </c>
      <c r="M852" t="str">
        <f>INDEX(Products!$A$1:$G$49,MATCH(Orders!$G852,Products!$A$1:$A$49,0),MATCH(Orders!M$1,Products!$A$1:$G$1,0))</f>
        <v>M</v>
      </c>
      <c r="N852" s="4">
        <f>INDEX(Products!$A$1:$G$49,MATCH(Orders!$G852,Products!$A$1:$A$49,0),MATCH(Orders!N$1,Products!$A$1:$G$1,0))</f>
        <v>0.2</v>
      </c>
      <c r="O852" s="7">
        <f>INDEX(Products!$A$1:$G$49,MATCH(Orders!$G852,Products!$A$1:$A$49,0),MATCH(Orders!O$1,Products!$A$1:$G$1,0))</f>
        <v>3.375</v>
      </c>
      <c r="P852" s="7">
        <f t="shared" si="13"/>
        <v>6.75</v>
      </c>
      <c r="Q852" t="str" cm="1">
        <f t="array" ref="Q852">_xlfn.IFS(L852="Rob","Robusta",L852="Exc", "Excelsa",L852="Ara", "Arabica",L852="Lib", "Liberica")</f>
        <v>Arabica</v>
      </c>
      <c r="R852" t="str" cm="1">
        <f t="array" ref="R852">_xlfn.IFS(M852="M","Medium",M852="L","Light",M852="D","Dark")</f>
        <v>Medium</v>
      </c>
    </row>
    <row r="853" spans="1:18">
      <c r="A853" s="2" t="s">
        <v>1692</v>
      </c>
      <c r="B853" s="3">
        <v>43900</v>
      </c>
      <c r="C853" s="9">
        <f>YEAR(Orders_Table[[#This Row],[Order Date]])</f>
        <v>2020</v>
      </c>
      <c r="D853" s="9">
        <f>MONTH(Orders_Table[[#This Row],[Order Date]])</f>
        <v>3</v>
      </c>
      <c r="E853" s="9" t="str" cm="1">
        <f t="array" ref="E8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53" s="2" t="s">
        <v>1693</v>
      </c>
      <c r="G853" t="s">
        <v>170</v>
      </c>
      <c r="H853" s="2">
        <v>1</v>
      </c>
      <c r="I853" s="2" t="str" cm="1">
        <f t="array" ref="I853">_xlfn.XLOOKUP(F853,Customers!A852:$A$1001,Customers!B852:$B$1001,"Not Found",0)</f>
        <v>Perice Eberz</v>
      </c>
      <c r="J853" s="2" t="str" cm="1">
        <f t="array" ref="J853">IF(_xlfn.XLOOKUP(F853,Customers!A852:$A$1001,Customers!C852:$C$1001,"Not Found",0)=0,"",_xlfn.XLOOKUP(F853,Customers!A852:$A$1001,Customers!C852:$C$1001,"Not Found",0))</f>
        <v>peberznn@woothemes.com</v>
      </c>
      <c r="K853" s="2" t="str" cm="1">
        <f t="array" ref="K853">_xlfn.XLOOKUP(F853,Customers!A852:$A$1001,Customers!G852:$G$1001,"Not Found",0)</f>
        <v>United States</v>
      </c>
      <c r="L853" t="str">
        <f>INDEX(Products!$A$1:$G$49,MATCH(Orders!$G853,Products!$A$1:$A$49,0),MATCH(Orders!L$1,Products!$A$1:$G$1,0))</f>
        <v>Lib</v>
      </c>
      <c r="M853" t="str">
        <f>INDEX(Products!$A$1:$G$49,MATCH(Orders!$G853,Products!$A$1:$A$49,0),MATCH(Orders!M$1,Products!$A$1:$G$1,0))</f>
        <v>D</v>
      </c>
      <c r="N853" s="4">
        <f>INDEX(Products!$A$1:$G$49,MATCH(Orders!$G853,Products!$A$1:$A$49,0),MATCH(Orders!N$1,Products!$A$1:$G$1,0))</f>
        <v>0.5</v>
      </c>
      <c r="O853" s="7">
        <f>INDEX(Products!$A$1:$G$49,MATCH(Orders!$G853,Products!$A$1:$A$49,0),MATCH(Orders!O$1,Products!$A$1:$G$1,0))</f>
        <v>7.77</v>
      </c>
      <c r="P853" s="7">
        <f t="shared" si="13"/>
        <v>7.77</v>
      </c>
      <c r="Q853" t="str" cm="1">
        <f t="array" ref="Q853">_xlfn.IFS(L853="Rob","Robusta",L853="Exc", "Excelsa",L853="Ara", "Arabica",L853="Lib", "Liberica")</f>
        <v>Liberica</v>
      </c>
      <c r="R853" t="str" cm="1">
        <f t="array" ref="R853">_xlfn.IFS(M853="M","Medium",M853="L","Light",M853="D","Dark")</f>
        <v>Dark</v>
      </c>
    </row>
    <row r="854" spans="1:18">
      <c r="A854" s="2" t="s">
        <v>1694</v>
      </c>
      <c r="B854" s="3">
        <v>44527</v>
      </c>
      <c r="C854" s="9">
        <f>YEAR(Orders_Table[[#This Row],[Order Date]])</f>
        <v>2021</v>
      </c>
      <c r="D854" s="9">
        <f>MONTH(Orders_Table[[#This Row],[Order Date]])</f>
        <v>11</v>
      </c>
      <c r="E854" s="9" t="str" cm="1">
        <f t="array" ref="E8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54" s="2" t="s">
        <v>1695</v>
      </c>
      <c r="G854" t="s">
        <v>156</v>
      </c>
      <c r="H854" s="2">
        <v>4</v>
      </c>
      <c r="I854" s="2" t="str" cm="1">
        <f t="array" ref="I854">_xlfn.XLOOKUP(F854,Customers!A853:$A$1001,Customers!B853:$B$1001,"Not Found",0)</f>
        <v>Bear Gaish</v>
      </c>
      <c r="J854" s="2" t="str" cm="1">
        <f t="array" ref="J854">IF(_xlfn.XLOOKUP(F854,Customers!A853:$A$1001,Customers!C853:$C$1001,"Not Found",0)=0,"",_xlfn.XLOOKUP(F854,Customers!A853:$A$1001,Customers!C853:$C$1001,"Not Found",0))</f>
        <v>bgaishno@altervista.org</v>
      </c>
      <c r="K854" s="2" t="str" cm="1">
        <f t="array" ref="K854">_xlfn.XLOOKUP(F854,Customers!A853:$A$1001,Customers!G853:$G$1001,"Not Found",0)</f>
        <v>United States</v>
      </c>
      <c r="L854" t="str">
        <f>INDEX(Products!$A$1:$G$49,MATCH(Orders!$G854,Products!$A$1:$A$49,0),MATCH(Orders!L$1,Products!$A$1:$G$1,0))</f>
        <v>Lib</v>
      </c>
      <c r="M854" t="str">
        <f>INDEX(Products!$A$1:$G$49,MATCH(Orders!$G854,Products!$A$1:$A$49,0),MATCH(Orders!M$1,Products!$A$1:$G$1,0))</f>
        <v>D</v>
      </c>
      <c r="N854" s="4">
        <f>INDEX(Products!$A$1:$G$49,MATCH(Orders!$G854,Products!$A$1:$A$49,0),MATCH(Orders!N$1,Products!$A$1:$G$1,0))</f>
        <v>2.5</v>
      </c>
      <c r="O854" s="7">
        <f>INDEX(Products!$A$1:$G$49,MATCH(Orders!$G854,Products!$A$1:$A$49,0),MATCH(Orders!O$1,Products!$A$1:$G$1,0))</f>
        <v>29.784999999999997</v>
      </c>
      <c r="P854" s="7">
        <f t="shared" si="13"/>
        <v>119.13999999999999</v>
      </c>
      <c r="Q854" t="str" cm="1">
        <f t="array" ref="Q854">_xlfn.IFS(L854="Rob","Robusta",L854="Exc", "Excelsa",L854="Ara", "Arabica",L854="Lib", "Liberica")</f>
        <v>Liberica</v>
      </c>
      <c r="R854" t="str" cm="1">
        <f t="array" ref="R854">_xlfn.IFS(M854="M","Medium",M854="L","Light",M854="D","Dark")</f>
        <v>Dark</v>
      </c>
    </row>
    <row r="855" spans="1:18">
      <c r="A855" s="2" t="s">
        <v>1696</v>
      </c>
      <c r="B855" s="3">
        <v>44259</v>
      </c>
      <c r="C855" s="9">
        <f>YEAR(Orders_Table[[#This Row],[Order Date]])</f>
        <v>2021</v>
      </c>
      <c r="D855" s="9">
        <f>MONTH(Orders_Table[[#This Row],[Order Date]])</f>
        <v>3</v>
      </c>
      <c r="E855" s="9" t="str" cm="1">
        <f t="array" ref="E8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55" s="2" t="s">
        <v>1697</v>
      </c>
      <c r="G855" t="s">
        <v>74</v>
      </c>
      <c r="H855" s="2">
        <v>2</v>
      </c>
      <c r="I855" s="2" t="str" cm="1">
        <f t="array" ref="I855">_xlfn.XLOOKUP(F855,Customers!A854:$A$1001,Customers!B854:$B$1001,"Not Found",0)</f>
        <v>Lynnea Danton</v>
      </c>
      <c r="J855" s="2" t="str" cm="1">
        <f t="array" ref="J855">IF(_xlfn.XLOOKUP(F855,Customers!A854:$A$1001,Customers!C854:$C$1001,"Not Found",0)=0,"",_xlfn.XLOOKUP(F855,Customers!A854:$A$1001,Customers!C854:$C$1001,"Not Found",0))</f>
        <v>ldantonnp@miitbeian.gov.cn</v>
      </c>
      <c r="K855" s="2" t="str" cm="1">
        <f t="array" ref="K855">_xlfn.XLOOKUP(F855,Customers!A854:$A$1001,Customers!G854:$G$1001,"Not Found",0)</f>
        <v>United States</v>
      </c>
      <c r="L855" t="str">
        <f>INDEX(Products!$A$1:$G$49,MATCH(Orders!$G855,Products!$A$1:$A$49,0),MATCH(Orders!L$1,Products!$A$1:$G$1,0))</f>
        <v>Ara</v>
      </c>
      <c r="M855" t="str">
        <f>INDEX(Products!$A$1:$G$49,MATCH(Orders!$G855,Products!$A$1:$A$49,0),MATCH(Orders!M$1,Products!$A$1:$G$1,0))</f>
        <v>D</v>
      </c>
      <c r="N855" s="4">
        <f>INDEX(Products!$A$1:$G$49,MATCH(Orders!$G855,Products!$A$1:$A$49,0),MATCH(Orders!N$1,Products!$A$1:$G$1,0))</f>
        <v>1</v>
      </c>
      <c r="O855" s="7">
        <f>INDEX(Products!$A$1:$G$49,MATCH(Orders!$G855,Products!$A$1:$A$49,0),MATCH(Orders!O$1,Products!$A$1:$G$1,0))</f>
        <v>9.9499999999999993</v>
      </c>
      <c r="P855" s="7">
        <f t="shared" si="13"/>
        <v>19.899999999999999</v>
      </c>
      <c r="Q855" t="str" cm="1">
        <f t="array" ref="Q855">_xlfn.IFS(L855="Rob","Robusta",L855="Exc", "Excelsa",L855="Ara", "Arabica",L855="Lib", "Liberica")</f>
        <v>Arabica</v>
      </c>
      <c r="R855" t="str" cm="1">
        <f t="array" ref="R855">_xlfn.IFS(M855="M","Medium",M855="L","Light",M855="D","Dark")</f>
        <v>Dark</v>
      </c>
    </row>
    <row r="856" spans="1:18">
      <c r="A856" s="2" t="s">
        <v>1698</v>
      </c>
      <c r="B856" s="3">
        <v>44516</v>
      </c>
      <c r="C856" s="9">
        <f>YEAR(Orders_Table[[#This Row],[Order Date]])</f>
        <v>2021</v>
      </c>
      <c r="D856" s="9">
        <f>MONTH(Orders_Table[[#This Row],[Order Date]])</f>
        <v>11</v>
      </c>
      <c r="E856" s="9" t="str" cm="1">
        <f t="array" ref="E8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56" s="2" t="s">
        <v>1699</v>
      </c>
      <c r="G856" t="s">
        <v>204</v>
      </c>
      <c r="H856" s="2">
        <v>5</v>
      </c>
      <c r="I856" s="2" t="str" cm="1">
        <f t="array" ref="I856">_xlfn.XLOOKUP(F856,Customers!A855:$A$1001,Customers!B855:$B$1001,"Not Found",0)</f>
        <v>Skipton Morrall</v>
      </c>
      <c r="J856" s="2" t="str" cm="1">
        <f t="array" ref="J856">IF(_xlfn.XLOOKUP(F856,Customers!A855:$A$1001,Customers!C855:$C$1001,"Not Found",0)=0,"",_xlfn.XLOOKUP(F856,Customers!A855:$A$1001,Customers!C855:$C$1001,"Not Found",0))</f>
        <v>smorrallnq@answers.com</v>
      </c>
      <c r="K856" s="2" t="str" cm="1">
        <f t="array" ref="K856">_xlfn.XLOOKUP(F856,Customers!A855:$A$1001,Customers!G855:$G$1001,"Not Found",0)</f>
        <v>United States</v>
      </c>
      <c r="L856" t="str">
        <f>INDEX(Products!$A$1:$G$49,MATCH(Orders!$G856,Products!$A$1:$A$49,0),MATCH(Orders!L$1,Products!$A$1:$G$1,0))</f>
        <v>Rob</v>
      </c>
      <c r="M856" t="str">
        <f>INDEX(Products!$A$1:$G$49,MATCH(Orders!$G856,Products!$A$1:$A$49,0),MATCH(Orders!M$1,Products!$A$1:$G$1,0))</f>
        <v>L</v>
      </c>
      <c r="N856" s="4">
        <f>INDEX(Products!$A$1:$G$49,MATCH(Orders!$G856,Products!$A$1:$A$49,0),MATCH(Orders!N$1,Products!$A$1:$G$1,0))</f>
        <v>0.5</v>
      </c>
      <c r="O856" s="7">
        <f>INDEX(Products!$A$1:$G$49,MATCH(Orders!$G856,Products!$A$1:$A$49,0),MATCH(Orders!O$1,Products!$A$1:$G$1,0))</f>
        <v>7.169999999999999</v>
      </c>
      <c r="P856" s="7">
        <f t="shared" si="13"/>
        <v>35.849999999999994</v>
      </c>
      <c r="Q856" t="str" cm="1">
        <f t="array" ref="Q856">_xlfn.IFS(L856="Rob","Robusta",L856="Exc", "Excelsa",L856="Ara", "Arabica",L856="Lib", "Liberica")</f>
        <v>Robusta</v>
      </c>
      <c r="R856" t="str" cm="1">
        <f t="array" ref="R856">_xlfn.IFS(M856="M","Medium",M856="L","Light",M856="D","Dark")</f>
        <v>Light</v>
      </c>
    </row>
    <row r="857" spans="1:18">
      <c r="A857" s="2" t="s">
        <v>1700</v>
      </c>
      <c r="B857" s="3">
        <v>43632</v>
      </c>
      <c r="C857" s="9">
        <f>YEAR(Orders_Table[[#This Row],[Order Date]])</f>
        <v>2019</v>
      </c>
      <c r="D857" s="9">
        <f>MONTH(Orders_Table[[#This Row],[Order Date]])</f>
        <v>6</v>
      </c>
      <c r="E857" s="9" t="str" cm="1">
        <f t="array" ref="E8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57" s="2" t="s">
        <v>1701</v>
      </c>
      <c r="G857" t="s">
        <v>156</v>
      </c>
      <c r="H857" s="2">
        <v>3</v>
      </c>
      <c r="I857" s="2" t="str" cm="1">
        <f t="array" ref="I857">_xlfn.XLOOKUP(F857,Customers!A856:$A$1001,Customers!B856:$B$1001,"Not Found",0)</f>
        <v>Devan Crownshaw</v>
      </c>
      <c r="J857" s="2" t="str" cm="1">
        <f t="array" ref="J857">IF(_xlfn.XLOOKUP(F857,Customers!A856:$A$1001,Customers!C856:$C$1001,"Not Found",0)=0,"",_xlfn.XLOOKUP(F857,Customers!A856:$A$1001,Customers!C856:$C$1001,"Not Found",0))</f>
        <v>dcrownshawnr@photobucket.com</v>
      </c>
      <c r="K857" s="2" t="str" cm="1">
        <f t="array" ref="K857">_xlfn.XLOOKUP(F857,Customers!A856:$A$1001,Customers!G856:$G$1001,"Not Found",0)</f>
        <v>United States</v>
      </c>
      <c r="L857" t="str">
        <f>INDEX(Products!$A$1:$G$49,MATCH(Orders!$G857,Products!$A$1:$A$49,0),MATCH(Orders!L$1,Products!$A$1:$G$1,0))</f>
        <v>Lib</v>
      </c>
      <c r="M857" t="str">
        <f>INDEX(Products!$A$1:$G$49,MATCH(Orders!$G857,Products!$A$1:$A$49,0),MATCH(Orders!M$1,Products!$A$1:$G$1,0))</f>
        <v>D</v>
      </c>
      <c r="N857" s="4">
        <f>INDEX(Products!$A$1:$G$49,MATCH(Orders!$G857,Products!$A$1:$A$49,0),MATCH(Orders!N$1,Products!$A$1:$G$1,0))</f>
        <v>2.5</v>
      </c>
      <c r="O857" s="7">
        <f>INDEX(Products!$A$1:$G$49,MATCH(Orders!$G857,Products!$A$1:$A$49,0),MATCH(Orders!O$1,Products!$A$1:$G$1,0))</f>
        <v>29.784999999999997</v>
      </c>
      <c r="P857" s="7">
        <f t="shared" si="13"/>
        <v>89.35499999999999</v>
      </c>
      <c r="Q857" t="str" cm="1">
        <f t="array" ref="Q857">_xlfn.IFS(L857="Rob","Robusta",L857="Exc", "Excelsa",L857="Ara", "Arabica",L857="Lib", "Liberica")</f>
        <v>Liberica</v>
      </c>
      <c r="R857" t="str" cm="1">
        <f t="array" ref="R857">_xlfn.IFS(M857="M","Medium",M857="L","Light",M857="D","Dark")</f>
        <v>Dark</v>
      </c>
    </row>
    <row r="858" spans="1:18">
      <c r="A858" s="2" t="s">
        <v>1702</v>
      </c>
      <c r="B858" s="3">
        <v>44031</v>
      </c>
      <c r="C858" s="9">
        <f>YEAR(Orders_Table[[#This Row],[Order Date]])</f>
        <v>2020</v>
      </c>
      <c r="D858" s="9">
        <f>MONTH(Orders_Table[[#This Row],[Order Date]])</f>
        <v>7</v>
      </c>
      <c r="E858" s="9" t="str" cm="1">
        <f t="array" ref="E8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58" s="2" t="s">
        <v>1647</v>
      </c>
      <c r="G858" t="s">
        <v>124</v>
      </c>
      <c r="H858" s="2">
        <v>2</v>
      </c>
      <c r="I858" s="2" t="str" cm="1">
        <f t="array" ref="I858">_xlfn.XLOOKUP(F858,Customers!A857:$A$1001,Customers!B857:$B$1001,"Not Found",0)</f>
        <v>Not Found</v>
      </c>
      <c r="J858" s="2" t="str" cm="1">
        <f t="array" ref="J858">IF(_xlfn.XLOOKUP(F858,Customers!A857:$A$1001,Customers!C857:$C$1001,"Not Found",0)=0,"",_xlfn.XLOOKUP(F858,Customers!A857:$A$1001,Customers!C857:$C$1001,"Not Found",0))</f>
        <v>Not Found</v>
      </c>
      <c r="K858" s="2" t="str" cm="1">
        <f t="array" ref="K858">_xlfn.XLOOKUP(F858,Customers!A857:$A$1001,Customers!G857:$G$1001,"Not Found",0)</f>
        <v>Not Found</v>
      </c>
      <c r="L858" t="str">
        <f>INDEX(Products!$A$1:$G$49,MATCH(Orders!$G858,Products!$A$1:$A$49,0),MATCH(Orders!L$1,Products!$A$1:$G$1,0))</f>
        <v>Lib</v>
      </c>
      <c r="M858" t="str">
        <f>INDEX(Products!$A$1:$G$49,MATCH(Orders!$G858,Products!$A$1:$A$49,0),MATCH(Orders!M$1,Products!$A$1:$G$1,0))</f>
        <v>M</v>
      </c>
      <c r="N858" s="4">
        <f>INDEX(Products!$A$1:$G$49,MATCH(Orders!$G858,Products!$A$1:$A$49,0),MATCH(Orders!N$1,Products!$A$1:$G$1,0))</f>
        <v>0.2</v>
      </c>
      <c r="O858" s="7">
        <f>INDEX(Products!$A$1:$G$49,MATCH(Orders!$G858,Products!$A$1:$A$49,0),MATCH(Orders!O$1,Products!$A$1:$G$1,0))</f>
        <v>4.3650000000000002</v>
      </c>
      <c r="P858" s="7">
        <f t="shared" si="13"/>
        <v>8.73</v>
      </c>
      <c r="Q858" t="str" cm="1">
        <f t="array" ref="Q858">_xlfn.IFS(L858="Rob","Robusta",L858="Exc", "Excelsa",L858="Ara", "Arabica",L858="Lib", "Liberica")</f>
        <v>Liberica</v>
      </c>
      <c r="R858" t="str" cm="1">
        <f t="array" ref="R858">_xlfn.IFS(M858="M","Medium",M858="L","Light",M858="D","Dark")</f>
        <v>Medium</v>
      </c>
    </row>
    <row r="859" spans="1:18">
      <c r="A859" s="2" t="s">
        <v>1703</v>
      </c>
      <c r="B859" s="3">
        <v>43889</v>
      </c>
      <c r="C859" s="9">
        <f>YEAR(Orders_Table[[#This Row],[Order Date]])</f>
        <v>2020</v>
      </c>
      <c r="D859" s="9">
        <f>MONTH(Orders_Table[[#This Row],[Order Date]])</f>
        <v>2</v>
      </c>
      <c r="E859" s="9" t="str" cm="1">
        <f t="array" ref="E8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59" s="2" t="s">
        <v>1704</v>
      </c>
      <c r="G859" t="s">
        <v>57</v>
      </c>
      <c r="H859" s="2">
        <v>5</v>
      </c>
      <c r="I859" s="2" t="str" cm="1">
        <f t="array" ref="I859">_xlfn.XLOOKUP(F859,Customers!A858:$A$1001,Customers!B858:$B$1001,"Not Found",0)</f>
        <v>Joceline Reddoch</v>
      </c>
      <c r="J859" s="2" t="str" cm="1">
        <f t="array" ref="J859">IF(_xlfn.XLOOKUP(F859,Customers!A858:$A$1001,Customers!C858:$C$1001,"Not Found",0)=0,"",_xlfn.XLOOKUP(F859,Customers!A858:$A$1001,Customers!C858:$C$1001,"Not Found",0))</f>
        <v>jreddochnt@sun.com</v>
      </c>
      <c r="K859" s="2" t="str" cm="1">
        <f t="array" ref="K859">_xlfn.XLOOKUP(F859,Customers!A858:$A$1001,Customers!G858:$G$1001,"Not Found",0)</f>
        <v>United States</v>
      </c>
      <c r="L859" t="str">
        <f>INDEX(Products!$A$1:$G$49,MATCH(Orders!$G859,Products!$A$1:$A$49,0),MATCH(Orders!L$1,Products!$A$1:$G$1,0))</f>
        <v>Rob</v>
      </c>
      <c r="M859" t="str">
        <f>INDEX(Products!$A$1:$G$49,MATCH(Orders!$G859,Products!$A$1:$A$49,0),MATCH(Orders!M$1,Products!$A$1:$G$1,0))</f>
        <v>L</v>
      </c>
      <c r="N859" s="4">
        <f>INDEX(Products!$A$1:$G$49,MATCH(Orders!$G859,Products!$A$1:$A$49,0),MATCH(Orders!N$1,Products!$A$1:$G$1,0))</f>
        <v>2.5</v>
      </c>
      <c r="O859" s="7">
        <f>INDEX(Products!$A$1:$G$49,MATCH(Orders!$G859,Products!$A$1:$A$49,0),MATCH(Orders!O$1,Products!$A$1:$G$1,0))</f>
        <v>27.484999999999996</v>
      </c>
      <c r="P859" s="7">
        <f t="shared" si="13"/>
        <v>137.42499999999998</v>
      </c>
      <c r="Q859" t="str" cm="1">
        <f t="array" ref="Q859">_xlfn.IFS(L859="Rob","Robusta",L859="Exc", "Excelsa",L859="Ara", "Arabica",L859="Lib", "Liberica")</f>
        <v>Robusta</v>
      </c>
      <c r="R859" t="str" cm="1">
        <f t="array" ref="R859">_xlfn.IFS(M859="M","Medium",M859="L","Light",M859="D","Dark")</f>
        <v>Light</v>
      </c>
    </row>
    <row r="860" spans="1:18">
      <c r="A860" s="2" t="s">
        <v>1705</v>
      </c>
      <c r="B860" s="3">
        <v>43638</v>
      </c>
      <c r="C860" s="9">
        <f>YEAR(Orders_Table[[#This Row],[Order Date]])</f>
        <v>2019</v>
      </c>
      <c r="D860" s="9">
        <f>MONTH(Orders_Table[[#This Row],[Order Date]])</f>
        <v>6</v>
      </c>
      <c r="E860" s="9" t="str" cm="1">
        <f t="array" ref="E8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60" s="2" t="s">
        <v>1706</v>
      </c>
      <c r="G860" t="s">
        <v>125</v>
      </c>
      <c r="H860" s="2">
        <v>4</v>
      </c>
      <c r="I860" s="2" t="str" cm="1">
        <f t="array" ref="I860">_xlfn.XLOOKUP(F860,Customers!A859:$A$1001,Customers!B859:$B$1001,"Not Found",0)</f>
        <v>Shelley Titley</v>
      </c>
      <c r="J860" s="2" t="str" cm="1">
        <f t="array" ref="J860">IF(_xlfn.XLOOKUP(F860,Customers!A859:$A$1001,Customers!C859:$C$1001,"Not Found",0)=0,"",_xlfn.XLOOKUP(F860,Customers!A859:$A$1001,Customers!C859:$C$1001,"Not Found",0))</f>
        <v>stitleynu@whitehouse.gov</v>
      </c>
      <c r="K860" s="2" t="str" cm="1">
        <f t="array" ref="K860">_xlfn.XLOOKUP(F860,Customers!A859:$A$1001,Customers!G859:$G$1001,"Not Found",0)</f>
        <v>United States</v>
      </c>
      <c r="L860" t="str">
        <f>INDEX(Products!$A$1:$G$49,MATCH(Orders!$G860,Products!$A$1:$A$49,0),MATCH(Orders!L$1,Products!$A$1:$G$1,0))</f>
        <v>Lib</v>
      </c>
      <c r="M860" t="str">
        <f>INDEX(Products!$A$1:$G$49,MATCH(Orders!$G860,Products!$A$1:$A$49,0),MATCH(Orders!M$1,Products!$A$1:$G$1,0))</f>
        <v>M</v>
      </c>
      <c r="N860" s="4">
        <f>INDEX(Products!$A$1:$G$49,MATCH(Orders!$G860,Products!$A$1:$A$49,0),MATCH(Orders!N$1,Products!$A$1:$G$1,0))</f>
        <v>0.5</v>
      </c>
      <c r="O860" s="7">
        <f>INDEX(Products!$A$1:$G$49,MATCH(Orders!$G860,Products!$A$1:$A$49,0),MATCH(Orders!O$1,Products!$A$1:$G$1,0))</f>
        <v>8.73</v>
      </c>
      <c r="P860" s="7">
        <f t="shared" si="13"/>
        <v>34.92</v>
      </c>
      <c r="Q860" t="str" cm="1">
        <f t="array" ref="Q860">_xlfn.IFS(L860="Rob","Robusta",L860="Exc", "Excelsa",L860="Ara", "Arabica",L860="Lib", "Liberica")</f>
        <v>Liberica</v>
      </c>
      <c r="R860" t="str" cm="1">
        <f t="array" ref="R860">_xlfn.IFS(M860="M","Medium",M860="L","Light",M860="D","Dark")</f>
        <v>Medium</v>
      </c>
    </row>
    <row r="861" spans="1:18">
      <c r="A861" s="2" t="s">
        <v>1707</v>
      </c>
      <c r="B861" s="3">
        <v>43716</v>
      </c>
      <c r="C861" s="9">
        <f>YEAR(Orders_Table[[#This Row],[Order Date]])</f>
        <v>2019</v>
      </c>
      <c r="D861" s="9">
        <f>MONTH(Orders_Table[[#This Row],[Order Date]])</f>
        <v>9</v>
      </c>
      <c r="E861" s="9" t="str" cm="1">
        <f t="array" ref="E8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61" s="2" t="s">
        <v>1708</v>
      </c>
      <c r="G861" t="s">
        <v>251</v>
      </c>
      <c r="H861" s="2">
        <v>6</v>
      </c>
      <c r="I861" s="2" t="str" cm="1">
        <f t="array" ref="I861">_xlfn.XLOOKUP(F861,Customers!A860:$A$1001,Customers!B860:$B$1001,"Not Found",0)</f>
        <v>Redd Simao</v>
      </c>
      <c r="J861" s="2" t="str" cm="1">
        <f t="array" ref="J861">IF(_xlfn.XLOOKUP(F861,Customers!A860:$A$1001,Customers!C860:$C$1001,"Not Found",0)=0,"",_xlfn.XLOOKUP(F861,Customers!A860:$A$1001,Customers!C860:$C$1001,"Not Found",0))</f>
        <v>rsimaonv@simplemachines.org</v>
      </c>
      <c r="K861" s="2" t="str" cm="1">
        <f t="array" ref="K861">_xlfn.XLOOKUP(F861,Customers!A860:$A$1001,Customers!G860:$G$1001,"Not Found",0)</f>
        <v>United States</v>
      </c>
      <c r="L861" t="str">
        <f>INDEX(Products!$A$1:$G$49,MATCH(Orders!$G861,Products!$A$1:$A$49,0),MATCH(Orders!L$1,Products!$A$1:$G$1,0))</f>
        <v>Ara</v>
      </c>
      <c r="M861" t="str">
        <f>INDEX(Products!$A$1:$G$49,MATCH(Orders!$G861,Products!$A$1:$A$49,0),MATCH(Orders!M$1,Products!$A$1:$G$1,0))</f>
        <v>L</v>
      </c>
      <c r="N861" s="4">
        <f>INDEX(Products!$A$1:$G$49,MATCH(Orders!$G861,Products!$A$1:$A$49,0),MATCH(Orders!N$1,Products!$A$1:$G$1,0))</f>
        <v>2.5</v>
      </c>
      <c r="O861" s="7">
        <f>INDEX(Products!$A$1:$G$49,MATCH(Orders!$G861,Products!$A$1:$A$49,0),MATCH(Orders!O$1,Products!$A$1:$G$1,0))</f>
        <v>29.784999999999997</v>
      </c>
      <c r="P861" s="7">
        <f t="shared" si="13"/>
        <v>178.70999999999998</v>
      </c>
      <c r="Q861" t="str" cm="1">
        <f t="array" ref="Q861">_xlfn.IFS(L861="Rob","Robusta",L861="Exc", "Excelsa",L861="Ara", "Arabica",L861="Lib", "Liberica")</f>
        <v>Arabica</v>
      </c>
      <c r="R861" t="str" cm="1">
        <f t="array" ref="R861">_xlfn.IFS(M861="M","Medium",M861="L","Light",M861="D","Dark")</f>
        <v>Light</v>
      </c>
    </row>
    <row r="862" spans="1:18">
      <c r="A862" s="2" t="s">
        <v>1709</v>
      </c>
      <c r="B862" s="3">
        <v>44707</v>
      </c>
      <c r="C862" s="9">
        <f>YEAR(Orders_Table[[#This Row],[Order Date]])</f>
        <v>2022</v>
      </c>
      <c r="D862" s="9">
        <f>MONTH(Orders_Table[[#This Row],[Order Date]])</f>
        <v>5</v>
      </c>
      <c r="E862" s="9" t="str" cm="1">
        <f t="array" ref="E8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862" s="2" t="s">
        <v>1710</v>
      </c>
      <c r="G862" t="s">
        <v>218</v>
      </c>
      <c r="H862" s="2">
        <v>1</v>
      </c>
      <c r="I862" s="2" t="str" cm="1">
        <f t="array" ref="I862">_xlfn.XLOOKUP(F862,Customers!A861:$A$1001,Customers!B861:$B$1001,"Not Found",0)</f>
        <v>Cece Inker</v>
      </c>
      <c r="J862" s="2" t="str" cm="1">
        <f t="array" ref="J862">IF(_xlfn.XLOOKUP(F862,Customers!A861:$A$1001,Customers!C861:$C$1001,"Not Found",0)=0,"",_xlfn.XLOOKUP(F862,Customers!A861:$A$1001,Customers!C861:$C$1001,"Not Found",0))</f>
        <v/>
      </c>
      <c r="K862" s="2" t="str" cm="1">
        <f t="array" ref="K862">_xlfn.XLOOKUP(F862,Customers!A861:$A$1001,Customers!G861:$G$1001,"Not Found",0)</f>
        <v>United States</v>
      </c>
      <c r="L862" t="str">
        <f>INDEX(Products!$A$1:$G$49,MATCH(Orders!$G862,Products!$A$1:$A$49,0),MATCH(Orders!L$1,Products!$A$1:$G$1,0))</f>
        <v>Ara</v>
      </c>
      <c r="M862" t="str">
        <f>INDEX(Products!$A$1:$G$49,MATCH(Orders!$G862,Products!$A$1:$A$49,0),MATCH(Orders!M$1,Products!$A$1:$G$1,0))</f>
        <v>M</v>
      </c>
      <c r="N862" s="4">
        <f>INDEX(Products!$A$1:$G$49,MATCH(Orders!$G862,Products!$A$1:$A$49,0),MATCH(Orders!N$1,Products!$A$1:$G$1,0))</f>
        <v>2.5</v>
      </c>
      <c r="O862" s="7">
        <f>INDEX(Products!$A$1:$G$49,MATCH(Orders!$G862,Products!$A$1:$A$49,0),MATCH(Orders!O$1,Products!$A$1:$G$1,0))</f>
        <v>25.874999999999996</v>
      </c>
      <c r="P862" s="7">
        <f t="shared" si="13"/>
        <v>25.874999999999996</v>
      </c>
      <c r="Q862" t="str" cm="1">
        <f t="array" ref="Q862">_xlfn.IFS(L862="Rob","Robusta",L862="Exc", "Excelsa",L862="Ara", "Arabica",L862="Lib", "Liberica")</f>
        <v>Arabica</v>
      </c>
      <c r="R862" t="str" cm="1">
        <f t="array" ref="R862">_xlfn.IFS(M862="M","Medium",M862="L","Light",M862="D","Dark")</f>
        <v>Medium</v>
      </c>
    </row>
    <row r="863" spans="1:18">
      <c r="A863" s="2" t="s">
        <v>1711</v>
      </c>
      <c r="B863" s="3">
        <v>43802</v>
      </c>
      <c r="C863" s="9">
        <f>YEAR(Orders_Table[[#This Row],[Order Date]])</f>
        <v>2019</v>
      </c>
      <c r="D863" s="9">
        <f>MONTH(Orders_Table[[#This Row],[Order Date]])</f>
        <v>12</v>
      </c>
      <c r="E863" s="9" t="str" cm="1">
        <f t="array" ref="E8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863" s="2" t="s">
        <v>1712</v>
      </c>
      <c r="G863" t="s">
        <v>60</v>
      </c>
      <c r="H863" s="2">
        <v>6</v>
      </c>
      <c r="I863" s="2" t="str" cm="1">
        <f t="array" ref="I863">_xlfn.XLOOKUP(F863,Customers!A862:$A$1001,Customers!B862:$B$1001,"Not Found",0)</f>
        <v>Noel Chisholm</v>
      </c>
      <c r="J863" s="2" t="str" cm="1">
        <f t="array" ref="J863">IF(_xlfn.XLOOKUP(F863,Customers!A862:$A$1001,Customers!C862:$C$1001,"Not Found",0)=0,"",_xlfn.XLOOKUP(F863,Customers!A862:$A$1001,Customers!C862:$C$1001,"Not Found",0))</f>
        <v>nchisholmnx@example.com</v>
      </c>
      <c r="K863" s="2" t="str" cm="1">
        <f t="array" ref="K863">_xlfn.XLOOKUP(F863,Customers!A862:$A$1001,Customers!G862:$G$1001,"Not Found",0)</f>
        <v>United States</v>
      </c>
      <c r="L863" t="str">
        <f>INDEX(Products!$A$1:$G$49,MATCH(Orders!$G863,Products!$A$1:$A$49,0),MATCH(Orders!L$1,Products!$A$1:$G$1,0))</f>
        <v>Lib</v>
      </c>
      <c r="M863" t="str">
        <f>INDEX(Products!$A$1:$G$49,MATCH(Orders!$G863,Products!$A$1:$A$49,0),MATCH(Orders!M$1,Products!$A$1:$G$1,0))</f>
        <v>D</v>
      </c>
      <c r="N863" s="4">
        <f>INDEX(Products!$A$1:$G$49,MATCH(Orders!$G863,Products!$A$1:$A$49,0),MATCH(Orders!N$1,Products!$A$1:$G$1,0))</f>
        <v>1</v>
      </c>
      <c r="O863" s="7">
        <f>INDEX(Products!$A$1:$G$49,MATCH(Orders!$G863,Products!$A$1:$A$49,0),MATCH(Orders!O$1,Products!$A$1:$G$1,0))</f>
        <v>12.95</v>
      </c>
      <c r="P863" s="7">
        <f t="shared" si="13"/>
        <v>77.699999999999989</v>
      </c>
      <c r="Q863" t="str" cm="1">
        <f t="array" ref="Q863">_xlfn.IFS(L863="Rob","Robusta",L863="Exc", "Excelsa",L863="Ara", "Arabica",L863="Lib", "Liberica")</f>
        <v>Liberica</v>
      </c>
      <c r="R863" t="str" cm="1">
        <f t="array" ref="R863">_xlfn.IFS(M863="M","Medium",M863="L","Light",M863="D","Dark")</f>
        <v>Dark</v>
      </c>
    </row>
    <row r="864" spans="1:18">
      <c r="A864" s="2" t="s">
        <v>1713</v>
      </c>
      <c r="B864" s="3">
        <v>43725</v>
      </c>
      <c r="C864" s="9">
        <f>YEAR(Orders_Table[[#This Row],[Order Date]])</f>
        <v>2019</v>
      </c>
      <c r="D864" s="9">
        <f>MONTH(Orders_Table[[#This Row],[Order Date]])</f>
        <v>9</v>
      </c>
      <c r="E864" s="9" t="str" cm="1">
        <f t="array" ref="E8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64" s="2" t="s">
        <v>1714</v>
      </c>
      <c r="G864" t="s">
        <v>49</v>
      </c>
      <c r="H864" s="2">
        <v>1</v>
      </c>
      <c r="I864" s="2" t="str" cm="1">
        <f t="array" ref="I864">_xlfn.XLOOKUP(F864,Customers!A863:$A$1001,Customers!B863:$B$1001,"Not Found",0)</f>
        <v>Grazia Oats</v>
      </c>
      <c r="J864" s="2" t="str" cm="1">
        <f t="array" ref="J864">IF(_xlfn.XLOOKUP(F864,Customers!A863:$A$1001,Customers!C863:$C$1001,"Not Found",0)=0,"",_xlfn.XLOOKUP(F864,Customers!A863:$A$1001,Customers!C863:$C$1001,"Not Found",0))</f>
        <v>goatsny@live.com</v>
      </c>
      <c r="K864" s="2" t="str" cm="1">
        <f t="array" ref="K864">_xlfn.XLOOKUP(F864,Customers!A863:$A$1001,Customers!G863:$G$1001,"Not Found",0)</f>
        <v>United States</v>
      </c>
      <c r="L864" t="str">
        <f>INDEX(Products!$A$1:$G$49,MATCH(Orders!$G864,Products!$A$1:$A$49,0),MATCH(Orders!L$1,Products!$A$1:$G$1,0))</f>
        <v>Rob</v>
      </c>
      <c r="M864" t="str">
        <f>INDEX(Products!$A$1:$G$49,MATCH(Orders!$G864,Products!$A$1:$A$49,0),MATCH(Orders!M$1,Products!$A$1:$G$1,0))</f>
        <v>M</v>
      </c>
      <c r="N864" s="4">
        <f>INDEX(Products!$A$1:$G$49,MATCH(Orders!$G864,Products!$A$1:$A$49,0),MATCH(Orders!N$1,Products!$A$1:$G$1,0))</f>
        <v>1</v>
      </c>
      <c r="O864" s="7">
        <f>INDEX(Products!$A$1:$G$49,MATCH(Orders!$G864,Products!$A$1:$A$49,0),MATCH(Orders!O$1,Products!$A$1:$G$1,0))</f>
        <v>9.9499999999999993</v>
      </c>
      <c r="P864" s="7">
        <f t="shared" si="13"/>
        <v>9.9499999999999993</v>
      </c>
      <c r="Q864" t="str" cm="1">
        <f t="array" ref="Q864">_xlfn.IFS(L864="Rob","Robusta",L864="Exc", "Excelsa",L864="Ara", "Arabica",L864="Lib", "Liberica")</f>
        <v>Robusta</v>
      </c>
      <c r="R864" t="str" cm="1">
        <f t="array" ref="R864">_xlfn.IFS(M864="M","Medium",M864="L","Light",M864="D","Dark")</f>
        <v>Medium</v>
      </c>
    </row>
    <row r="865" spans="1:18">
      <c r="A865" s="2" t="s">
        <v>1715</v>
      </c>
      <c r="B865" s="3">
        <v>44712</v>
      </c>
      <c r="C865" s="9">
        <f>YEAR(Orders_Table[[#This Row],[Order Date]])</f>
        <v>2022</v>
      </c>
      <c r="D865" s="9">
        <f>MONTH(Orders_Table[[#This Row],[Order Date]])</f>
        <v>5</v>
      </c>
      <c r="E865" s="9" t="str" cm="1">
        <f t="array" ref="E8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865" s="2" t="s">
        <v>1716</v>
      </c>
      <c r="G865" t="s">
        <v>143</v>
      </c>
      <c r="H865" s="2">
        <v>2</v>
      </c>
      <c r="I865" s="2" t="str" cm="1">
        <f t="array" ref="I865">_xlfn.XLOOKUP(F865,Customers!A864:$A$1001,Customers!B864:$B$1001,"Not Found",0)</f>
        <v>Meade Birkin</v>
      </c>
      <c r="J865" s="2" t="str" cm="1">
        <f t="array" ref="J865">IF(_xlfn.XLOOKUP(F865,Customers!A864:$A$1001,Customers!C864:$C$1001,"Not Found",0)=0,"",_xlfn.XLOOKUP(F865,Customers!A864:$A$1001,Customers!C864:$C$1001,"Not Found",0))</f>
        <v>mbirkinnz@java.com</v>
      </c>
      <c r="K865" s="2" t="str" cm="1">
        <f t="array" ref="K865">_xlfn.XLOOKUP(F865,Customers!A864:$A$1001,Customers!G864:$G$1001,"Not Found",0)</f>
        <v>United States</v>
      </c>
      <c r="L865" t="str">
        <f>INDEX(Products!$A$1:$G$49,MATCH(Orders!$G865,Products!$A$1:$A$49,0),MATCH(Orders!L$1,Products!$A$1:$G$1,0))</f>
        <v>Lib</v>
      </c>
      <c r="M865" t="str">
        <f>INDEX(Products!$A$1:$G$49,MATCH(Orders!$G865,Products!$A$1:$A$49,0),MATCH(Orders!M$1,Products!$A$1:$G$1,0))</f>
        <v>M</v>
      </c>
      <c r="N865" s="4">
        <f>INDEX(Products!$A$1:$G$49,MATCH(Orders!$G865,Products!$A$1:$A$49,0),MATCH(Orders!N$1,Products!$A$1:$G$1,0))</f>
        <v>1</v>
      </c>
      <c r="O865" s="7">
        <f>INDEX(Products!$A$1:$G$49,MATCH(Orders!$G865,Products!$A$1:$A$49,0),MATCH(Orders!O$1,Products!$A$1:$G$1,0))</f>
        <v>14.55</v>
      </c>
      <c r="P865" s="7">
        <f t="shared" si="13"/>
        <v>29.1</v>
      </c>
      <c r="Q865" t="str" cm="1">
        <f t="array" ref="Q865">_xlfn.IFS(L865="Rob","Robusta",L865="Exc", "Excelsa",L865="Ara", "Arabica",L865="Lib", "Liberica")</f>
        <v>Liberica</v>
      </c>
      <c r="R865" t="str" cm="1">
        <f t="array" ref="R865">_xlfn.IFS(M865="M","Medium",M865="L","Light",M865="D","Dark")</f>
        <v>Medium</v>
      </c>
    </row>
    <row r="866" spans="1:18">
      <c r="A866" s="2" t="s">
        <v>1717</v>
      </c>
      <c r="B866" s="3">
        <v>43759</v>
      </c>
      <c r="C866" s="9">
        <f>YEAR(Orders_Table[[#This Row],[Order Date]])</f>
        <v>2019</v>
      </c>
      <c r="D866" s="9">
        <f>MONTH(Orders_Table[[#This Row],[Order Date]])</f>
        <v>10</v>
      </c>
      <c r="E866" s="9" t="str" cm="1">
        <f t="array" ref="E8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866" s="2" t="s">
        <v>1718</v>
      </c>
      <c r="G866" t="s">
        <v>229</v>
      </c>
      <c r="H866" s="2">
        <v>6</v>
      </c>
      <c r="I866" s="2" t="str" cm="1">
        <f t="array" ref="I866">_xlfn.XLOOKUP(F866,Customers!A865:$A$1001,Customers!B865:$B$1001,"Not Found",0)</f>
        <v>Ronda Pyson</v>
      </c>
      <c r="J866" s="2" t="str" cm="1">
        <f t="array" ref="J866">IF(_xlfn.XLOOKUP(F866,Customers!A865:$A$1001,Customers!C865:$C$1001,"Not Found",0)=0,"",_xlfn.XLOOKUP(F866,Customers!A865:$A$1001,Customers!C865:$C$1001,"Not Found",0))</f>
        <v>rpysono0@constantcontact.com</v>
      </c>
      <c r="K866" s="2" t="str" cm="1">
        <f t="array" ref="K866">_xlfn.XLOOKUP(F866,Customers!A865:$A$1001,Customers!G865:$G$1001,"Not Found",0)</f>
        <v>Ireland</v>
      </c>
      <c r="L866" t="str">
        <f>INDEX(Products!$A$1:$G$49,MATCH(Orders!$G866,Products!$A$1:$A$49,0),MATCH(Orders!L$1,Products!$A$1:$G$1,0))</f>
        <v>Rob</v>
      </c>
      <c r="M866" t="str">
        <f>INDEX(Products!$A$1:$G$49,MATCH(Orders!$G866,Products!$A$1:$A$49,0),MATCH(Orders!M$1,Products!$A$1:$G$1,0))</f>
        <v>L</v>
      </c>
      <c r="N866" s="4">
        <f>INDEX(Products!$A$1:$G$49,MATCH(Orders!$G866,Products!$A$1:$A$49,0),MATCH(Orders!N$1,Products!$A$1:$G$1,0))</f>
        <v>0.2</v>
      </c>
      <c r="O866" s="7">
        <f>INDEX(Products!$A$1:$G$49,MATCH(Orders!$G866,Products!$A$1:$A$49,0),MATCH(Orders!O$1,Products!$A$1:$G$1,0))</f>
        <v>3.5849999999999995</v>
      </c>
      <c r="P866" s="7">
        <f t="shared" si="13"/>
        <v>21.509999999999998</v>
      </c>
      <c r="Q866" t="str" cm="1">
        <f t="array" ref="Q866">_xlfn.IFS(L866="Rob","Robusta",L866="Exc", "Excelsa",L866="Ara", "Arabica",L866="Lib", "Liberica")</f>
        <v>Robusta</v>
      </c>
      <c r="R866" t="str" cm="1">
        <f t="array" ref="R866">_xlfn.IFS(M866="M","Medium",M866="L","Light",M866="D","Dark")</f>
        <v>Light</v>
      </c>
    </row>
    <row r="867" spans="1:18">
      <c r="A867" s="2" t="s">
        <v>1719</v>
      </c>
      <c r="B867" s="3">
        <v>44675</v>
      </c>
      <c r="C867" s="9">
        <f>YEAR(Orders_Table[[#This Row],[Order Date]])</f>
        <v>2022</v>
      </c>
      <c r="D867" s="9">
        <f>MONTH(Orders_Table[[#This Row],[Order Date]])</f>
        <v>4</v>
      </c>
      <c r="E867" s="9" t="str" cm="1">
        <f t="array" ref="E8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67" s="2" t="s">
        <v>1720</v>
      </c>
      <c r="G867" t="s">
        <v>114</v>
      </c>
      <c r="H867" s="2">
        <v>1</v>
      </c>
      <c r="I867" s="2" t="str" cm="1">
        <f t="array" ref="I867">_xlfn.XLOOKUP(F867,Customers!A866:$A$1001,Customers!B866:$B$1001,"Not Found",0)</f>
        <v>Modesty MacConnechie</v>
      </c>
      <c r="J867" s="2" t="str" cm="1">
        <f t="array" ref="J867">IF(_xlfn.XLOOKUP(F867,Customers!A866:$A$1001,Customers!C866:$C$1001,"Not Found",0)=0,"",_xlfn.XLOOKUP(F867,Customers!A866:$A$1001,Customers!C866:$C$1001,"Not Found",0))</f>
        <v>mmacconnechieo9@reuters.com</v>
      </c>
      <c r="K867" s="2" t="str" cm="1">
        <f t="array" ref="K867">_xlfn.XLOOKUP(F867,Customers!A866:$A$1001,Customers!G866:$G$1001,"Not Found",0)</f>
        <v>United States</v>
      </c>
      <c r="L867" t="str">
        <f>INDEX(Products!$A$1:$G$49,MATCH(Orders!$G867,Products!$A$1:$A$49,0),MATCH(Orders!L$1,Products!$A$1:$G$1,0))</f>
        <v>Ara</v>
      </c>
      <c r="M867" t="str">
        <f>INDEX(Products!$A$1:$G$49,MATCH(Orders!$G867,Products!$A$1:$A$49,0),MATCH(Orders!M$1,Products!$A$1:$G$1,0))</f>
        <v>M</v>
      </c>
      <c r="N867" s="4">
        <f>INDEX(Products!$A$1:$G$49,MATCH(Orders!$G867,Products!$A$1:$A$49,0),MATCH(Orders!N$1,Products!$A$1:$G$1,0))</f>
        <v>0.5</v>
      </c>
      <c r="O867" s="7">
        <f>INDEX(Products!$A$1:$G$49,MATCH(Orders!$G867,Products!$A$1:$A$49,0),MATCH(Orders!O$1,Products!$A$1:$G$1,0))</f>
        <v>6.75</v>
      </c>
      <c r="P867" s="7">
        <f t="shared" si="13"/>
        <v>6.75</v>
      </c>
      <c r="Q867" t="str" cm="1">
        <f t="array" ref="Q867">_xlfn.IFS(L867="Rob","Robusta",L867="Exc", "Excelsa",L867="Ara", "Arabica",L867="Lib", "Liberica")</f>
        <v>Arabica</v>
      </c>
      <c r="R867" t="str" cm="1">
        <f t="array" ref="R867">_xlfn.IFS(M867="M","Medium",M867="L","Light",M867="D","Dark")</f>
        <v>Medium</v>
      </c>
    </row>
    <row r="868" spans="1:18">
      <c r="A868" s="2" t="s">
        <v>1721</v>
      </c>
      <c r="B868" s="3">
        <v>44209</v>
      </c>
      <c r="C868" s="9">
        <f>YEAR(Orders_Table[[#This Row],[Order Date]])</f>
        <v>2021</v>
      </c>
      <c r="D868" s="9">
        <f>MONTH(Orders_Table[[#This Row],[Order Date]])</f>
        <v>1</v>
      </c>
      <c r="E868" s="9" t="str" cm="1">
        <f t="array" ref="E8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68" s="2" t="s">
        <v>1722</v>
      </c>
      <c r="G868" t="s">
        <v>119</v>
      </c>
      <c r="H868" s="2">
        <v>3</v>
      </c>
      <c r="I868" s="2" t="str" cm="1">
        <f t="array" ref="I868">_xlfn.XLOOKUP(F868,Customers!A867:$A$1001,Customers!B867:$B$1001,"Not Found",0)</f>
        <v>Rafaela Treacher</v>
      </c>
      <c r="J868" s="2" t="str" cm="1">
        <f t="array" ref="J868">IF(_xlfn.XLOOKUP(F868,Customers!A867:$A$1001,Customers!C867:$C$1001,"Not Found",0)=0,"",_xlfn.XLOOKUP(F868,Customers!A867:$A$1001,Customers!C867:$C$1001,"Not Found",0))</f>
        <v>rtreachero2@usa.gov</v>
      </c>
      <c r="K868" s="2" t="str" cm="1">
        <f t="array" ref="K868">_xlfn.XLOOKUP(F868,Customers!A867:$A$1001,Customers!G867:$G$1001,"Not Found",0)</f>
        <v>Ireland</v>
      </c>
      <c r="L868" t="str">
        <f>INDEX(Products!$A$1:$G$49,MATCH(Orders!$G868,Products!$A$1:$A$49,0),MATCH(Orders!L$1,Products!$A$1:$G$1,0))</f>
        <v>Ara</v>
      </c>
      <c r="M868" t="str">
        <f>INDEX(Products!$A$1:$G$49,MATCH(Orders!$G868,Products!$A$1:$A$49,0),MATCH(Orders!M$1,Products!$A$1:$G$1,0))</f>
        <v>D</v>
      </c>
      <c r="N868" s="4">
        <f>INDEX(Products!$A$1:$G$49,MATCH(Orders!$G868,Products!$A$1:$A$49,0),MATCH(Orders!N$1,Products!$A$1:$G$1,0))</f>
        <v>0.5</v>
      </c>
      <c r="O868" s="7">
        <f>INDEX(Products!$A$1:$G$49,MATCH(Orders!$G868,Products!$A$1:$A$49,0),MATCH(Orders!O$1,Products!$A$1:$G$1,0))</f>
        <v>5.97</v>
      </c>
      <c r="P868" s="7">
        <f t="shared" si="13"/>
        <v>17.91</v>
      </c>
      <c r="Q868" t="str" cm="1">
        <f t="array" ref="Q868">_xlfn.IFS(L868="Rob","Robusta",L868="Exc", "Excelsa",L868="Ara", "Arabica",L868="Lib", "Liberica")</f>
        <v>Arabica</v>
      </c>
      <c r="R868" t="str" cm="1">
        <f t="array" ref="R868">_xlfn.IFS(M868="M","Medium",M868="L","Light",M868="D","Dark")</f>
        <v>Dark</v>
      </c>
    </row>
    <row r="869" spans="1:18">
      <c r="A869" s="2" t="s">
        <v>1723</v>
      </c>
      <c r="B869" s="3">
        <v>44792</v>
      </c>
      <c r="C869" s="9">
        <f>YEAR(Orders_Table[[#This Row],[Order Date]])</f>
        <v>2022</v>
      </c>
      <c r="D869" s="9">
        <f>MONTH(Orders_Table[[#This Row],[Order Date]])</f>
        <v>8</v>
      </c>
      <c r="E869" s="9" t="str" cm="1">
        <f t="array" ref="E8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69" s="2" t="s">
        <v>1724</v>
      </c>
      <c r="G869" t="s">
        <v>251</v>
      </c>
      <c r="H869" s="2">
        <v>1</v>
      </c>
      <c r="I869" s="2" t="str" cm="1">
        <f t="array" ref="I869">_xlfn.XLOOKUP(F869,Customers!A868:$A$1001,Customers!B868:$B$1001,"Not Found",0)</f>
        <v>Bee Fattorini</v>
      </c>
      <c r="J869" s="2" t="str" cm="1">
        <f t="array" ref="J869">IF(_xlfn.XLOOKUP(F869,Customers!A868:$A$1001,Customers!C868:$C$1001,"Not Found",0)=0,"",_xlfn.XLOOKUP(F869,Customers!A868:$A$1001,Customers!C868:$C$1001,"Not Found",0))</f>
        <v>bfattorinio3@quantcast.com</v>
      </c>
      <c r="K869" s="2" t="str" cm="1">
        <f t="array" ref="K869">_xlfn.XLOOKUP(F869,Customers!A868:$A$1001,Customers!G868:$G$1001,"Not Found",0)</f>
        <v>Ireland</v>
      </c>
      <c r="L869" t="str">
        <f>INDEX(Products!$A$1:$G$49,MATCH(Orders!$G869,Products!$A$1:$A$49,0),MATCH(Orders!L$1,Products!$A$1:$G$1,0))</f>
        <v>Ara</v>
      </c>
      <c r="M869" t="str">
        <f>INDEX(Products!$A$1:$G$49,MATCH(Orders!$G869,Products!$A$1:$A$49,0),MATCH(Orders!M$1,Products!$A$1:$G$1,0))</f>
        <v>L</v>
      </c>
      <c r="N869" s="4">
        <f>INDEX(Products!$A$1:$G$49,MATCH(Orders!$G869,Products!$A$1:$A$49,0),MATCH(Orders!N$1,Products!$A$1:$G$1,0))</f>
        <v>2.5</v>
      </c>
      <c r="O869" s="7">
        <f>INDEX(Products!$A$1:$G$49,MATCH(Orders!$G869,Products!$A$1:$A$49,0),MATCH(Orders!O$1,Products!$A$1:$G$1,0))</f>
        <v>29.784999999999997</v>
      </c>
      <c r="P869" s="7">
        <f t="shared" si="13"/>
        <v>29.784999999999997</v>
      </c>
      <c r="Q869" t="str" cm="1">
        <f t="array" ref="Q869">_xlfn.IFS(L869="Rob","Robusta",L869="Exc", "Excelsa",L869="Ara", "Arabica",L869="Lib", "Liberica")</f>
        <v>Arabica</v>
      </c>
      <c r="R869" t="str" cm="1">
        <f t="array" ref="R869">_xlfn.IFS(M869="M","Medium",M869="L","Light",M869="D","Dark")</f>
        <v>Light</v>
      </c>
    </row>
    <row r="870" spans="1:18">
      <c r="A870" s="2" t="s">
        <v>1725</v>
      </c>
      <c r="B870" s="3">
        <v>43526</v>
      </c>
      <c r="C870" s="9">
        <f>YEAR(Orders_Table[[#This Row],[Order Date]])</f>
        <v>2019</v>
      </c>
      <c r="D870" s="9">
        <f>MONTH(Orders_Table[[#This Row],[Order Date]])</f>
        <v>3</v>
      </c>
      <c r="E870" s="9" t="str" cm="1">
        <f t="array" ref="E8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70" s="2" t="s">
        <v>1726</v>
      </c>
      <c r="G870" t="s">
        <v>50</v>
      </c>
      <c r="H870" s="2">
        <v>5</v>
      </c>
      <c r="I870" s="2" t="str" cm="1">
        <f t="array" ref="I870">_xlfn.XLOOKUP(F870,Customers!A869:$A$1001,Customers!B869:$B$1001,"Not Found",0)</f>
        <v>Margie Palleske</v>
      </c>
      <c r="J870" s="2" t="str" cm="1">
        <f t="array" ref="J870">IF(_xlfn.XLOOKUP(F870,Customers!A869:$A$1001,Customers!C869:$C$1001,"Not Found",0)=0,"",_xlfn.XLOOKUP(F870,Customers!A869:$A$1001,Customers!C869:$C$1001,"Not Found",0))</f>
        <v>mpalleskeo4@nyu.edu</v>
      </c>
      <c r="K870" s="2" t="str" cm="1">
        <f t="array" ref="K870">_xlfn.XLOOKUP(F870,Customers!A869:$A$1001,Customers!G869:$G$1001,"Not Found",0)</f>
        <v>United States</v>
      </c>
      <c r="L870" t="str">
        <f>INDEX(Products!$A$1:$G$49,MATCH(Orders!$G870,Products!$A$1:$A$49,0),MATCH(Orders!L$1,Products!$A$1:$G$1,0))</f>
        <v>Exc</v>
      </c>
      <c r="M870" t="str">
        <f>INDEX(Products!$A$1:$G$49,MATCH(Orders!$G870,Products!$A$1:$A$49,0),MATCH(Orders!M$1,Products!$A$1:$G$1,0))</f>
        <v>M</v>
      </c>
      <c r="N870" s="4">
        <f>INDEX(Products!$A$1:$G$49,MATCH(Orders!$G870,Products!$A$1:$A$49,0),MATCH(Orders!N$1,Products!$A$1:$G$1,0))</f>
        <v>0.5</v>
      </c>
      <c r="O870" s="7">
        <f>INDEX(Products!$A$1:$G$49,MATCH(Orders!$G870,Products!$A$1:$A$49,0),MATCH(Orders!O$1,Products!$A$1:$G$1,0))</f>
        <v>8.25</v>
      </c>
      <c r="P870" s="7">
        <f t="shared" si="13"/>
        <v>41.25</v>
      </c>
      <c r="Q870" t="str" cm="1">
        <f t="array" ref="Q870">_xlfn.IFS(L870="Rob","Robusta",L870="Exc", "Excelsa",L870="Ara", "Arabica",L870="Lib", "Liberica")</f>
        <v>Excelsa</v>
      </c>
      <c r="R870" t="str" cm="1">
        <f t="array" ref="R870">_xlfn.IFS(M870="M","Medium",M870="L","Light",M870="D","Dark")</f>
        <v>Medium</v>
      </c>
    </row>
    <row r="871" spans="1:18">
      <c r="A871" s="2" t="s">
        <v>1727</v>
      </c>
      <c r="B871" s="3">
        <v>43851</v>
      </c>
      <c r="C871" s="9">
        <f>YEAR(Orders_Table[[#This Row],[Order Date]])</f>
        <v>2020</v>
      </c>
      <c r="D871" s="9">
        <f>MONTH(Orders_Table[[#This Row],[Order Date]])</f>
        <v>1</v>
      </c>
      <c r="E871" s="9" t="str" cm="1">
        <f t="array" ref="E8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871" s="2" t="s">
        <v>1728</v>
      </c>
      <c r="G871" t="s">
        <v>69</v>
      </c>
      <c r="H871" s="2">
        <v>3</v>
      </c>
      <c r="I871" s="2" t="str" cm="1">
        <f t="array" ref="I871">_xlfn.XLOOKUP(F871,Customers!A870:$A$1001,Customers!B870:$B$1001,"Not Found",0)</f>
        <v>Alexina Randals</v>
      </c>
      <c r="J871" s="2" t="str" cm="1">
        <f t="array" ref="J871">IF(_xlfn.XLOOKUP(F871,Customers!A870:$A$1001,Customers!C870:$C$1001,"Not Found",0)=0,"",_xlfn.XLOOKUP(F871,Customers!A870:$A$1001,Customers!C870:$C$1001,"Not Found",0))</f>
        <v/>
      </c>
      <c r="K871" s="2" t="str" cm="1">
        <f t="array" ref="K871">_xlfn.XLOOKUP(F871,Customers!A870:$A$1001,Customers!G870:$G$1001,"Not Found",0)</f>
        <v>United States</v>
      </c>
      <c r="L871" t="str">
        <f>INDEX(Products!$A$1:$G$49,MATCH(Orders!$G871,Products!$A$1:$A$49,0),MATCH(Orders!L$1,Products!$A$1:$G$1,0))</f>
        <v>Rob</v>
      </c>
      <c r="M871" t="str">
        <f>INDEX(Products!$A$1:$G$49,MATCH(Orders!$G871,Products!$A$1:$A$49,0),MATCH(Orders!M$1,Products!$A$1:$G$1,0))</f>
        <v>M</v>
      </c>
      <c r="N871" s="4">
        <f>INDEX(Products!$A$1:$G$49,MATCH(Orders!$G871,Products!$A$1:$A$49,0),MATCH(Orders!N$1,Products!$A$1:$G$1,0))</f>
        <v>0.5</v>
      </c>
      <c r="O871" s="7">
        <f>INDEX(Products!$A$1:$G$49,MATCH(Orders!$G871,Products!$A$1:$A$49,0),MATCH(Orders!O$1,Products!$A$1:$G$1,0))</f>
        <v>5.97</v>
      </c>
      <c r="P871" s="7">
        <f t="shared" si="13"/>
        <v>17.91</v>
      </c>
      <c r="Q871" t="str" cm="1">
        <f t="array" ref="Q871">_xlfn.IFS(L871="Rob","Robusta",L871="Exc", "Excelsa",L871="Ara", "Arabica",L871="Lib", "Liberica")</f>
        <v>Robusta</v>
      </c>
      <c r="R871" t="str" cm="1">
        <f t="array" ref="R871">_xlfn.IFS(M871="M","Medium",M871="L","Light",M871="D","Dark")</f>
        <v>Medium</v>
      </c>
    </row>
    <row r="872" spans="1:18">
      <c r="A872" s="2" t="s">
        <v>1729</v>
      </c>
      <c r="B872" s="3">
        <v>44460</v>
      </c>
      <c r="C872" s="9">
        <f>YEAR(Orders_Table[[#This Row],[Order Date]])</f>
        <v>2021</v>
      </c>
      <c r="D872" s="9">
        <f>MONTH(Orders_Table[[#This Row],[Order Date]])</f>
        <v>9</v>
      </c>
      <c r="E872" s="9" t="str" cm="1">
        <f t="array" ref="E8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72" s="2" t="s">
        <v>1730</v>
      </c>
      <c r="G872" t="s">
        <v>63</v>
      </c>
      <c r="H872" s="2">
        <v>1</v>
      </c>
      <c r="I872" s="2" t="str" cm="1">
        <f t="array" ref="I872">_xlfn.XLOOKUP(F872,Customers!A871:$A$1001,Customers!B871:$B$1001,"Not Found",0)</f>
        <v>Filip Antcliffe</v>
      </c>
      <c r="J872" s="2" t="str" cm="1">
        <f t="array" ref="J872">IF(_xlfn.XLOOKUP(F872,Customers!A871:$A$1001,Customers!C871:$C$1001,"Not Found",0)=0,"",_xlfn.XLOOKUP(F872,Customers!A871:$A$1001,Customers!C871:$C$1001,"Not Found",0))</f>
        <v>fantcliffeo6@amazon.co.jp</v>
      </c>
      <c r="K872" s="2" t="str" cm="1">
        <f t="array" ref="K872">_xlfn.XLOOKUP(F872,Customers!A871:$A$1001,Customers!G871:$G$1001,"Not Found",0)</f>
        <v>Ireland</v>
      </c>
      <c r="L872" t="str">
        <f>INDEX(Products!$A$1:$G$49,MATCH(Orders!$G872,Products!$A$1:$A$49,0),MATCH(Orders!L$1,Products!$A$1:$G$1,0))</f>
        <v>Exc</v>
      </c>
      <c r="M872" t="str">
        <f>INDEX(Products!$A$1:$G$49,MATCH(Orders!$G872,Products!$A$1:$A$49,0),MATCH(Orders!M$1,Products!$A$1:$G$1,0))</f>
        <v>D</v>
      </c>
      <c r="N872" s="4">
        <f>INDEX(Products!$A$1:$G$49,MATCH(Orders!$G872,Products!$A$1:$A$49,0),MATCH(Orders!N$1,Products!$A$1:$G$1,0))</f>
        <v>0.5</v>
      </c>
      <c r="O872" s="7">
        <f>INDEX(Products!$A$1:$G$49,MATCH(Orders!$G872,Products!$A$1:$A$49,0),MATCH(Orders!O$1,Products!$A$1:$G$1,0))</f>
        <v>7.29</v>
      </c>
      <c r="P872" s="7">
        <f t="shared" si="13"/>
        <v>7.29</v>
      </c>
      <c r="Q872" t="str" cm="1">
        <f t="array" ref="Q872">_xlfn.IFS(L872="Rob","Robusta",L872="Exc", "Excelsa",L872="Ara", "Arabica",L872="Lib", "Liberica")</f>
        <v>Excelsa</v>
      </c>
      <c r="R872" t="str" cm="1">
        <f t="array" ref="R872">_xlfn.IFS(M872="M","Medium",M872="L","Light",M872="D","Dark")</f>
        <v>Dark</v>
      </c>
    </row>
    <row r="873" spans="1:18">
      <c r="A873" s="2" t="s">
        <v>1731</v>
      </c>
      <c r="B873" s="3">
        <v>43707</v>
      </c>
      <c r="C873" s="9">
        <f>YEAR(Orders_Table[[#This Row],[Order Date]])</f>
        <v>2019</v>
      </c>
      <c r="D873" s="9">
        <f>MONTH(Orders_Table[[#This Row],[Order Date]])</f>
        <v>8</v>
      </c>
      <c r="E873" s="9" t="str" cm="1">
        <f t="array" ref="E8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73" s="2" t="s">
        <v>1732</v>
      </c>
      <c r="G873" t="s">
        <v>184</v>
      </c>
      <c r="H873" s="2">
        <v>2</v>
      </c>
      <c r="I873" s="2" t="str" cm="1">
        <f t="array" ref="I873">_xlfn.XLOOKUP(F873,Customers!A872:$A$1001,Customers!B872:$B$1001,"Not Found",0)</f>
        <v>Peyter Matignon</v>
      </c>
      <c r="J873" s="2" t="str" cm="1">
        <f t="array" ref="J873">IF(_xlfn.XLOOKUP(F873,Customers!A872:$A$1001,Customers!C872:$C$1001,"Not Found",0)=0,"",_xlfn.XLOOKUP(F873,Customers!A872:$A$1001,Customers!C872:$C$1001,"Not Found",0))</f>
        <v>pmatignono7@harvard.edu</v>
      </c>
      <c r="K873" s="2" t="str" cm="1">
        <f t="array" ref="K873">_xlfn.XLOOKUP(F873,Customers!A872:$A$1001,Customers!G872:$G$1001,"Not Found",0)</f>
        <v>United Kingdom</v>
      </c>
      <c r="L873" t="str">
        <f>INDEX(Products!$A$1:$G$49,MATCH(Orders!$G873,Products!$A$1:$A$49,0),MATCH(Orders!L$1,Products!$A$1:$G$1,0))</f>
        <v>Exc</v>
      </c>
      <c r="M873" t="str">
        <f>INDEX(Products!$A$1:$G$49,MATCH(Orders!$G873,Products!$A$1:$A$49,0),MATCH(Orders!M$1,Products!$A$1:$G$1,0))</f>
        <v>L</v>
      </c>
      <c r="N873" s="4">
        <f>INDEX(Products!$A$1:$G$49,MATCH(Orders!$G873,Products!$A$1:$A$49,0),MATCH(Orders!N$1,Products!$A$1:$G$1,0))</f>
        <v>1</v>
      </c>
      <c r="O873" s="7">
        <f>INDEX(Products!$A$1:$G$49,MATCH(Orders!$G873,Products!$A$1:$A$49,0),MATCH(Orders!O$1,Products!$A$1:$G$1,0))</f>
        <v>14.85</v>
      </c>
      <c r="P873" s="7">
        <f t="shared" si="13"/>
        <v>29.7</v>
      </c>
      <c r="Q873" t="str" cm="1">
        <f t="array" ref="Q873">_xlfn.IFS(L873="Rob","Robusta",L873="Exc", "Excelsa",L873="Ara", "Arabica",L873="Lib", "Liberica")</f>
        <v>Excelsa</v>
      </c>
      <c r="R873" t="str" cm="1">
        <f t="array" ref="R873">_xlfn.IFS(M873="M","Medium",M873="L","Light",M873="D","Dark")</f>
        <v>Light</v>
      </c>
    </row>
    <row r="874" spans="1:18">
      <c r="A874" s="2" t="s">
        <v>1733</v>
      </c>
      <c r="B874" s="3">
        <v>43521</v>
      </c>
      <c r="C874" s="9">
        <f>YEAR(Orders_Table[[#This Row],[Order Date]])</f>
        <v>2019</v>
      </c>
      <c r="D874" s="9">
        <f>MONTH(Orders_Table[[#This Row],[Order Date]])</f>
        <v>2</v>
      </c>
      <c r="E874" s="9" t="str" cm="1">
        <f t="array" ref="E8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74" s="2" t="s">
        <v>1734</v>
      </c>
      <c r="G874" t="s">
        <v>108</v>
      </c>
      <c r="H874" s="2">
        <v>2</v>
      </c>
      <c r="I874" s="2" t="str" cm="1">
        <f t="array" ref="I874">_xlfn.XLOOKUP(F874,Customers!A873:$A$1001,Customers!B873:$B$1001,"Not Found",0)</f>
        <v>Claudie Weond</v>
      </c>
      <c r="J874" s="2" t="str" cm="1">
        <f t="array" ref="J874">IF(_xlfn.XLOOKUP(F874,Customers!A873:$A$1001,Customers!C873:$C$1001,"Not Found",0)=0,"",_xlfn.XLOOKUP(F874,Customers!A873:$A$1001,Customers!C873:$C$1001,"Not Found",0))</f>
        <v>cweondo8@theglobeandmail.com</v>
      </c>
      <c r="K874" s="2" t="str" cm="1">
        <f t="array" ref="K874">_xlfn.XLOOKUP(F874,Customers!A873:$A$1001,Customers!G873:$G$1001,"Not Found",0)</f>
        <v>United States</v>
      </c>
      <c r="L874" t="str">
        <f>INDEX(Products!$A$1:$G$49,MATCH(Orders!$G874,Products!$A$1:$A$49,0),MATCH(Orders!L$1,Products!$A$1:$G$1,0))</f>
        <v>Ara</v>
      </c>
      <c r="M874" t="str">
        <f>INDEX(Products!$A$1:$G$49,MATCH(Orders!$G874,Products!$A$1:$A$49,0),MATCH(Orders!M$1,Products!$A$1:$G$1,0))</f>
        <v>M</v>
      </c>
      <c r="N874" s="4">
        <f>INDEX(Products!$A$1:$G$49,MATCH(Orders!$G874,Products!$A$1:$A$49,0),MATCH(Orders!N$1,Products!$A$1:$G$1,0))</f>
        <v>1</v>
      </c>
      <c r="O874" s="7">
        <f>INDEX(Products!$A$1:$G$49,MATCH(Orders!$G874,Products!$A$1:$A$49,0),MATCH(Orders!O$1,Products!$A$1:$G$1,0))</f>
        <v>11.25</v>
      </c>
      <c r="P874" s="7">
        <f t="shared" si="13"/>
        <v>22.5</v>
      </c>
      <c r="Q874" t="str" cm="1">
        <f t="array" ref="Q874">_xlfn.IFS(L874="Rob","Robusta",L874="Exc", "Excelsa",L874="Ara", "Arabica",L874="Lib", "Liberica")</f>
        <v>Arabica</v>
      </c>
      <c r="R874" t="str" cm="1">
        <f t="array" ref="R874">_xlfn.IFS(M874="M","Medium",M874="L","Light",M874="D","Dark")</f>
        <v>Medium</v>
      </c>
    </row>
    <row r="875" spans="1:18">
      <c r="A875" s="2" t="s">
        <v>1735</v>
      </c>
      <c r="B875" s="3">
        <v>43725</v>
      </c>
      <c r="C875" s="9">
        <f>YEAR(Orders_Table[[#This Row],[Order Date]])</f>
        <v>2019</v>
      </c>
      <c r="D875" s="9">
        <f>MONTH(Orders_Table[[#This Row],[Order Date]])</f>
        <v>9</v>
      </c>
      <c r="E875" s="9" t="str" cm="1">
        <f t="array" ref="E8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75" s="2" t="s">
        <v>1720</v>
      </c>
      <c r="G875" t="s">
        <v>209</v>
      </c>
      <c r="H875" s="2">
        <v>4</v>
      </c>
      <c r="I875" s="2" t="str" cm="1">
        <f t="array" ref="I875">_xlfn.XLOOKUP(F875,Customers!A874:$A$1001,Customers!B874:$B$1001,"Not Found",0)</f>
        <v>Modesty MacConnechie</v>
      </c>
      <c r="J875" s="2" t="str" cm="1">
        <f t="array" ref="J875">IF(_xlfn.XLOOKUP(F875,Customers!A874:$A$1001,Customers!C874:$C$1001,"Not Found",0)=0,"",_xlfn.XLOOKUP(F875,Customers!A874:$A$1001,Customers!C874:$C$1001,"Not Found",0))</f>
        <v>mmacconnechieo9@reuters.com</v>
      </c>
      <c r="K875" s="2" t="str" cm="1">
        <f t="array" ref="K875">_xlfn.XLOOKUP(F875,Customers!A874:$A$1001,Customers!G874:$G$1001,"Not Found",0)</f>
        <v>United States</v>
      </c>
      <c r="L875" t="str">
        <f>INDEX(Products!$A$1:$G$49,MATCH(Orders!$G875,Products!$A$1:$A$49,0),MATCH(Orders!L$1,Products!$A$1:$G$1,0))</f>
        <v>Rob</v>
      </c>
      <c r="M875" t="str">
        <f>INDEX(Products!$A$1:$G$49,MATCH(Orders!$G875,Products!$A$1:$A$49,0),MATCH(Orders!M$1,Products!$A$1:$G$1,0))</f>
        <v>M</v>
      </c>
      <c r="N875" s="4">
        <f>INDEX(Products!$A$1:$G$49,MATCH(Orders!$G875,Products!$A$1:$A$49,0),MATCH(Orders!N$1,Products!$A$1:$G$1,0))</f>
        <v>0.2</v>
      </c>
      <c r="O875" s="7">
        <f>INDEX(Products!$A$1:$G$49,MATCH(Orders!$G875,Products!$A$1:$A$49,0),MATCH(Orders!O$1,Products!$A$1:$G$1,0))</f>
        <v>2.9849999999999999</v>
      </c>
      <c r="P875" s="7">
        <f t="shared" si="13"/>
        <v>11.94</v>
      </c>
      <c r="Q875" t="str" cm="1">
        <f t="array" ref="Q875">_xlfn.IFS(L875="Rob","Robusta",L875="Exc", "Excelsa",L875="Ara", "Arabica",L875="Lib", "Liberica")</f>
        <v>Robusta</v>
      </c>
      <c r="R875" t="str" cm="1">
        <f t="array" ref="R875">_xlfn.IFS(M875="M","Medium",M875="L","Light",M875="D","Dark")</f>
        <v>Medium</v>
      </c>
    </row>
    <row r="876" spans="1:18">
      <c r="A876" s="2" t="s">
        <v>1736</v>
      </c>
      <c r="B876" s="3">
        <v>43680</v>
      </c>
      <c r="C876" s="9">
        <f>YEAR(Orders_Table[[#This Row],[Order Date]])</f>
        <v>2019</v>
      </c>
      <c r="D876" s="9">
        <f>MONTH(Orders_Table[[#This Row],[Order Date]])</f>
        <v>8</v>
      </c>
      <c r="E876" s="9" t="str" cm="1">
        <f t="array" ref="E8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76" s="2" t="s">
        <v>1737</v>
      </c>
      <c r="G876" t="s">
        <v>53</v>
      </c>
      <c r="H876" s="2">
        <v>2</v>
      </c>
      <c r="I876" s="2" t="str" cm="1">
        <f t="array" ref="I876">_xlfn.XLOOKUP(F876,Customers!A875:$A$1001,Customers!B875:$B$1001,"Not Found",0)</f>
        <v>Jaquenette Skentelbery</v>
      </c>
      <c r="J876" s="2" t="str" cm="1">
        <f t="array" ref="J876">IF(_xlfn.XLOOKUP(F876,Customers!A875:$A$1001,Customers!C875:$C$1001,"Not Found",0)=0,"",_xlfn.XLOOKUP(F876,Customers!A875:$A$1001,Customers!C875:$C$1001,"Not Found",0))</f>
        <v>jskentelberyoa@paypal.com</v>
      </c>
      <c r="K876" s="2" t="str" cm="1">
        <f t="array" ref="K876">_xlfn.XLOOKUP(F876,Customers!A875:$A$1001,Customers!G875:$G$1001,"Not Found",0)</f>
        <v>United States</v>
      </c>
      <c r="L876" t="str">
        <f>INDEX(Products!$A$1:$G$49,MATCH(Orders!$G876,Products!$A$1:$A$49,0),MATCH(Orders!L$1,Products!$A$1:$G$1,0))</f>
        <v>Ara</v>
      </c>
      <c r="M876" t="str">
        <f>INDEX(Products!$A$1:$G$49,MATCH(Orders!$G876,Products!$A$1:$A$49,0),MATCH(Orders!M$1,Products!$A$1:$G$1,0))</f>
        <v>L</v>
      </c>
      <c r="N876" s="4">
        <f>INDEX(Products!$A$1:$G$49,MATCH(Orders!$G876,Products!$A$1:$A$49,0),MATCH(Orders!N$1,Products!$A$1:$G$1,0))</f>
        <v>1</v>
      </c>
      <c r="O876" s="7">
        <f>INDEX(Products!$A$1:$G$49,MATCH(Orders!$G876,Products!$A$1:$A$49,0),MATCH(Orders!O$1,Products!$A$1:$G$1,0))</f>
        <v>12.95</v>
      </c>
      <c r="P876" s="7">
        <f t="shared" si="13"/>
        <v>25.9</v>
      </c>
      <c r="Q876" t="str" cm="1">
        <f t="array" ref="Q876">_xlfn.IFS(L876="Rob","Robusta",L876="Exc", "Excelsa",L876="Ara", "Arabica",L876="Lib", "Liberica")</f>
        <v>Arabica</v>
      </c>
      <c r="R876" t="str" cm="1">
        <f t="array" ref="R876">_xlfn.IFS(M876="M","Medium",M876="L","Light",M876="D","Dark")</f>
        <v>Light</v>
      </c>
    </row>
    <row r="877" spans="1:18">
      <c r="A877" s="2" t="s">
        <v>1738</v>
      </c>
      <c r="B877" s="3">
        <v>44253</v>
      </c>
      <c r="C877" s="9">
        <f>YEAR(Orders_Table[[#This Row],[Order Date]])</f>
        <v>2021</v>
      </c>
      <c r="D877" s="9">
        <f>MONTH(Orders_Table[[#This Row],[Order Date]])</f>
        <v>2</v>
      </c>
      <c r="E877" s="9" t="str" cm="1">
        <f t="array" ref="E8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77" s="2" t="s">
        <v>1739</v>
      </c>
      <c r="G877" t="s">
        <v>125</v>
      </c>
      <c r="H877" s="2">
        <v>5</v>
      </c>
      <c r="I877" s="2" t="str" cm="1">
        <f t="array" ref="I877">_xlfn.XLOOKUP(F877,Customers!A876:$A$1001,Customers!B876:$B$1001,"Not Found",0)</f>
        <v>Orazio Comber</v>
      </c>
      <c r="J877" s="2" t="str" cm="1">
        <f t="array" ref="J877">IF(_xlfn.XLOOKUP(F877,Customers!A876:$A$1001,Customers!C876:$C$1001,"Not Found",0)=0,"",_xlfn.XLOOKUP(F877,Customers!A876:$A$1001,Customers!C876:$C$1001,"Not Found",0))</f>
        <v>ocomberob@goo.gl</v>
      </c>
      <c r="K877" s="2" t="str" cm="1">
        <f t="array" ref="K877">_xlfn.XLOOKUP(F877,Customers!A876:$A$1001,Customers!G876:$G$1001,"Not Found",0)</f>
        <v>Ireland</v>
      </c>
      <c r="L877" t="str">
        <f>INDEX(Products!$A$1:$G$49,MATCH(Orders!$G877,Products!$A$1:$A$49,0),MATCH(Orders!L$1,Products!$A$1:$G$1,0))</f>
        <v>Lib</v>
      </c>
      <c r="M877" t="str">
        <f>INDEX(Products!$A$1:$G$49,MATCH(Orders!$G877,Products!$A$1:$A$49,0),MATCH(Orders!M$1,Products!$A$1:$G$1,0))</f>
        <v>M</v>
      </c>
      <c r="N877" s="4">
        <f>INDEX(Products!$A$1:$G$49,MATCH(Orders!$G877,Products!$A$1:$A$49,0),MATCH(Orders!N$1,Products!$A$1:$G$1,0))</f>
        <v>0.5</v>
      </c>
      <c r="O877" s="7">
        <f>INDEX(Products!$A$1:$G$49,MATCH(Orders!$G877,Products!$A$1:$A$49,0),MATCH(Orders!O$1,Products!$A$1:$G$1,0))</f>
        <v>8.73</v>
      </c>
      <c r="P877" s="7">
        <f t="shared" si="13"/>
        <v>43.650000000000006</v>
      </c>
      <c r="Q877" t="str" cm="1">
        <f t="array" ref="Q877">_xlfn.IFS(L877="Rob","Robusta",L877="Exc", "Excelsa",L877="Ara", "Arabica",L877="Lib", "Liberica")</f>
        <v>Liberica</v>
      </c>
      <c r="R877" t="str" cm="1">
        <f t="array" ref="R877">_xlfn.IFS(M877="M","Medium",M877="L","Light",M877="D","Dark")</f>
        <v>Medium</v>
      </c>
    </row>
    <row r="878" spans="1:18">
      <c r="A878" s="2" t="s">
        <v>1738</v>
      </c>
      <c r="B878" s="3">
        <v>44253</v>
      </c>
      <c r="C878" s="9">
        <f>YEAR(Orders_Table[[#This Row],[Order Date]])</f>
        <v>2021</v>
      </c>
      <c r="D878" s="9">
        <f>MONTH(Orders_Table[[#This Row],[Order Date]])</f>
        <v>2</v>
      </c>
      <c r="E878" s="9" t="str" cm="1">
        <f t="array" ref="E8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878" s="2" t="s">
        <v>1739</v>
      </c>
      <c r="G878" t="s">
        <v>239</v>
      </c>
      <c r="H878" s="2">
        <v>6</v>
      </c>
      <c r="I878" s="2" t="str" cm="1">
        <f t="array" ref="I878">_xlfn.XLOOKUP(F878,Customers!A877:$A$1001,Customers!B877:$B$1001,"Not Found",0)</f>
        <v>Orazio Comber</v>
      </c>
      <c r="J878" s="2" t="str" cm="1">
        <f t="array" ref="J878">IF(_xlfn.XLOOKUP(F878,Customers!A877:$A$1001,Customers!C877:$C$1001,"Not Found",0)=0,"",_xlfn.XLOOKUP(F878,Customers!A877:$A$1001,Customers!C877:$C$1001,"Not Found",0))</f>
        <v>ocomberob@goo.gl</v>
      </c>
      <c r="K878" s="2" t="str" cm="1">
        <f t="array" ref="K878">_xlfn.XLOOKUP(F878,Customers!A877:$A$1001,Customers!G877:$G$1001,"Not Found",0)</f>
        <v>Ireland</v>
      </c>
      <c r="L878" t="str">
        <f>INDEX(Products!$A$1:$G$49,MATCH(Orders!$G878,Products!$A$1:$A$49,0),MATCH(Orders!L$1,Products!$A$1:$G$1,0))</f>
        <v>Ara</v>
      </c>
      <c r="M878" t="str">
        <f>INDEX(Products!$A$1:$G$49,MATCH(Orders!$G878,Products!$A$1:$A$49,0),MATCH(Orders!M$1,Products!$A$1:$G$1,0))</f>
        <v>L</v>
      </c>
      <c r="N878" s="4">
        <f>INDEX(Products!$A$1:$G$49,MATCH(Orders!$G878,Products!$A$1:$A$49,0),MATCH(Orders!N$1,Products!$A$1:$G$1,0))</f>
        <v>0.5</v>
      </c>
      <c r="O878" s="7">
        <f>INDEX(Products!$A$1:$G$49,MATCH(Orders!$G878,Products!$A$1:$A$49,0),MATCH(Orders!O$1,Products!$A$1:$G$1,0))</f>
        <v>7.77</v>
      </c>
      <c r="P878" s="7">
        <f t="shared" si="13"/>
        <v>46.62</v>
      </c>
      <c r="Q878" t="str" cm="1">
        <f t="array" ref="Q878">_xlfn.IFS(L878="Rob","Robusta",L878="Exc", "Excelsa",L878="Ara", "Arabica",L878="Lib", "Liberica")</f>
        <v>Arabica</v>
      </c>
      <c r="R878" t="str" cm="1">
        <f t="array" ref="R878">_xlfn.IFS(M878="M","Medium",M878="L","Light",M878="D","Dark")</f>
        <v>Light</v>
      </c>
    </row>
    <row r="879" spans="1:18">
      <c r="A879" s="2" t="s">
        <v>1740</v>
      </c>
      <c r="B879" s="3">
        <v>44411</v>
      </c>
      <c r="C879" s="9">
        <f>YEAR(Orders_Table[[#This Row],[Order Date]])</f>
        <v>2021</v>
      </c>
      <c r="D879" s="9">
        <f>MONTH(Orders_Table[[#This Row],[Order Date]])</f>
        <v>8</v>
      </c>
      <c r="E879" s="9" t="str" cm="1">
        <f t="array" ref="E8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879" s="2" t="s">
        <v>1741</v>
      </c>
      <c r="G879" t="s">
        <v>130</v>
      </c>
      <c r="H879" s="2">
        <v>3</v>
      </c>
      <c r="I879" s="2" t="str" cm="1">
        <f t="array" ref="I879">_xlfn.XLOOKUP(F879,Customers!A878:$A$1001,Customers!B878:$B$1001,"Not Found",0)</f>
        <v>Zachary Tramel</v>
      </c>
      <c r="J879" s="2" t="str" cm="1">
        <f t="array" ref="J879">IF(_xlfn.XLOOKUP(F879,Customers!A878:$A$1001,Customers!C878:$C$1001,"Not Found",0)=0,"",_xlfn.XLOOKUP(F879,Customers!A878:$A$1001,Customers!C878:$C$1001,"Not Found",0))</f>
        <v>ztramelod@netlog.com</v>
      </c>
      <c r="K879" s="2" t="str" cm="1">
        <f t="array" ref="K879">_xlfn.XLOOKUP(F879,Customers!A878:$A$1001,Customers!G878:$G$1001,"Not Found",0)</f>
        <v>United States</v>
      </c>
      <c r="L879" t="str">
        <f>INDEX(Products!$A$1:$G$49,MATCH(Orders!$G879,Products!$A$1:$A$49,0),MATCH(Orders!L$1,Products!$A$1:$G$1,0))</f>
        <v>Lib</v>
      </c>
      <c r="M879" t="str">
        <f>INDEX(Products!$A$1:$G$49,MATCH(Orders!$G879,Products!$A$1:$A$49,0),MATCH(Orders!M$1,Products!$A$1:$G$1,0))</f>
        <v>L</v>
      </c>
      <c r="N879" s="4">
        <f>INDEX(Products!$A$1:$G$49,MATCH(Orders!$G879,Products!$A$1:$A$49,0),MATCH(Orders!N$1,Products!$A$1:$G$1,0))</f>
        <v>0.5</v>
      </c>
      <c r="O879" s="7">
        <f>INDEX(Products!$A$1:$G$49,MATCH(Orders!$G879,Products!$A$1:$A$49,0),MATCH(Orders!O$1,Products!$A$1:$G$1,0))</f>
        <v>9.51</v>
      </c>
      <c r="P879" s="7">
        <f t="shared" si="13"/>
        <v>28.53</v>
      </c>
      <c r="Q879" t="str" cm="1">
        <f t="array" ref="Q879">_xlfn.IFS(L879="Rob","Robusta",L879="Exc", "Excelsa",L879="Ara", "Arabica",L879="Lib", "Liberica")</f>
        <v>Liberica</v>
      </c>
      <c r="R879" t="str" cm="1">
        <f t="array" ref="R879">_xlfn.IFS(M879="M","Medium",M879="L","Light",M879="D","Dark")</f>
        <v>Light</v>
      </c>
    </row>
    <row r="880" spans="1:18">
      <c r="A880" s="2" t="s">
        <v>1742</v>
      </c>
      <c r="B880" s="3">
        <v>44323</v>
      </c>
      <c r="C880" s="9">
        <f>YEAR(Orders_Table[[#This Row],[Order Date]])</f>
        <v>2021</v>
      </c>
      <c r="D880" s="9">
        <f>MONTH(Orders_Table[[#This Row],[Order Date]])</f>
        <v>5</v>
      </c>
      <c r="E880" s="9" t="str" cm="1">
        <f t="array" ref="E8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880" s="2" t="s">
        <v>1743</v>
      </c>
      <c r="G880" t="s">
        <v>57</v>
      </c>
      <c r="H880" s="2">
        <v>1</v>
      </c>
      <c r="I880" s="2" t="str" cm="1">
        <f t="array" ref="I880">_xlfn.XLOOKUP(F880,Customers!A879:$A$1001,Customers!B879:$B$1001,"Not Found",0)</f>
        <v>Izaak Primak</v>
      </c>
      <c r="J880" s="2" t="str" cm="1">
        <f t="array" ref="J880">IF(_xlfn.XLOOKUP(F880,Customers!A879:$A$1001,Customers!C879:$C$1001,"Not Found",0)=0,"",_xlfn.XLOOKUP(F880,Customers!A879:$A$1001,Customers!C879:$C$1001,"Not Found",0))</f>
        <v/>
      </c>
      <c r="K880" s="2" t="str" cm="1">
        <f t="array" ref="K880">_xlfn.XLOOKUP(F880,Customers!A879:$A$1001,Customers!G879:$G$1001,"Not Found",0)</f>
        <v>United States</v>
      </c>
      <c r="L880" t="str">
        <f>INDEX(Products!$A$1:$G$49,MATCH(Orders!$G880,Products!$A$1:$A$49,0),MATCH(Orders!L$1,Products!$A$1:$G$1,0))</f>
        <v>Rob</v>
      </c>
      <c r="M880" t="str">
        <f>INDEX(Products!$A$1:$G$49,MATCH(Orders!$G880,Products!$A$1:$A$49,0),MATCH(Orders!M$1,Products!$A$1:$G$1,0))</f>
        <v>L</v>
      </c>
      <c r="N880" s="4">
        <f>INDEX(Products!$A$1:$G$49,MATCH(Orders!$G880,Products!$A$1:$A$49,0),MATCH(Orders!N$1,Products!$A$1:$G$1,0))</f>
        <v>2.5</v>
      </c>
      <c r="O880" s="7">
        <f>INDEX(Products!$A$1:$G$49,MATCH(Orders!$G880,Products!$A$1:$A$49,0),MATCH(Orders!O$1,Products!$A$1:$G$1,0))</f>
        <v>27.484999999999996</v>
      </c>
      <c r="P880" s="7">
        <f t="shared" si="13"/>
        <v>27.484999999999996</v>
      </c>
      <c r="Q880" t="str" cm="1">
        <f t="array" ref="Q880">_xlfn.IFS(L880="Rob","Robusta",L880="Exc", "Excelsa",L880="Ara", "Arabica",L880="Lib", "Liberica")</f>
        <v>Robusta</v>
      </c>
      <c r="R880" t="str" cm="1">
        <f t="array" ref="R880">_xlfn.IFS(M880="M","Medium",M880="L","Light",M880="D","Dark")</f>
        <v>Light</v>
      </c>
    </row>
    <row r="881" spans="1:18">
      <c r="A881" s="2" t="s">
        <v>1744</v>
      </c>
      <c r="B881" s="3">
        <v>43630</v>
      </c>
      <c r="C881" s="9">
        <f>YEAR(Orders_Table[[#This Row],[Order Date]])</f>
        <v>2019</v>
      </c>
      <c r="D881" s="9">
        <f>MONTH(Orders_Table[[#This Row],[Order Date]])</f>
        <v>6</v>
      </c>
      <c r="E881" s="9" t="str" cm="1">
        <f t="array" ref="E8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81" s="2" t="s">
        <v>1745</v>
      </c>
      <c r="G881" t="s">
        <v>98</v>
      </c>
      <c r="H881" s="2">
        <v>3</v>
      </c>
      <c r="I881" s="2" t="str" cm="1">
        <f t="array" ref="I881">_xlfn.XLOOKUP(F881,Customers!A880:$A$1001,Customers!B880:$B$1001,"Not Found",0)</f>
        <v>Brittani Thoresbie</v>
      </c>
      <c r="J881" s="2" t="str" cm="1">
        <f t="array" ref="J881">IF(_xlfn.XLOOKUP(F881,Customers!A880:$A$1001,Customers!C880:$C$1001,"Not Found",0)=0,"",_xlfn.XLOOKUP(F881,Customers!A880:$A$1001,Customers!C880:$C$1001,"Not Found",0))</f>
        <v/>
      </c>
      <c r="K881" s="2" t="str" cm="1">
        <f t="array" ref="K881">_xlfn.XLOOKUP(F881,Customers!A880:$A$1001,Customers!G880:$G$1001,"Not Found",0)</f>
        <v>United States</v>
      </c>
      <c r="L881" t="str">
        <f>INDEX(Products!$A$1:$G$49,MATCH(Orders!$G881,Products!$A$1:$A$49,0),MATCH(Orders!L$1,Products!$A$1:$G$1,0))</f>
        <v>Exc</v>
      </c>
      <c r="M881" t="str">
        <f>INDEX(Products!$A$1:$G$49,MATCH(Orders!$G881,Products!$A$1:$A$49,0),MATCH(Orders!M$1,Products!$A$1:$G$1,0))</f>
        <v>D</v>
      </c>
      <c r="N881" s="4">
        <f>INDEX(Products!$A$1:$G$49,MATCH(Orders!$G881,Products!$A$1:$A$49,0),MATCH(Orders!N$1,Products!$A$1:$G$1,0))</f>
        <v>0.2</v>
      </c>
      <c r="O881" s="7">
        <f>INDEX(Products!$A$1:$G$49,MATCH(Orders!$G881,Products!$A$1:$A$49,0),MATCH(Orders!O$1,Products!$A$1:$G$1,0))</f>
        <v>3.645</v>
      </c>
      <c r="P881" s="7">
        <f t="shared" si="13"/>
        <v>10.935</v>
      </c>
      <c r="Q881" t="str" cm="1">
        <f t="array" ref="Q881">_xlfn.IFS(L881="Rob","Robusta",L881="Exc", "Excelsa",L881="Ara", "Arabica",L881="Lib", "Liberica")</f>
        <v>Excelsa</v>
      </c>
      <c r="R881" t="str" cm="1">
        <f t="array" ref="R881">_xlfn.IFS(M881="M","Medium",M881="L","Light",M881="D","Dark")</f>
        <v>Dark</v>
      </c>
    </row>
    <row r="882" spans="1:18">
      <c r="A882" s="2" t="s">
        <v>1746</v>
      </c>
      <c r="B882" s="3">
        <v>43790</v>
      </c>
      <c r="C882" s="9">
        <f>YEAR(Orders_Table[[#This Row],[Order Date]])</f>
        <v>2019</v>
      </c>
      <c r="D882" s="9">
        <f>MONTH(Orders_Table[[#This Row],[Order Date]])</f>
        <v>11</v>
      </c>
      <c r="E882" s="9" t="str" cm="1">
        <f t="array" ref="E8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82" s="2" t="s">
        <v>1747</v>
      </c>
      <c r="G882" t="s">
        <v>229</v>
      </c>
      <c r="H882" s="2">
        <v>2</v>
      </c>
      <c r="I882" s="2" t="str" cm="1">
        <f t="array" ref="I882">_xlfn.XLOOKUP(F882,Customers!A881:$A$1001,Customers!B881:$B$1001,"Not Found",0)</f>
        <v>Constanta Hatfull</v>
      </c>
      <c r="J882" s="2" t="str" cm="1">
        <f t="array" ref="J882">IF(_xlfn.XLOOKUP(F882,Customers!A881:$A$1001,Customers!C881:$C$1001,"Not Found",0)=0,"",_xlfn.XLOOKUP(F882,Customers!A881:$A$1001,Customers!C881:$C$1001,"Not Found",0))</f>
        <v>chatfullog@ebay.com</v>
      </c>
      <c r="K882" s="2" t="str" cm="1">
        <f t="array" ref="K882">_xlfn.XLOOKUP(F882,Customers!A881:$A$1001,Customers!G881:$G$1001,"Not Found",0)</f>
        <v>United States</v>
      </c>
      <c r="L882" t="str">
        <f>INDEX(Products!$A$1:$G$49,MATCH(Orders!$G882,Products!$A$1:$A$49,0),MATCH(Orders!L$1,Products!$A$1:$G$1,0))</f>
        <v>Rob</v>
      </c>
      <c r="M882" t="str">
        <f>INDEX(Products!$A$1:$G$49,MATCH(Orders!$G882,Products!$A$1:$A$49,0),MATCH(Orders!M$1,Products!$A$1:$G$1,0))</f>
        <v>L</v>
      </c>
      <c r="N882" s="4">
        <f>INDEX(Products!$A$1:$G$49,MATCH(Orders!$G882,Products!$A$1:$A$49,0),MATCH(Orders!N$1,Products!$A$1:$G$1,0))</f>
        <v>0.2</v>
      </c>
      <c r="O882" s="7">
        <f>INDEX(Products!$A$1:$G$49,MATCH(Orders!$G882,Products!$A$1:$A$49,0),MATCH(Orders!O$1,Products!$A$1:$G$1,0))</f>
        <v>3.5849999999999995</v>
      </c>
      <c r="P882" s="7">
        <f t="shared" si="13"/>
        <v>7.169999999999999</v>
      </c>
      <c r="Q882" t="str" cm="1">
        <f t="array" ref="Q882">_xlfn.IFS(L882="Rob","Robusta",L882="Exc", "Excelsa",L882="Ara", "Arabica",L882="Lib", "Liberica")</f>
        <v>Robusta</v>
      </c>
      <c r="R882" t="str" cm="1">
        <f t="array" ref="R882">_xlfn.IFS(M882="M","Medium",M882="L","Light",M882="D","Dark")</f>
        <v>Light</v>
      </c>
    </row>
    <row r="883" spans="1:18">
      <c r="A883" s="2" t="s">
        <v>1748</v>
      </c>
      <c r="B883" s="3">
        <v>44286</v>
      </c>
      <c r="C883" s="9">
        <f>YEAR(Orders_Table[[#This Row],[Order Date]])</f>
        <v>2021</v>
      </c>
      <c r="D883" s="9">
        <f>MONTH(Orders_Table[[#This Row],[Order Date]])</f>
        <v>3</v>
      </c>
      <c r="E883" s="9" t="str" cm="1">
        <f t="array" ref="E8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83" s="2" t="s">
        <v>1749</v>
      </c>
      <c r="G883" t="s">
        <v>162</v>
      </c>
      <c r="H883" s="2">
        <v>6</v>
      </c>
      <c r="I883" s="2" t="str" cm="1">
        <f t="array" ref="I883">_xlfn.XLOOKUP(F883,Customers!A882:$A$1001,Customers!B882:$B$1001,"Not Found",0)</f>
        <v>Bobbe Castagneto</v>
      </c>
      <c r="J883" s="2" t="str" cm="1">
        <f t="array" ref="J883">IF(_xlfn.XLOOKUP(F883,Customers!A882:$A$1001,Customers!C882:$C$1001,"Not Found",0)=0,"",_xlfn.XLOOKUP(F883,Customers!A882:$A$1001,Customers!C882:$C$1001,"Not Found",0))</f>
        <v/>
      </c>
      <c r="K883" s="2" t="str" cm="1">
        <f t="array" ref="K883">_xlfn.XLOOKUP(F883,Customers!A882:$A$1001,Customers!G882:$G$1001,"Not Found",0)</f>
        <v>United States</v>
      </c>
      <c r="L883" t="str">
        <f>INDEX(Products!$A$1:$G$49,MATCH(Orders!$G883,Products!$A$1:$A$49,0),MATCH(Orders!L$1,Products!$A$1:$G$1,0))</f>
        <v>Ara</v>
      </c>
      <c r="M883" t="str">
        <f>INDEX(Products!$A$1:$G$49,MATCH(Orders!$G883,Products!$A$1:$A$49,0),MATCH(Orders!M$1,Products!$A$1:$G$1,0))</f>
        <v>L</v>
      </c>
      <c r="N883" s="4">
        <f>INDEX(Products!$A$1:$G$49,MATCH(Orders!$G883,Products!$A$1:$A$49,0),MATCH(Orders!N$1,Products!$A$1:$G$1,0))</f>
        <v>0.2</v>
      </c>
      <c r="O883" s="7">
        <f>INDEX(Products!$A$1:$G$49,MATCH(Orders!$G883,Products!$A$1:$A$49,0),MATCH(Orders!O$1,Products!$A$1:$G$1,0))</f>
        <v>3.8849999999999998</v>
      </c>
      <c r="P883" s="7">
        <f t="shared" si="13"/>
        <v>23.31</v>
      </c>
      <c r="Q883" t="str" cm="1">
        <f t="array" ref="Q883">_xlfn.IFS(L883="Rob","Robusta",L883="Exc", "Excelsa",L883="Ara", "Arabica",L883="Lib", "Liberica")</f>
        <v>Arabica</v>
      </c>
      <c r="R883" t="str" cm="1">
        <f t="array" ref="R883">_xlfn.IFS(M883="M","Medium",M883="L","Light",M883="D","Dark")</f>
        <v>Light</v>
      </c>
    </row>
    <row r="884" spans="1:18">
      <c r="A884" s="2" t="s">
        <v>1750</v>
      </c>
      <c r="B884" s="3">
        <v>43647</v>
      </c>
      <c r="C884" s="9">
        <f>YEAR(Orders_Table[[#This Row],[Order Date]])</f>
        <v>2019</v>
      </c>
      <c r="D884" s="9">
        <f>MONTH(Orders_Table[[#This Row],[Order Date]])</f>
        <v>7</v>
      </c>
      <c r="E884" s="9" t="str" cm="1">
        <f t="array" ref="E8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84" s="2" t="s">
        <v>1751</v>
      </c>
      <c r="G884" t="s">
        <v>165</v>
      </c>
      <c r="H884" s="2">
        <v>5</v>
      </c>
      <c r="I884" s="2" t="str" cm="1">
        <f t="array" ref="I884">_xlfn.XLOOKUP(F884,Customers!A883:$A$1001,Customers!B883:$B$1001,"Not Found",0)</f>
        <v>Kippie Marrison</v>
      </c>
      <c r="J884" s="2" t="str" cm="1">
        <f t="array" ref="J884">IF(_xlfn.XLOOKUP(F884,Customers!A883:$A$1001,Customers!C883:$C$1001,"Not Found",0)=0,"",_xlfn.XLOOKUP(F884,Customers!A883:$A$1001,Customers!C883:$C$1001,"Not Found",0))</f>
        <v>kmarrisonoq@dropbox.com</v>
      </c>
      <c r="K884" s="2" t="str" cm="1">
        <f t="array" ref="K884">_xlfn.XLOOKUP(F884,Customers!A883:$A$1001,Customers!G883:$G$1001,"Not Found",0)</f>
        <v>United States</v>
      </c>
      <c r="L884" t="str">
        <f>INDEX(Products!$A$1:$G$49,MATCH(Orders!$G884,Products!$A$1:$A$49,0),MATCH(Orders!L$1,Products!$A$1:$G$1,0))</f>
        <v>Ara</v>
      </c>
      <c r="M884" t="str">
        <f>INDEX(Products!$A$1:$G$49,MATCH(Orders!$G884,Products!$A$1:$A$49,0),MATCH(Orders!M$1,Products!$A$1:$G$1,0))</f>
        <v>D</v>
      </c>
      <c r="N884" s="4">
        <f>INDEX(Products!$A$1:$G$49,MATCH(Orders!$G884,Products!$A$1:$A$49,0),MATCH(Orders!N$1,Products!$A$1:$G$1,0))</f>
        <v>2.5</v>
      </c>
      <c r="O884" s="7">
        <f>INDEX(Products!$A$1:$G$49,MATCH(Orders!$G884,Products!$A$1:$A$49,0),MATCH(Orders!O$1,Products!$A$1:$G$1,0))</f>
        <v>22.884999999999998</v>
      </c>
      <c r="P884" s="7">
        <f t="shared" si="13"/>
        <v>114.42499999999998</v>
      </c>
      <c r="Q884" t="str" cm="1">
        <f t="array" ref="Q884">_xlfn.IFS(L884="Rob","Robusta",L884="Exc", "Excelsa",L884="Ara", "Arabica",L884="Lib", "Liberica")</f>
        <v>Arabica</v>
      </c>
      <c r="R884" t="str" cm="1">
        <f t="array" ref="R884">_xlfn.IFS(M884="M","Medium",M884="L","Light",M884="D","Dark")</f>
        <v>Dark</v>
      </c>
    </row>
    <row r="885" spans="1:18">
      <c r="A885" s="2" t="s">
        <v>1752</v>
      </c>
      <c r="B885" s="3">
        <v>43956</v>
      </c>
      <c r="C885" s="9">
        <f>YEAR(Orders_Table[[#This Row],[Order Date]])</f>
        <v>2020</v>
      </c>
      <c r="D885" s="9">
        <f>MONTH(Orders_Table[[#This Row],[Order Date]])</f>
        <v>5</v>
      </c>
      <c r="E885" s="9" t="str" cm="1">
        <f t="array" ref="E8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885" s="2" t="s">
        <v>1753</v>
      </c>
      <c r="G885" t="s">
        <v>218</v>
      </c>
      <c r="H885" s="2">
        <v>3</v>
      </c>
      <c r="I885" s="2" t="str" cm="1">
        <f t="array" ref="I885">_xlfn.XLOOKUP(F885,Customers!A884:$A$1001,Customers!B884:$B$1001,"Not Found",0)</f>
        <v>Lindon Agnolo</v>
      </c>
      <c r="J885" s="2" t="str" cm="1">
        <f t="array" ref="J885">IF(_xlfn.XLOOKUP(F885,Customers!A884:$A$1001,Customers!C884:$C$1001,"Not Found",0)=0,"",_xlfn.XLOOKUP(F885,Customers!A884:$A$1001,Customers!C884:$C$1001,"Not Found",0))</f>
        <v>lagnolooj@pinterest.com</v>
      </c>
      <c r="K885" s="2" t="str" cm="1">
        <f t="array" ref="K885">_xlfn.XLOOKUP(F885,Customers!A884:$A$1001,Customers!G884:$G$1001,"Not Found",0)</f>
        <v>United States</v>
      </c>
      <c r="L885" t="str">
        <f>INDEX(Products!$A$1:$G$49,MATCH(Orders!$G885,Products!$A$1:$A$49,0),MATCH(Orders!L$1,Products!$A$1:$G$1,0))</f>
        <v>Ara</v>
      </c>
      <c r="M885" t="str">
        <f>INDEX(Products!$A$1:$G$49,MATCH(Orders!$G885,Products!$A$1:$A$49,0),MATCH(Orders!M$1,Products!$A$1:$G$1,0))</f>
        <v>M</v>
      </c>
      <c r="N885" s="4">
        <f>INDEX(Products!$A$1:$G$49,MATCH(Orders!$G885,Products!$A$1:$A$49,0),MATCH(Orders!N$1,Products!$A$1:$G$1,0))</f>
        <v>2.5</v>
      </c>
      <c r="O885" s="7">
        <f>INDEX(Products!$A$1:$G$49,MATCH(Orders!$G885,Products!$A$1:$A$49,0),MATCH(Orders!O$1,Products!$A$1:$G$1,0))</f>
        <v>25.874999999999996</v>
      </c>
      <c r="P885" s="7">
        <f t="shared" si="13"/>
        <v>77.624999999999986</v>
      </c>
      <c r="Q885" t="str" cm="1">
        <f t="array" ref="Q885">_xlfn.IFS(L885="Rob","Robusta",L885="Exc", "Excelsa",L885="Ara", "Arabica",L885="Lib", "Liberica")</f>
        <v>Arabica</v>
      </c>
      <c r="R885" t="str" cm="1">
        <f t="array" ref="R885">_xlfn.IFS(M885="M","Medium",M885="L","Light",M885="D","Dark")</f>
        <v>Medium</v>
      </c>
    </row>
    <row r="886" spans="1:18">
      <c r="A886" s="2" t="s">
        <v>1754</v>
      </c>
      <c r="B886" s="3">
        <v>43941</v>
      </c>
      <c r="C886" s="9">
        <f>YEAR(Orders_Table[[#This Row],[Order Date]])</f>
        <v>2020</v>
      </c>
      <c r="D886" s="9">
        <f>MONTH(Orders_Table[[#This Row],[Order Date]])</f>
        <v>4</v>
      </c>
      <c r="E886" s="9" t="str" cm="1">
        <f t="array" ref="E8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86" s="2" t="s">
        <v>1755</v>
      </c>
      <c r="G886" t="s">
        <v>193</v>
      </c>
      <c r="H886" s="2">
        <v>1</v>
      </c>
      <c r="I886" s="2" t="str" cm="1">
        <f t="array" ref="I886">_xlfn.XLOOKUP(F886,Customers!A885:$A$1001,Customers!B885:$B$1001,"Not Found",0)</f>
        <v>Delainey Kiddy</v>
      </c>
      <c r="J886" s="2" t="str" cm="1">
        <f t="array" ref="J886">IF(_xlfn.XLOOKUP(F886,Customers!A885:$A$1001,Customers!C885:$C$1001,"Not Found",0)=0,"",_xlfn.XLOOKUP(F886,Customers!A885:$A$1001,Customers!C885:$C$1001,"Not Found",0))</f>
        <v>dkiddyok@fda.gov</v>
      </c>
      <c r="K886" s="2" t="str" cm="1">
        <f t="array" ref="K886">_xlfn.XLOOKUP(F886,Customers!A885:$A$1001,Customers!G885:$G$1001,"Not Found",0)</f>
        <v>United States</v>
      </c>
      <c r="L886" t="str">
        <f>INDEX(Products!$A$1:$G$49,MATCH(Orders!$G886,Products!$A$1:$A$49,0),MATCH(Orders!L$1,Products!$A$1:$G$1,0))</f>
        <v>Rob</v>
      </c>
      <c r="M886" t="str">
        <f>INDEX(Products!$A$1:$G$49,MATCH(Orders!$G886,Products!$A$1:$A$49,0),MATCH(Orders!M$1,Products!$A$1:$G$1,0))</f>
        <v>D</v>
      </c>
      <c r="N886" s="4">
        <f>INDEX(Products!$A$1:$G$49,MATCH(Orders!$G886,Products!$A$1:$A$49,0),MATCH(Orders!N$1,Products!$A$1:$G$1,0))</f>
        <v>0.5</v>
      </c>
      <c r="O886" s="7">
        <f>INDEX(Products!$A$1:$G$49,MATCH(Orders!$G886,Products!$A$1:$A$49,0),MATCH(Orders!O$1,Products!$A$1:$G$1,0))</f>
        <v>5.3699999999999992</v>
      </c>
      <c r="P886" s="7">
        <f t="shared" si="13"/>
        <v>5.3699999999999992</v>
      </c>
      <c r="Q886" t="str" cm="1">
        <f t="array" ref="Q886">_xlfn.IFS(L886="Rob","Robusta",L886="Exc", "Excelsa",L886="Ara", "Arabica",L886="Lib", "Liberica")</f>
        <v>Robusta</v>
      </c>
      <c r="R886" t="str" cm="1">
        <f t="array" ref="R886">_xlfn.IFS(M886="M","Medium",M886="L","Light",M886="D","Dark")</f>
        <v>Dark</v>
      </c>
    </row>
    <row r="887" spans="1:18">
      <c r="A887" s="2" t="s">
        <v>1756</v>
      </c>
      <c r="B887" s="3">
        <v>43664</v>
      </c>
      <c r="C887" s="9">
        <f>YEAR(Orders_Table[[#This Row],[Order Date]])</f>
        <v>2019</v>
      </c>
      <c r="D887" s="9">
        <f>MONTH(Orders_Table[[#This Row],[Order Date]])</f>
        <v>7</v>
      </c>
      <c r="E887" s="9" t="str" cm="1">
        <f t="array" ref="E8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87" s="2" t="s">
        <v>1757</v>
      </c>
      <c r="G887" t="s">
        <v>82</v>
      </c>
      <c r="H887" s="2">
        <v>6</v>
      </c>
      <c r="I887" s="2" t="str" cm="1">
        <f t="array" ref="I887">_xlfn.XLOOKUP(F887,Customers!A886:$A$1001,Customers!B886:$B$1001,"Not Found",0)</f>
        <v>Helli Petroulis</v>
      </c>
      <c r="J887" s="2" t="str" cm="1">
        <f t="array" ref="J887">IF(_xlfn.XLOOKUP(F887,Customers!A886:$A$1001,Customers!C886:$C$1001,"Not Found",0)=0,"",_xlfn.XLOOKUP(F887,Customers!A886:$A$1001,Customers!C886:$C$1001,"Not Found",0))</f>
        <v>hpetroulisol@state.tx.us</v>
      </c>
      <c r="K887" s="2" t="str" cm="1">
        <f t="array" ref="K887">_xlfn.XLOOKUP(F887,Customers!A886:$A$1001,Customers!G886:$G$1001,"Not Found",0)</f>
        <v>Ireland</v>
      </c>
      <c r="L887" t="str">
        <f>INDEX(Products!$A$1:$G$49,MATCH(Orders!$G887,Products!$A$1:$A$49,0),MATCH(Orders!L$1,Products!$A$1:$G$1,0))</f>
        <v>Rob</v>
      </c>
      <c r="M887" t="str">
        <f>INDEX(Products!$A$1:$G$49,MATCH(Orders!$G887,Products!$A$1:$A$49,0),MATCH(Orders!M$1,Products!$A$1:$G$1,0))</f>
        <v>D</v>
      </c>
      <c r="N887" s="4">
        <f>INDEX(Products!$A$1:$G$49,MATCH(Orders!$G887,Products!$A$1:$A$49,0),MATCH(Orders!N$1,Products!$A$1:$G$1,0))</f>
        <v>2.5</v>
      </c>
      <c r="O887" s="7">
        <f>INDEX(Products!$A$1:$G$49,MATCH(Orders!$G887,Products!$A$1:$A$49,0),MATCH(Orders!O$1,Products!$A$1:$G$1,0))</f>
        <v>20.584999999999997</v>
      </c>
      <c r="P887" s="7">
        <f t="shared" si="13"/>
        <v>123.50999999999999</v>
      </c>
      <c r="Q887" t="str" cm="1">
        <f t="array" ref="Q887">_xlfn.IFS(L887="Rob","Robusta",L887="Exc", "Excelsa",L887="Ara", "Arabica",L887="Lib", "Liberica")</f>
        <v>Robusta</v>
      </c>
      <c r="R887" t="str" cm="1">
        <f t="array" ref="R887">_xlfn.IFS(M887="M","Medium",M887="L","Light",M887="D","Dark")</f>
        <v>Dark</v>
      </c>
    </row>
    <row r="888" spans="1:18">
      <c r="A888" s="2" t="s">
        <v>1758</v>
      </c>
      <c r="B888" s="3">
        <v>44518</v>
      </c>
      <c r="C888" s="9">
        <f>YEAR(Orders_Table[[#This Row],[Order Date]])</f>
        <v>2021</v>
      </c>
      <c r="D888" s="9">
        <f>MONTH(Orders_Table[[#This Row],[Order Date]])</f>
        <v>11</v>
      </c>
      <c r="E888" s="9" t="str" cm="1">
        <f t="array" ref="E8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88" s="2" t="s">
        <v>1759</v>
      </c>
      <c r="G888" t="s">
        <v>125</v>
      </c>
      <c r="H888" s="2">
        <v>2</v>
      </c>
      <c r="I888" s="2" t="str" cm="1">
        <f t="array" ref="I888">_xlfn.XLOOKUP(F888,Customers!A887:$A$1001,Customers!B887:$B$1001,"Not Found",0)</f>
        <v>Marty Scholl</v>
      </c>
      <c r="J888" s="2" t="str" cm="1">
        <f t="array" ref="J888">IF(_xlfn.XLOOKUP(F888,Customers!A887:$A$1001,Customers!C887:$C$1001,"Not Found",0)=0,"",_xlfn.XLOOKUP(F888,Customers!A887:$A$1001,Customers!C887:$C$1001,"Not Found",0))</f>
        <v>mschollom@taobao.com</v>
      </c>
      <c r="K888" s="2" t="str" cm="1">
        <f t="array" ref="K888">_xlfn.XLOOKUP(F888,Customers!A887:$A$1001,Customers!G887:$G$1001,"Not Found",0)</f>
        <v>United States</v>
      </c>
      <c r="L888" t="str">
        <f>INDEX(Products!$A$1:$G$49,MATCH(Orders!$G888,Products!$A$1:$A$49,0),MATCH(Orders!L$1,Products!$A$1:$G$1,0))</f>
        <v>Lib</v>
      </c>
      <c r="M888" t="str">
        <f>INDEX(Products!$A$1:$G$49,MATCH(Orders!$G888,Products!$A$1:$A$49,0),MATCH(Orders!M$1,Products!$A$1:$G$1,0))</f>
        <v>M</v>
      </c>
      <c r="N888" s="4">
        <f>INDEX(Products!$A$1:$G$49,MATCH(Orders!$G888,Products!$A$1:$A$49,0),MATCH(Orders!N$1,Products!$A$1:$G$1,0))</f>
        <v>0.5</v>
      </c>
      <c r="O888" s="7">
        <f>INDEX(Products!$A$1:$G$49,MATCH(Orders!$G888,Products!$A$1:$A$49,0),MATCH(Orders!O$1,Products!$A$1:$G$1,0))</f>
        <v>8.73</v>
      </c>
      <c r="P888" s="7">
        <f t="shared" si="13"/>
        <v>17.46</v>
      </c>
      <c r="Q888" t="str" cm="1">
        <f t="array" ref="Q888">_xlfn.IFS(L888="Rob","Robusta",L888="Exc", "Excelsa",L888="Ara", "Arabica",L888="Lib", "Liberica")</f>
        <v>Liberica</v>
      </c>
      <c r="R888" t="str" cm="1">
        <f t="array" ref="R888">_xlfn.IFS(M888="M","Medium",M888="L","Light",M888="D","Dark")</f>
        <v>Medium</v>
      </c>
    </row>
    <row r="889" spans="1:18">
      <c r="A889" s="2" t="s">
        <v>1760</v>
      </c>
      <c r="B889" s="3">
        <v>44002</v>
      </c>
      <c r="C889" s="9">
        <f>YEAR(Orders_Table[[#This Row],[Order Date]])</f>
        <v>2020</v>
      </c>
      <c r="D889" s="9">
        <f>MONTH(Orders_Table[[#This Row],[Order Date]])</f>
        <v>6</v>
      </c>
      <c r="E889" s="9" t="str" cm="1">
        <f t="array" ref="E8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89" s="2" t="s">
        <v>1761</v>
      </c>
      <c r="G889" t="s">
        <v>301</v>
      </c>
      <c r="H889" s="2">
        <v>3</v>
      </c>
      <c r="I889" s="2" t="str" cm="1">
        <f t="array" ref="I889">_xlfn.XLOOKUP(F889,Customers!A888:$A$1001,Customers!B888:$B$1001,"Not Found",0)</f>
        <v>Kienan Ferson</v>
      </c>
      <c r="J889" s="2" t="str" cm="1">
        <f t="array" ref="J889">IF(_xlfn.XLOOKUP(F889,Customers!A888:$A$1001,Customers!C888:$C$1001,"Not Found",0)=0,"",_xlfn.XLOOKUP(F889,Customers!A888:$A$1001,Customers!C888:$C$1001,"Not Found",0))</f>
        <v>kfersonon@g.co</v>
      </c>
      <c r="K889" s="2" t="str" cm="1">
        <f t="array" ref="K889">_xlfn.XLOOKUP(F889,Customers!A888:$A$1001,Customers!G888:$G$1001,"Not Found",0)</f>
        <v>United States</v>
      </c>
      <c r="L889" t="str">
        <f>INDEX(Products!$A$1:$G$49,MATCH(Orders!$G889,Products!$A$1:$A$49,0),MATCH(Orders!L$1,Products!$A$1:$G$1,0))</f>
        <v>Exc</v>
      </c>
      <c r="M889" t="str">
        <f>INDEX(Products!$A$1:$G$49,MATCH(Orders!$G889,Products!$A$1:$A$49,0),MATCH(Orders!M$1,Products!$A$1:$G$1,0))</f>
        <v>L</v>
      </c>
      <c r="N889" s="4">
        <f>INDEX(Products!$A$1:$G$49,MATCH(Orders!$G889,Products!$A$1:$A$49,0),MATCH(Orders!N$1,Products!$A$1:$G$1,0))</f>
        <v>0.2</v>
      </c>
      <c r="O889" s="7">
        <f>INDEX(Products!$A$1:$G$49,MATCH(Orders!$G889,Products!$A$1:$A$49,0),MATCH(Orders!O$1,Products!$A$1:$G$1,0))</f>
        <v>4.4550000000000001</v>
      </c>
      <c r="P889" s="7">
        <f t="shared" si="13"/>
        <v>13.365</v>
      </c>
      <c r="Q889" t="str" cm="1">
        <f t="array" ref="Q889">_xlfn.IFS(L889="Rob","Robusta",L889="Exc", "Excelsa",L889="Ara", "Arabica",L889="Lib", "Liberica")</f>
        <v>Excelsa</v>
      </c>
      <c r="R889" t="str" cm="1">
        <f t="array" ref="R889">_xlfn.IFS(M889="M","Medium",M889="L","Light",M889="D","Dark")</f>
        <v>Light</v>
      </c>
    </row>
    <row r="890" spans="1:18">
      <c r="A890" s="2" t="s">
        <v>1762</v>
      </c>
      <c r="B890" s="3">
        <v>44292</v>
      </c>
      <c r="C890" s="9">
        <f>YEAR(Orders_Table[[#This Row],[Order Date]])</f>
        <v>2021</v>
      </c>
      <c r="D890" s="9">
        <f>MONTH(Orders_Table[[#This Row],[Order Date]])</f>
        <v>4</v>
      </c>
      <c r="E890" s="9" t="str" cm="1">
        <f t="array" ref="E8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90" s="2" t="s">
        <v>1763</v>
      </c>
      <c r="G890" t="s">
        <v>162</v>
      </c>
      <c r="H890" s="2">
        <v>2</v>
      </c>
      <c r="I890" s="2" t="str" cm="1">
        <f t="array" ref="I890">_xlfn.XLOOKUP(F890,Customers!A889:$A$1001,Customers!B889:$B$1001,"Not Found",0)</f>
        <v>Blake Kelloway</v>
      </c>
      <c r="J890" s="2" t="str" cm="1">
        <f t="array" ref="J890">IF(_xlfn.XLOOKUP(F890,Customers!A889:$A$1001,Customers!C889:$C$1001,"Not Found",0)=0,"",_xlfn.XLOOKUP(F890,Customers!A889:$A$1001,Customers!C889:$C$1001,"Not Found",0))</f>
        <v>bkellowayoo@omniture.com</v>
      </c>
      <c r="K890" s="2" t="str" cm="1">
        <f t="array" ref="K890">_xlfn.XLOOKUP(F890,Customers!A889:$A$1001,Customers!G889:$G$1001,"Not Found",0)</f>
        <v>United States</v>
      </c>
      <c r="L890" t="str">
        <f>INDEX(Products!$A$1:$G$49,MATCH(Orders!$G890,Products!$A$1:$A$49,0),MATCH(Orders!L$1,Products!$A$1:$G$1,0))</f>
        <v>Ara</v>
      </c>
      <c r="M890" t="str">
        <f>INDEX(Products!$A$1:$G$49,MATCH(Orders!$G890,Products!$A$1:$A$49,0),MATCH(Orders!M$1,Products!$A$1:$G$1,0))</f>
        <v>L</v>
      </c>
      <c r="N890" s="4">
        <f>INDEX(Products!$A$1:$G$49,MATCH(Orders!$G890,Products!$A$1:$A$49,0),MATCH(Orders!N$1,Products!$A$1:$G$1,0))</f>
        <v>0.2</v>
      </c>
      <c r="O890" s="7">
        <f>INDEX(Products!$A$1:$G$49,MATCH(Orders!$G890,Products!$A$1:$A$49,0),MATCH(Orders!O$1,Products!$A$1:$G$1,0))</f>
        <v>3.8849999999999998</v>
      </c>
      <c r="P890" s="7">
        <f t="shared" si="13"/>
        <v>7.77</v>
      </c>
      <c r="Q890" t="str" cm="1">
        <f t="array" ref="Q890">_xlfn.IFS(L890="Rob","Robusta",L890="Exc", "Excelsa",L890="Ara", "Arabica",L890="Lib", "Liberica")</f>
        <v>Arabica</v>
      </c>
      <c r="R890" t="str" cm="1">
        <f t="array" ref="R890">_xlfn.IFS(M890="M","Medium",M890="L","Light",M890="D","Dark")</f>
        <v>Light</v>
      </c>
    </row>
    <row r="891" spans="1:18">
      <c r="A891" s="2" t="s">
        <v>1764</v>
      </c>
      <c r="B891" s="3">
        <v>43633</v>
      </c>
      <c r="C891" s="9">
        <f>YEAR(Orders_Table[[#This Row],[Order Date]])</f>
        <v>2019</v>
      </c>
      <c r="D891" s="9">
        <f>MONTH(Orders_Table[[#This Row],[Order Date]])</f>
        <v>6</v>
      </c>
      <c r="E891" s="9" t="str" cm="1">
        <f t="array" ref="E8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91" s="2" t="s">
        <v>1765</v>
      </c>
      <c r="G891" t="s">
        <v>148</v>
      </c>
      <c r="H891" s="2">
        <v>1</v>
      </c>
      <c r="I891" s="2" t="str" cm="1">
        <f t="array" ref="I891">_xlfn.XLOOKUP(F891,Customers!A890:$A$1001,Customers!B890:$B$1001,"Not Found",0)</f>
        <v>Scarlett Oliffe</v>
      </c>
      <c r="J891" s="2" t="str" cm="1">
        <f t="array" ref="J891">IF(_xlfn.XLOOKUP(F891,Customers!A890:$A$1001,Customers!C890:$C$1001,"Not Found",0)=0,"",_xlfn.XLOOKUP(F891,Customers!A890:$A$1001,Customers!C890:$C$1001,"Not Found",0))</f>
        <v>soliffeop@yellowbook.com</v>
      </c>
      <c r="K891" s="2" t="str" cm="1">
        <f t="array" ref="K891">_xlfn.XLOOKUP(F891,Customers!A890:$A$1001,Customers!G890:$G$1001,"Not Found",0)</f>
        <v>United States</v>
      </c>
      <c r="L891" t="str">
        <f>INDEX(Products!$A$1:$G$49,MATCH(Orders!$G891,Products!$A$1:$A$49,0),MATCH(Orders!L$1,Products!$A$1:$G$1,0))</f>
        <v>Rob</v>
      </c>
      <c r="M891" t="str">
        <f>INDEX(Products!$A$1:$G$49,MATCH(Orders!$G891,Products!$A$1:$A$49,0),MATCH(Orders!M$1,Products!$A$1:$G$1,0))</f>
        <v>D</v>
      </c>
      <c r="N891" s="4">
        <f>INDEX(Products!$A$1:$G$49,MATCH(Orders!$G891,Products!$A$1:$A$49,0),MATCH(Orders!N$1,Products!$A$1:$G$1,0))</f>
        <v>0.2</v>
      </c>
      <c r="O891" s="7">
        <f>INDEX(Products!$A$1:$G$49,MATCH(Orders!$G891,Products!$A$1:$A$49,0),MATCH(Orders!O$1,Products!$A$1:$G$1,0))</f>
        <v>2.6849999999999996</v>
      </c>
      <c r="P891" s="7">
        <f t="shared" si="13"/>
        <v>2.6849999999999996</v>
      </c>
      <c r="Q891" t="str" cm="1">
        <f t="array" ref="Q891">_xlfn.IFS(L891="Rob","Robusta",L891="Exc", "Excelsa",L891="Ara", "Arabica",L891="Lib", "Liberica")</f>
        <v>Robusta</v>
      </c>
      <c r="R891" t="str" cm="1">
        <f t="array" ref="R891">_xlfn.IFS(M891="M","Medium",M891="L","Light",M891="D","Dark")</f>
        <v>Dark</v>
      </c>
    </row>
    <row r="892" spans="1:18">
      <c r="A892" s="2" t="s">
        <v>1766</v>
      </c>
      <c r="B892" s="3">
        <v>44646</v>
      </c>
      <c r="C892" s="9">
        <f>YEAR(Orders_Table[[#This Row],[Order Date]])</f>
        <v>2022</v>
      </c>
      <c r="D892" s="9">
        <f>MONTH(Orders_Table[[#This Row],[Order Date]])</f>
        <v>3</v>
      </c>
      <c r="E892" s="9" t="str" cm="1">
        <f t="array" ref="E8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92" s="2" t="s">
        <v>1751</v>
      </c>
      <c r="G892" t="s">
        <v>82</v>
      </c>
      <c r="H892" s="2">
        <v>1</v>
      </c>
      <c r="I892" s="2" t="str" cm="1">
        <f t="array" ref="I892">_xlfn.XLOOKUP(F892,Customers!A891:$A$1001,Customers!B891:$B$1001,"Not Found",0)</f>
        <v>Kippie Marrison</v>
      </c>
      <c r="J892" s="2" t="str" cm="1">
        <f t="array" ref="J892">IF(_xlfn.XLOOKUP(F892,Customers!A891:$A$1001,Customers!C891:$C$1001,"Not Found",0)=0,"",_xlfn.XLOOKUP(F892,Customers!A891:$A$1001,Customers!C891:$C$1001,"Not Found",0))</f>
        <v>kmarrisonoq@dropbox.com</v>
      </c>
      <c r="K892" s="2" t="str" cm="1">
        <f t="array" ref="K892">_xlfn.XLOOKUP(F892,Customers!A891:$A$1001,Customers!G891:$G$1001,"Not Found",0)</f>
        <v>United States</v>
      </c>
      <c r="L892" t="str">
        <f>INDEX(Products!$A$1:$G$49,MATCH(Orders!$G892,Products!$A$1:$A$49,0),MATCH(Orders!L$1,Products!$A$1:$G$1,0))</f>
        <v>Rob</v>
      </c>
      <c r="M892" t="str">
        <f>INDEX(Products!$A$1:$G$49,MATCH(Orders!$G892,Products!$A$1:$A$49,0),MATCH(Orders!M$1,Products!$A$1:$G$1,0))</f>
        <v>D</v>
      </c>
      <c r="N892" s="4">
        <f>INDEX(Products!$A$1:$G$49,MATCH(Orders!$G892,Products!$A$1:$A$49,0),MATCH(Orders!N$1,Products!$A$1:$G$1,0))</f>
        <v>2.5</v>
      </c>
      <c r="O892" s="7">
        <f>INDEX(Products!$A$1:$G$49,MATCH(Orders!$G892,Products!$A$1:$A$49,0),MATCH(Orders!O$1,Products!$A$1:$G$1,0))</f>
        <v>20.584999999999997</v>
      </c>
      <c r="P892" s="7">
        <f t="shared" si="13"/>
        <v>20.584999999999997</v>
      </c>
      <c r="Q892" t="str" cm="1">
        <f t="array" ref="Q892">_xlfn.IFS(L892="Rob","Robusta",L892="Exc", "Excelsa",L892="Ara", "Arabica",L892="Lib", "Liberica")</f>
        <v>Robusta</v>
      </c>
      <c r="R892" t="str" cm="1">
        <f t="array" ref="R892">_xlfn.IFS(M892="M","Medium",M892="L","Light",M892="D","Dark")</f>
        <v>Dark</v>
      </c>
    </row>
    <row r="893" spans="1:18">
      <c r="A893" s="2" t="s">
        <v>1767</v>
      </c>
      <c r="B893" s="3">
        <v>44469</v>
      </c>
      <c r="C893" s="9">
        <f>YEAR(Orders_Table[[#This Row],[Order Date]])</f>
        <v>2021</v>
      </c>
      <c r="D893" s="9">
        <f>MONTH(Orders_Table[[#This Row],[Order Date]])</f>
        <v>9</v>
      </c>
      <c r="E893" s="9" t="str" cm="1">
        <f t="array" ref="E8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893" s="2" t="s">
        <v>1768</v>
      </c>
      <c r="G893" t="s">
        <v>165</v>
      </c>
      <c r="H893" s="2">
        <v>5</v>
      </c>
      <c r="I893" s="2" t="str" cm="1">
        <f t="array" ref="I893">_xlfn.XLOOKUP(F893,Customers!A892:$A$1001,Customers!B892:$B$1001,"Not Found",0)</f>
        <v>Celestia Dolohunty</v>
      </c>
      <c r="J893" s="2" t="str" cm="1">
        <f t="array" ref="J893">IF(_xlfn.XLOOKUP(F893,Customers!A892:$A$1001,Customers!C892:$C$1001,"Not Found",0)=0,"",_xlfn.XLOOKUP(F893,Customers!A892:$A$1001,Customers!C892:$C$1001,"Not Found",0))</f>
        <v>cdolohuntyor@dailymail.co.uk</v>
      </c>
      <c r="K893" s="2" t="str" cm="1">
        <f t="array" ref="K893">_xlfn.XLOOKUP(F893,Customers!A892:$A$1001,Customers!G892:$G$1001,"Not Found",0)</f>
        <v>United States</v>
      </c>
      <c r="L893" t="str">
        <f>INDEX(Products!$A$1:$G$49,MATCH(Orders!$G893,Products!$A$1:$A$49,0),MATCH(Orders!L$1,Products!$A$1:$G$1,0))</f>
        <v>Ara</v>
      </c>
      <c r="M893" t="str">
        <f>INDEX(Products!$A$1:$G$49,MATCH(Orders!$G893,Products!$A$1:$A$49,0),MATCH(Orders!M$1,Products!$A$1:$G$1,0))</f>
        <v>D</v>
      </c>
      <c r="N893" s="4">
        <f>INDEX(Products!$A$1:$G$49,MATCH(Orders!$G893,Products!$A$1:$A$49,0),MATCH(Orders!N$1,Products!$A$1:$G$1,0))</f>
        <v>2.5</v>
      </c>
      <c r="O893" s="7">
        <f>INDEX(Products!$A$1:$G$49,MATCH(Orders!$G893,Products!$A$1:$A$49,0),MATCH(Orders!O$1,Products!$A$1:$G$1,0))</f>
        <v>22.884999999999998</v>
      </c>
      <c r="P893" s="7">
        <f t="shared" si="13"/>
        <v>114.42499999999998</v>
      </c>
      <c r="Q893" t="str" cm="1">
        <f t="array" ref="Q893">_xlfn.IFS(L893="Rob","Robusta",L893="Exc", "Excelsa",L893="Ara", "Arabica",L893="Lib", "Liberica")</f>
        <v>Arabica</v>
      </c>
      <c r="R893" t="str" cm="1">
        <f t="array" ref="R893">_xlfn.IFS(M893="M","Medium",M893="L","Light",M893="D","Dark")</f>
        <v>Dark</v>
      </c>
    </row>
    <row r="894" spans="1:18">
      <c r="A894" s="2" t="s">
        <v>1769</v>
      </c>
      <c r="B894" s="3">
        <v>43635</v>
      </c>
      <c r="C894" s="9">
        <f>YEAR(Orders_Table[[#This Row],[Order Date]])</f>
        <v>2019</v>
      </c>
      <c r="D894" s="9">
        <f>MONTH(Orders_Table[[#This Row],[Order Date]])</f>
        <v>6</v>
      </c>
      <c r="E894" s="9" t="str" cm="1">
        <f t="array" ref="E8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894" s="2" t="s">
        <v>1770</v>
      </c>
      <c r="G894" t="s">
        <v>111</v>
      </c>
      <c r="H894" s="2">
        <v>5</v>
      </c>
      <c r="I894" s="2" t="str" cm="1">
        <f t="array" ref="I894">_xlfn.XLOOKUP(F894,Customers!A893:$A$1001,Customers!B893:$B$1001,"Not Found",0)</f>
        <v>Patsy Vasilenko</v>
      </c>
      <c r="J894" s="2" t="str" cm="1">
        <f t="array" ref="J894">IF(_xlfn.XLOOKUP(F894,Customers!A893:$A$1001,Customers!C893:$C$1001,"Not Found",0)=0,"",_xlfn.XLOOKUP(F894,Customers!A893:$A$1001,Customers!C893:$C$1001,"Not Found",0))</f>
        <v>pvasilenkoos@addtoany.com</v>
      </c>
      <c r="K894" s="2" t="str" cm="1">
        <f t="array" ref="K894">_xlfn.XLOOKUP(F894,Customers!A893:$A$1001,Customers!G893:$G$1001,"Not Found",0)</f>
        <v>United Kingdom</v>
      </c>
      <c r="L894" t="str">
        <f>INDEX(Products!$A$1:$G$49,MATCH(Orders!$G894,Products!$A$1:$A$49,0),MATCH(Orders!L$1,Products!$A$1:$G$1,0))</f>
        <v>Exc</v>
      </c>
      <c r="M894" t="str">
        <f>INDEX(Products!$A$1:$G$49,MATCH(Orders!$G894,Products!$A$1:$A$49,0),MATCH(Orders!M$1,Products!$A$1:$G$1,0))</f>
        <v>M</v>
      </c>
      <c r="N894" s="4">
        <f>INDEX(Products!$A$1:$G$49,MATCH(Orders!$G894,Products!$A$1:$A$49,0),MATCH(Orders!N$1,Products!$A$1:$G$1,0))</f>
        <v>0.2</v>
      </c>
      <c r="O894" s="7">
        <f>INDEX(Products!$A$1:$G$49,MATCH(Orders!$G894,Products!$A$1:$A$49,0),MATCH(Orders!O$1,Products!$A$1:$G$1,0))</f>
        <v>4.125</v>
      </c>
      <c r="P894" s="7">
        <f t="shared" si="13"/>
        <v>20.625</v>
      </c>
      <c r="Q894" t="str" cm="1">
        <f t="array" ref="Q894">_xlfn.IFS(L894="Rob","Robusta",L894="Exc", "Excelsa",L894="Ara", "Arabica",L894="Lib", "Liberica")</f>
        <v>Excelsa</v>
      </c>
      <c r="R894" t="str" cm="1">
        <f t="array" ref="R894">_xlfn.IFS(M894="M","Medium",M894="L","Light",M894="D","Dark")</f>
        <v>Medium</v>
      </c>
    </row>
    <row r="895" spans="1:18">
      <c r="A895" s="2" t="s">
        <v>1771</v>
      </c>
      <c r="B895" s="3">
        <v>44651</v>
      </c>
      <c r="C895" s="9">
        <f>YEAR(Orders_Table[[#This Row],[Order Date]])</f>
        <v>2022</v>
      </c>
      <c r="D895" s="9">
        <f>MONTH(Orders_Table[[#This Row],[Order Date]])</f>
        <v>3</v>
      </c>
      <c r="E895" s="9" t="str" cm="1">
        <f t="array" ref="E8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895" s="2" t="s">
        <v>1772</v>
      </c>
      <c r="G895" t="s">
        <v>130</v>
      </c>
      <c r="H895" s="2">
        <v>6</v>
      </c>
      <c r="I895" s="2" t="str" cm="1">
        <f t="array" ref="I895">_xlfn.XLOOKUP(F895,Customers!A894:$A$1001,Customers!B894:$B$1001,"Not Found",0)</f>
        <v>Raphaela Schankelborg</v>
      </c>
      <c r="J895" s="2" t="str" cm="1">
        <f t="array" ref="J895">IF(_xlfn.XLOOKUP(F895,Customers!A894:$A$1001,Customers!C894:$C$1001,"Not Found",0)=0,"",_xlfn.XLOOKUP(F895,Customers!A894:$A$1001,Customers!C894:$C$1001,"Not Found",0))</f>
        <v>rschankelborgot@ameblo.jp</v>
      </c>
      <c r="K895" s="2" t="str" cm="1">
        <f t="array" ref="K895">_xlfn.XLOOKUP(F895,Customers!A894:$A$1001,Customers!G894:$G$1001,"Not Found",0)</f>
        <v>United States</v>
      </c>
      <c r="L895" t="str">
        <f>INDEX(Products!$A$1:$G$49,MATCH(Orders!$G895,Products!$A$1:$A$49,0),MATCH(Orders!L$1,Products!$A$1:$G$1,0))</f>
        <v>Lib</v>
      </c>
      <c r="M895" t="str">
        <f>INDEX(Products!$A$1:$G$49,MATCH(Orders!$G895,Products!$A$1:$A$49,0),MATCH(Orders!M$1,Products!$A$1:$G$1,0))</f>
        <v>L</v>
      </c>
      <c r="N895" s="4">
        <f>INDEX(Products!$A$1:$G$49,MATCH(Orders!$G895,Products!$A$1:$A$49,0),MATCH(Orders!N$1,Products!$A$1:$G$1,0))</f>
        <v>0.5</v>
      </c>
      <c r="O895" s="7">
        <f>INDEX(Products!$A$1:$G$49,MATCH(Orders!$G895,Products!$A$1:$A$49,0),MATCH(Orders!O$1,Products!$A$1:$G$1,0))</f>
        <v>9.51</v>
      </c>
      <c r="P895" s="7">
        <f t="shared" si="13"/>
        <v>57.06</v>
      </c>
      <c r="Q895" t="str" cm="1">
        <f t="array" ref="Q895">_xlfn.IFS(L895="Rob","Robusta",L895="Exc", "Excelsa",L895="Ara", "Arabica",L895="Lib", "Liberica")</f>
        <v>Liberica</v>
      </c>
      <c r="R895" t="str" cm="1">
        <f t="array" ref="R895">_xlfn.IFS(M895="M","Medium",M895="L","Light",M895="D","Dark")</f>
        <v>Light</v>
      </c>
    </row>
    <row r="896" spans="1:18">
      <c r="A896" s="2" t="s">
        <v>1773</v>
      </c>
      <c r="B896" s="3">
        <v>44016</v>
      </c>
      <c r="C896" s="9">
        <f>YEAR(Orders_Table[[#This Row],[Order Date]])</f>
        <v>2020</v>
      </c>
      <c r="D896" s="9">
        <f>MONTH(Orders_Table[[#This Row],[Order Date]])</f>
        <v>7</v>
      </c>
      <c r="E896" s="9" t="str" cm="1">
        <f t="array" ref="E8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896" s="2" t="s">
        <v>1774</v>
      </c>
      <c r="G896" t="s">
        <v>82</v>
      </c>
      <c r="H896" s="2">
        <v>4</v>
      </c>
      <c r="I896" s="2" t="str" cm="1">
        <f t="array" ref="I896">_xlfn.XLOOKUP(F896,Customers!A895:$A$1001,Customers!B895:$B$1001,"Not Found",0)</f>
        <v>Sharity Wickens</v>
      </c>
      <c r="J896" s="2" t="str" cm="1">
        <f t="array" ref="J896">IF(_xlfn.XLOOKUP(F896,Customers!A895:$A$1001,Customers!C895:$C$1001,"Not Found",0)=0,"",_xlfn.XLOOKUP(F896,Customers!A895:$A$1001,Customers!C895:$C$1001,"Not Found",0))</f>
        <v/>
      </c>
      <c r="K896" s="2" t="str" cm="1">
        <f t="array" ref="K896">_xlfn.XLOOKUP(F896,Customers!A895:$A$1001,Customers!G895:$G$1001,"Not Found",0)</f>
        <v>Ireland</v>
      </c>
      <c r="L896" t="str">
        <f>INDEX(Products!$A$1:$G$49,MATCH(Orders!$G896,Products!$A$1:$A$49,0),MATCH(Orders!L$1,Products!$A$1:$G$1,0))</f>
        <v>Rob</v>
      </c>
      <c r="M896" t="str">
        <f>INDEX(Products!$A$1:$G$49,MATCH(Orders!$G896,Products!$A$1:$A$49,0),MATCH(Orders!M$1,Products!$A$1:$G$1,0))</f>
        <v>D</v>
      </c>
      <c r="N896" s="4">
        <f>INDEX(Products!$A$1:$G$49,MATCH(Orders!$G896,Products!$A$1:$A$49,0),MATCH(Orders!N$1,Products!$A$1:$G$1,0))</f>
        <v>2.5</v>
      </c>
      <c r="O896" s="7">
        <f>INDEX(Products!$A$1:$G$49,MATCH(Orders!$G896,Products!$A$1:$A$49,0),MATCH(Orders!O$1,Products!$A$1:$G$1,0))</f>
        <v>20.584999999999997</v>
      </c>
      <c r="P896" s="7">
        <f t="shared" si="13"/>
        <v>82.339999999999989</v>
      </c>
      <c r="Q896" t="str" cm="1">
        <f t="array" ref="Q896">_xlfn.IFS(L896="Rob","Robusta",L896="Exc", "Excelsa",L896="Ara", "Arabica",L896="Lib", "Liberica")</f>
        <v>Robusta</v>
      </c>
      <c r="R896" t="str" cm="1">
        <f t="array" ref="R896">_xlfn.IFS(M896="M","Medium",M896="L","Light",M896="D","Dark")</f>
        <v>Dark</v>
      </c>
    </row>
    <row r="897" spans="1:18">
      <c r="A897" s="2" t="s">
        <v>1775</v>
      </c>
      <c r="B897" s="3">
        <v>44521</v>
      </c>
      <c r="C897" s="9">
        <f>YEAR(Orders_Table[[#This Row],[Order Date]])</f>
        <v>2021</v>
      </c>
      <c r="D897" s="9">
        <f>MONTH(Orders_Table[[#This Row],[Order Date]])</f>
        <v>11</v>
      </c>
      <c r="E897" s="9" t="str" cm="1">
        <f t="array" ref="E8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897" s="2" t="s">
        <v>1776</v>
      </c>
      <c r="G897" t="s">
        <v>159</v>
      </c>
      <c r="H897" s="2">
        <v>5</v>
      </c>
      <c r="I897" s="2" t="str" cm="1">
        <f t="array" ref="I897">_xlfn.XLOOKUP(F897,Customers!A896:$A$1001,Customers!B896:$B$1001,"Not Found",0)</f>
        <v>Derick Snow</v>
      </c>
      <c r="J897" s="2" t="str" cm="1">
        <f t="array" ref="J897">IF(_xlfn.XLOOKUP(F897,Customers!A896:$A$1001,Customers!C896:$C$1001,"Not Found",0)=0,"",_xlfn.XLOOKUP(F897,Customers!A896:$A$1001,Customers!C896:$C$1001,"Not Found",0))</f>
        <v/>
      </c>
      <c r="K897" s="2" t="str" cm="1">
        <f t="array" ref="K897">_xlfn.XLOOKUP(F897,Customers!A896:$A$1001,Customers!G896:$G$1001,"Not Found",0)</f>
        <v>United States</v>
      </c>
      <c r="L897" t="str">
        <f>INDEX(Products!$A$1:$G$49,MATCH(Orders!$G897,Products!$A$1:$A$49,0),MATCH(Orders!L$1,Products!$A$1:$G$1,0))</f>
        <v>Exc</v>
      </c>
      <c r="M897" t="str">
        <f>INDEX(Products!$A$1:$G$49,MATCH(Orders!$G897,Products!$A$1:$A$49,0),MATCH(Orders!M$1,Products!$A$1:$G$1,0))</f>
        <v>M</v>
      </c>
      <c r="N897" s="4">
        <f>INDEX(Products!$A$1:$G$49,MATCH(Orders!$G897,Products!$A$1:$A$49,0),MATCH(Orders!N$1,Products!$A$1:$G$1,0))</f>
        <v>2.5</v>
      </c>
      <c r="O897" s="7">
        <f>INDEX(Products!$A$1:$G$49,MATCH(Orders!$G897,Products!$A$1:$A$49,0),MATCH(Orders!O$1,Products!$A$1:$G$1,0))</f>
        <v>31.624999999999996</v>
      </c>
      <c r="P897" s="7">
        <f t="shared" si="13"/>
        <v>158.12499999999997</v>
      </c>
      <c r="Q897" t="str" cm="1">
        <f t="array" ref="Q897">_xlfn.IFS(L897="Rob","Robusta",L897="Exc", "Excelsa",L897="Ara", "Arabica",L897="Lib", "Liberica")</f>
        <v>Excelsa</v>
      </c>
      <c r="R897" t="str" cm="1">
        <f t="array" ref="R897">_xlfn.IFS(M897="M","Medium",M897="L","Light",M897="D","Dark")</f>
        <v>Medium</v>
      </c>
    </row>
    <row r="898" spans="1:18">
      <c r="A898" s="2" t="s">
        <v>1777</v>
      </c>
      <c r="B898" s="3">
        <v>44347</v>
      </c>
      <c r="C898" s="9">
        <f>YEAR(Orders_Table[[#This Row],[Order Date]])</f>
        <v>2021</v>
      </c>
      <c r="D898" s="9">
        <f>MONTH(Orders_Table[[#This Row],[Order Date]])</f>
        <v>5</v>
      </c>
      <c r="E898" s="9" t="str" cm="1">
        <f t="array" ref="E8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898" s="2" t="s">
        <v>1778</v>
      </c>
      <c r="G898" t="s">
        <v>193</v>
      </c>
      <c r="H898" s="2">
        <v>6</v>
      </c>
      <c r="I898" s="2" t="str" cm="1">
        <f t="array" ref="I898">_xlfn.XLOOKUP(F898,Customers!A897:$A$1001,Customers!B897:$B$1001,"Not Found",0)</f>
        <v>Baxy Cargen</v>
      </c>
      <c r="J898" s="2" t="str" cm="1">
        <f t="array" ref="J898">IF(_xlfn.XLOOKUP(F898,Customers!A897:$A$1001,Customers!C897:$C$1001,"Not Found",0)=0,"",_xlfn.XLOOKUP(F898,Customers!A897:$A$1001,Customers!C897:$C$1001,"Not Found",0))</f>
        <v>bcargenow@geocities.jp</v>
      </c>
      <c r="K898" s="2" t="str" cm="1">
        <f t="array" ref="K898">_xlfn.XLOOKUP(F898,Customers!A897:$A$1001,Customers!G897:$G$1001,"Not Found",0)</f>
        <v>United States</v>
      </c>
      <c r="L898" t="str">
        <f>INDEX(Products!$A$1:$G$49,MATCH(Orders!$G898,Products!$A$1:$A$49,0),MATCH(Orders!L$1,Products!$A$1:$G$1,0))</f>
        <v>Rob</v>
      </c>
      <c r="M898" t="str">
        <f>INDEX(Products!$A$1:$G$49,MATCH(Orders!$G898,Products!$A$1:$A$49,0),MATCH(Orders!M$1,Products!$A$1:$G$1,0))</f>
        <v>D</v>
      </c>
      <c r="N898" s="4">
        <f>INDEX(Products!$A$1:$G$49,MATCH(Orders!$G898,Products!$A$1:$A$49,0),MATCH(Orders!N$1,Products!$A$1:$G$1,0))</f>
        <v>0.5</v>
      </c>
      <c r="O898" s="7">
        <f>INDEX(Products!$A$1:$G$49,MATCH(Orders!$G898,Products!$A$1:$A$49,0),MATCH(Orders!O$1,Products!$A$1:$G$1,0))</f>
        <v>5.3699999999999992</v>
      </c>
      <c r="P898" s="7">
        <f t="shared" si="13"/>
        <v>32.22</v>
      </c>
      <c r="Q898" t="str" cm="1">
        <f t="array" ref="Q898">_xlfn.IFS(L898="Rob","Robusta",L898="Exc", "Excelsa",L898="Ara", "Arabica",L898="Lib", "Liberica")</f>
        <v>Robusta</v>
      </c>
      <c r="R898" t="str" cm="1">
        <f t="array" ref="R898">_xlfn.IFS(M898="M","Medium",M898="L","Light",M898="D","Dark")</f>
        <v>Dark</v>
      </c>
    </row>
    <row r="899" spans="1:18">
      <c r="A899" s="2" t="s">
        <v>1779</v>
      </c>
      <c r="B899" s="3">
        <v>43932</v>
      </c>
      <c r="C899" s="9">
        <f>YEAR(Orders_Table[[#This Row],[Order Date]])</f>
        <v>2020</v>
      </c>
      <c r="D899" s="9">
        <f>MONTH(Orders_Table[[#This Row],[Order Date]])</f>
        <v>4</v>
      </c>
      <c r="E899" s="9" t="str" cm="1">
        <f t="array" ref="E8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899" s="2" t="s">
        <v>1780</v>
      </c>
      <c r="G899" t="s">
        <v>292</v>
      </c>
      <c r="H899" s="2">
        <v>2</v>
      </c>
      <c r="I899" s="2" t="str" cm="1">
        <f t="array" ref="I899">_xlfn.XLOOKUP(F899,Customers!A898:$A$1001,Customers!B898:$B$1001,"Not Found",0)</f>
        <v>Ryann Stickler</v>
      </c>
      <c r="J899" s="2" t="str" cm="1">
        <f t="array" ref="J899">IF(_xlfn.XLOOKUP(F899,Customers!A898:$A$1001,Customers!C898:$C$1001,"Not Found",0)=0,"",_xlfn.XLOOKUP(F899,Customers!A898:$A$1001,Customers!C898:$C$1001,"Not Found",0))</f>
        <v>rsticklerox@printfriendly.com</v>
      </c>
      <c r="K899" s="2" t="str" cm="1">
        <f t="array" ref="K899">_xlfn.XLOOKUP(F899,Customers!A898:$A$1001,Customers!G898:$G$1001,"Not Found",0)</f>
        <v>United Kingdom</v>
      </c>
      <c r="L899" t="str">
        <f>INDEX(Products!$A$1:$G$49,MATCH(Orders!$G899,Products!$A$1:$A$49,0),MATCH(Orders!L$1,Products!$A$1:$G$1,0))</f>
        <v>Exc</v>
      </c>
      <c r="M899" t="str">
        <f>INDEX(Products!$A$1:$G$49,MATCH(Orders!$G899,Products!$A$1:$A$49,0),MATCH(Orders!M$1,Products!$A$1:$G$1,0))</f>
        <v>D</v>
      </c>
      <c r="N899" s="4">
        <f>INDEX(Products!$A$1:$G$49,MATCH(Orders!$G899,Products!$A$1:$A$49,0),MATCH(Orders!N$1,Products!$A$1:$G$1,0))</f>
        <v>1</v>
      </c>
      <c r="O899" s="7">
        <f>INDEX(Products!$A$1:$G$49,MATCH(Orders!$G899,Products!$A$1:$A$49,0),MATCH(Orders!O$1,Products!$A$1:$G$1,0))</f>
        <v>12.15</v>
      </c>
      <c r="P899" s="7">
        <f t="shared" ref="P899:P962" si="14">O899*H899</f>
        <v>24.3</v>
      </c>
      <c r="Q899" t="str" cm="1">
        <f t="array" ref="Q899">_xlfn.IFS(L899="Rob","Robusta",L899="Exc", "Excelsa",L899="Ara", "Arabica",L899="Lib", "Liberica")</f>
        <v>Excelsa</v>
      </c>
      <c r="R899" t="str" cm="1">
        <f t="array" ref="R899">_xlfn.IFS(M899="M","Medium",M899="L","Light",M899="D","Dark")</f>
        <v>Dark</v>
      </c>
    </row>
    <row r="900" spans="1:18">
      <c r="A900" s="2" t="s">
        <v>1781</v>
      </c>
      <c r="B900" s="3">
        <v>44089</v>
      </c>
      <c r="C900" s="9">
        <f>YEAR(Orders_Table[[#This Row],[Order Date]])</f>
        <v>2020</v>
      </c>
      <c r="D900" s="9">
        <f>MONTH(Orders_Table[[#This Row],[Order Date]])</f>
        <v>9</v>
      </c>
      <c r="E900" s="9" t="str" cm="1">
        <f t="array" ref="E9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00" s="2" t="s">
        <v>1782</v>
      </c>
      <c r="G900" t="s">
        <v>204</v>
      </c>
      <c r="H900" s="2">
        <v>5</v>
      </c>
      <c r="I900" s="2" t="str" cm="1">
        <f t="array" ref="I900">_xlfn.XLOOKUP(F900,Customers!A899:$A$1001,Customers!B899:$B$1001,"Not Found",0)</f>
        <v>Daryn Cassius</v>
      </c>
      <c r="J900" s="2" t="str" cm="1">
        <f t="array" ref="J900">IF(_xlfn.XLOOKUP(F900,Customers!A899:$A$1001,Customers!C899:$C$1001,"Not Found",0)=0,"",_xlfn.XLOOKUP(F900,Customers!A899:$A$1001,Customers!C899:$C$1001,"Not Found",0))</f>
        <v/>
      </c>
      <c r="K900" s="2" t="str" cm="1">
        <f t="array" ref="K900">_xlfn.XLOOKUP(F900,Customers!A899:$A$1001,Customers!G899:$G$1001,"Not Found",0)</f>
        <v>United States</v>
      </c>
      <c r="L900" t="str">
        <f>INDEX(Products!$A$1:$G$49,MATCH(Orders!$G900,Products!$A$1:$A$49,0),MATCH(Orders!L$1,Products!$A$1:$G$1,0))</f>
        <v>Rob</v>
      </c>
      <c r="M900" t="str">
        <f>INDEX(Products!$A$1:$G$49,MATCH(Orders!$G900,Products!$A$1:$A$49,0),MATCH(Orders!M$1,Products!$A$1:$G$1,0))</f>
        <v>L</v>
      </c>
      <c r="N900" s="4">
        <f>INDEX(Products!$A$1:$G$49,MATCH(Orders!$G900,Products!$A$1:$A$49,0),MATCH(Orders!N$1,Products!$A$1:$G$1,0))</f>
        <v>0.5</v>
      </c>
      <c r="O900" s="7">
        <f>INDEX(Products!$A$1:$G$49,MATCH(Orders!$G900,Products!$A$1:$A$49,0),MATCH(Orders!O$1,Products!$A$1:$G$1,0))</f>
        <v>7.169999999999999</v>
      </c>
      <c r="P900" s="7">
        <f t="shared" si="14"/>
        <v>35.849999999999994</v>
      </c>
      <c r="Q900" t="str" cm="1">
        <f t="array" ref="Q900">_xlfn.IFS(L900="Rob","Robusta",L900="Exc", "Excelsa",L900="Ara", "Arabica",L900="Lib", "Liberica")</f>
        <v>Robusta</v>
      </c>
      <c r="R900" t="str" cm="1">
        <f t="array" ref="R900">_xlfn.IFS(M900="M","Medium",M900="L","Light",M900="D","Dark")</f>
        <v>Light</v>
      </c>
    </row>
    <row r="901" spans="1:18">
      <c r="A901" s="2" t="s">
        <v>1783</v>
      </c>
      <c r="B901" s="3">
        <v>44523</v>
      </c>
      <c r="C901" s="9">
        <f>YEAR(Orders_Table[[#This Row],[Order Date]])</f>
        <v>2021</v>
      </c>
      <c r="D901" s="9">
        <f>MONTH(Orders_Table[[#This Row],[Order Date]])</f>
        <v>11</v>
      </c>
      <c r="E901" s="9" t="str" cm="1">
        <f t="array" ref="E9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01" s="2" t="s">
        <v>1776</v>
      </c>
      <c r="G901" t="s">
        <v>143</v>
      </c>
      <c r="H901" s="2">
        <v>5</v>
      </c>
      <c r="I901" s="2" t="str" cm="1">
        <f t="array" ref="I901">_xlfn.XLOOKUP(F901,Customers!A900:$A$1001,Customers!B900:$B$1001,"Not Found",0)</f>
        <v>Not Found</v>
      </c>
      <c r="J901" s="2" t="str" cm="1">
        <f t="array" ref="J901">IF(_xlfn.XLOOKUP(F901,Customers!A900:$A$1001,Customers!C900:$C$1001,"Not Found",0)=0,"",_xlfn.XLOOKUP(F901,Customers!A900:$A$1001,Customers!C900:$C$1001,"Not Found",0))</f>
        <v>Not Found</v>
      </c>
      <c r="K901" s="2" t="str" cm="1">
        <f t="array" ref="K901">_xlfn.XLOOKUP(F901,Customers!A900:$A$1001,Customers!G900:$G$1001,"Not Found",0)</f>
        <v>Not Found</v>
      </c>
      <c r="L901" t="str">
        <f>INDEX(Products!$A$1:$G$49,MATCH(Orders!$G901,Products!$A$1:$A$49,0),MATCH(Orders!L$1,Products!$A$1:$G$1,0))</f>
        <v>Lib</v>
      </c>
      <c r="M901" t="str">
        <f>INDEX(Products!$A$1:$G$49,MATCH(Orders!$G901,Products!$A$1:$A$49,0),MATCH(Orders!M$1,Products!$A$1:$G$1,0))</f>
        <v>M</v>
      </c>
      <c r="N901" s="4">
        <f>INDEX(Products!$A$1:$G$49,MATCH(Orders!$G901,Products!$A$1:$A$49,0),MATCH(Orders!N$1,Products!$A$1:$G$1,0))</f>
        <v>1</v>
      </c>
      <c r="O901" s="7">
        <f>INDEX(Products!$A$1:$G$49,MATCH(Orders!$G901,Products!$A$1:$A$49,0),MATCH(Orders!O$1,Products!$A$1:$G$1,0))</f>
        <v>14.55</v>
      </c>
      <c r="P901" s="7">
        <f t="shared" si="14"/>
        <v>72.75</v>
      </c>
      <c r="Q901" t="str" cm="1">
        <f t="array" ref="Q901">_xlfn.IFS(L901="Rob","Robusta",L901="Exc", "Excelsa",L901="Ara", "Arabica",L901="Lib", "Liberica")</f>
        <v>Liberica</v>
      </c>
      <c r="R901" t="str" cm="1">
        <f t="array" ref="R901">_xlfn.IFS(M901="M","Medium",M901="L","Light",M901="D","Dark")</f>
        <v>Medium</v>
      </c>
    </row>
    <row r="902" spans="1:18">
      <c r="A902" s="2" t="s">
        <v>1784</v>
      </c>
      <c r="B902" s="3">
        <v>44584</v>
      </c>
      <c r="C902" s="9">
        <f>YEAR(Orders_Table[[#This Row],[Order Date]])</f>
        <v>2022</v>
      </c>
      <c r="D902" s="9">
        <f>MONTH(Orders_Table[[#This Row],[Order Date]])</f>
        <v>1</v>
      </c>
      <c r="E902" s="9" t="str" cm="1">
        <f t="array" ref="E90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02" s="2" t="s">
        <v>1785</v>
      </c>
      <c r="G902" t="s">
        <v>179</v>
      </c>
      <c r="H902" s="2">
        <v>3</v>
      </c>
      <c r="I902" s="2" t="str" cm="1">
        <f t="array" ref="I902">_xlfn.XLOOKUP(F902,Customers!A901:$A$1001,Customers!B901:$B$1001,"Not Found",0)</f>
        <v>Skelly Dolohunty</v>
      </c>
      <c r="J902" s="2" t="str" cm="1">
        <f t="array" ref="J902">IF(_xlfn.XLOOKUP(F902,Customers!A901:$A$1001,Customers!C901:$C$1001,"Not Found",0)=0,"",_xlfn.XLOOKUP(F902,Customers!A901:$A$1001,Customers!C901:$C$1001,"Not Found",0))</f>
        <v/>
      </c>
      <c r="K902" s="2" t="str" cm="1">
        <f t="array" ref="K902">_xlfn.XLOOKUP(F902,Customers!A901:$A$1001,Customers!G901:$G$1001,"Not Found",0)</f>
        <v>Ireland</v>
      </c>
      <c r="L902" t="str">
        <f>INDEX(Products!$A$1:$G$49,MATCH(Orders!$G902,Products!$A$1:$A$49,0),MATCH(Orders!L$1,Products!$A$1:$G$1,0))</f>
        <v>Lib</v>
      </c>
      <c r="M902" t="str">
        <f>INDEX(Products!$A$1:$G$49,MATCH(Orders!$G902,Products!$A$1:$A$49,0),MATCH(Orders!M$1,Products!$A$1:$G$1,0))</f>
        <v>L</v>
      </c>
      <c r="N902" s="4">
        <f>INDEX(Products!$A$1:$G$49,MATCH(Orders!$G902,Products!$A$1:$A$49,0),MATCH(Orders!N$1,Products!$A$1:$G$1,0))</f>
        <v>1</v>
      </c>
      <c r="O902" s="7">
        <f>INDEX(Products!$A$1:$G$49,MATCH(Orders!$G902,Products!$A$1:$A$49,0),MATCH(Orders!O$1,Products!$A$1:$G$1,0))</f>
        <v>15.85</v>
      </c>
      <c r="P902" s="7">
        <f t="shared" si="14"/>
        <v>47.55</v>
      </c>
      <c r="Q902" t="str" cm="1">
        <f t="array" ref="Q902">_xlfn.IFS(L902="Rob","Robusta",L902="Exc", "Excelsa",L902="Ara", "Arabica",L902="Lib", "Liberica")</f>
        <v>Liberica</v>
      </c>
      <c r="R902" t="str" cm="1">
        <f t="array" ref="R902">_xlfn.IFS(M902="M","Medium",M902="L","Light",M902="D","Dark")</f>
        <v>Light</v>
      </c>
    </row>
    <row r="903" spans="1:18">
      <c r="A903" s="2" t="s">
        <v>1786</v>
      </c>
      <c r="B903" s="3">
        <v>44223</v>
      </c>
      <c r="C903" s="9">
        <f>YEAR(Orders_Table[[#This Row],[Order Date]])</f>
        <v>2021</v>
      </c>
      <c r="D903" s="9">
        <f>MONTH(Orders_Table[[#This Row],[Order Date]])</f>
        <v>1</v>
      </c>
      <c r="E903" s="9" t="str" cm="1">
        <f t="array" ref="E90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03" s="2" t="s">
        <v>1787</v>
      </c>
      <c r="G903" t="s">
        <v>229</v>
      </c>
      <c r="H903" s="2">
        <v>1</v>
      </c>
      <c r="I903" s="2" t="str" cm="1">
        <f t="array" ref="I903">_xlfn.XLOOKUP(F903,Customers!A902:$A$1001,Customers!B902:$B$1001,"Not Found",0)</f>
        <v>Drake Jevon</v>
      </c>
      <c r="J903" s="2" t="str" cm="1">
        <f t="array" ref="J903">IF(_xlfn.XLOOKUP(F903,Customers!A902:$A$1001,Customers!C902:$C$1001,"Not Found",0)=0,"",_xlfn.XLOOKUP(F903,Customers!A902:$A$1001,Customers!C902:$C$1001,"Not Found",0))</f>
        <v>djevonp1@ibm.com</v>
      </c>
      <c r="K903" s="2" t="str" cm="1">
        <f t="array" ref="K903">_xlfn.XLOOKUP(F903,Customers!A902:$A$1001,Customers!G902:$G$1001,"Not Found",0)</f>
        <v>United States</v>
      </c>
      <c r="L903" t="str">
        <f>INDEX(Products!$A$1:$G$49,MATCH(Orders!$G903,Products!$A$1:$A$49,0),MATCH(Orders!L$1,Products!$A$1:$G$1,0))</f>
        <v>Rob</v>
      </c>
      <c r="M903" t="str">
        <f>INDEX(Products!$A$1:$G$49,MATCH(Orders!$G903,Products!$A$1:$A$49,0),MATCH(Orders!M$1,Products!$A$1:$G$1,0))</f>
        <v>L</v>
      </c>
      <c r="N903" s="4">
        <f>INDEX(Products!$A$1:$G$49,MATCH(Orders!$G903,Products!$A$1:$A$49,0),MATCH(Orders!N$1,Products!$A$1:$G$1,0))</f>
        <v>0.2</v>
      </c>
      <c r="O903" s="7">
        <f>INDEX(Products!$A$1:$G$49,MATCH(Orders!$G903,Products!$A$1:$A$49,0),MATCH(Orders!O$1,Products!$A$1:$G$1,0))</f>
        <v>3.5849999999999995</v>
      </c>
      <c r="P903" s="7">
        <f t="shared" si="14"/>
        <v>3.5849999999999995</v>
      </c>
      <c r="Q903" t="str" cm="1">
        <f t="array" ref="Q903">_xlfn.IFS(L903="Rob","Robusta",L903="Exc", "Excelsa",L903="Ara", "Arabica",L903="Lib", "Liberica")</f>
        <v>Robusta</v>
      </c>
      <c r="R903" t="str" cm="1">
        <f t="array" ref="R903">_xlfn.IFS(M903="M","Medium",M903="L","Light",M903="D","Dark")</f>
        <v>Light</v>
      </c>
    </row>
    <row r="904" spans="1:18">
      <c r="A904" s="2" t="s">
        <v>1788</v>
      </c>
      <c r="B904" s="3">
        <v>43640</v>
      </c>
      <c r="C904" s="9">
        <f>YEAR(Orders_Table[[#This Row],[Order Date]])</f>
        <v>2019</v>
      </c>
      <c r="D904" s="9">
        <f>MONTH(Orders_Table[[#This Row],[Order Date]])</f>
        <v>6</v>
      </c>
      <c r="E904" s="9" t="str" cm="1">
        <f t="array" ref="E90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04" s="2" t="s">
        <v>1789</v>
      </c>
      <c r="G904" t="s">
        <v>159</v>
      </c>
      <c r="H904" s="2">
        <v>5</v>
      </c>
      <c r="I904" s="2" t="str" cm="1">
        <f t="array" ref="I904">_xlfn.XLOOKUP(F904,Customers!A903:$A$1001,Customers!B903:$B$1001,"Not Found",0)</f>
        <v>Hall Ranner</v>
      </c>
      <c r="J904" s="2" t="str" cm="1">
        <f t="array" ref="J904">IF(_xlfn.XLOOKUP(F904,Customers!A903:$A$1001,Customers!C903:$C$1001,"Not Found",0)=0,"",_xlfn.XLOOKUP(F904,Customers!A903:$A$1001,Customers!C903:$C$1001,"Not Found",0))</f>
        <v>hrannerp2@omniture.com</v>
      </c>
      <c r="K904" s="2" t="str" cm="1">
        <f t="array" ref="K904">_xlfn.XLOOKUP(F904,Customers!A903:$A$1001,Customers!G903:$G$1001,"Not Found",0)</f>
        <v>United States</v>
      </c>
      <c r="L904" t="str">
        <f>INDEX(Products!$A$1:$G$49,MATCH(Orders!$G904,Products!$A$1:$A$49,0),MATCH(Orders!L$1,Products!$A$1:$G$1,0))</f>
        <v>Exc</v>
      </c>
      <c r="M904" t="str">
        <f>INDEX(Products!$A$1:$G$49,MATCH(Orders!$G904,Products!$A$1:$A$49,0),MATCH(Orders!M$1,Products!$A$1:$G$1,0))</f>
        <v>M</v>
      </c>
      <c r="N904" s="4">
        <f>INDEX(Products!$A$1:$G$49,MATCH(Orders!$G904,Products!$A$1:$A$49,0),MATCH(Orders!N$1,Products!$A$1:$G$1,0))</f>
        <v>2.5</v>
      </c>
      <c r="O904" s="7">
        <f>INDEX(Products!$A$1:$G$49,MATCH(Orders!$G904,Products!$A$1:$A$49,0),MATCH(Orders!O$1,Products!$A$1:$G$1,0))</f>
        <v>31.624999999999996</v>
      </c>
      <c r="P904" s="7">
        <f t="shared" si="14"/>
        <v>158.12499999999997</v>
      </c>
      <c r="Q904" t="str" cm="1">
        <f t="array" ref="Q904">_xlfn.IFS(L904="Rob","Robusta",L904="Exc", "Excelsa",L904="Ara", "Arabica",L904="Lib", "Liberica")</f>
        <v>Excelsa</v>
      </c>
      <c r="R904" t="str" cm="1">
        <f t="array" ref="R904">_xlfn.IFS(M904="M","Medium",M904="L","Light",M904="D","Dark")</f>
        <v>Medium</v>
      </c>
    </row>
    <row r="905" spans="1:18">
      <c r="A905" s="2" t="s">
        <v>1790</v>
      </c>
      <c r="B905" s="3">
        <v>43905</v>
      </c>
      <c r="C905" s="9">
        <f>YEAR(Orders_Table[[#This Row],[Order Date]])</f>
        <v>2020</v>
      </c>
      <c r="D905" s="9">
        <f>MONTH(Orders_Table[[#This Row],[Order Date]])</f>
        <v>3</v>
      </c>
      <c r="E905" s="9" t="str" cm="1">
        <f t="array" ref="E90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05" s="2" t="s">
        <v>1791</v>
      </c>
      <c r="G905" t="s">
        <v>125</v>
      </c>
      <c r="H905" s="2">
        <v>2</v>
      </c>
      <c r="I905" s="2" t="str" cm="1">
        <f t="array" ref="I905">_xlfn.XLOOKUP(F905,Customers!A904:$A$1001,Customers!B904:$B$1001,"Not Found",0)</f>
        <v>Berkly Imrie</v>
      </c>
      <c r="J905" s="2" t="str" cm="1">
        <f t="array" ref="J905">IF(_xlfn.XLOOKUP(F905,Customers!A904:$A$1001,Customers!C904:$C$1001,"Not Found",0)=0,"",_xlfn.XLOOKUP(F905,Customers!A904:$A$1001,Customers!C904:$C$1001,"Not Found",0))</f>
        <v>bimriep3@addtoany.com</v>
      </c>
      <c r="K905" s="2" t="str" cm="1">
        <f t="array" ref="K905">_xlfn.XLOOKUP(F905,Customers!A904:$A$1001,Customers!G904:$G$1001,"Not Found",0)</f>
        <v>United States</v>
      </c>
      <c r="L905" t="str">
        <f>INDEX(Products!$A$1:$G$49,MATCH(Orders!$G905,Products!$A$1:$A$49,0),MATCH(Orders!L$1,Products!$A$1:$G$1,0))</f>
        <v>Lib</v>
      </c>
      <c r="M905" t="str">
        <f>INDEX(Products!$A$1:$G$49,MATCH(Orders!$G905,Products!$A$1:$A$49,0),MATCH(Orders!M$1,Products!$A$1:$G$1,0))</f>
        <v>M</v>
      </c>
      <c r="N905" s="4">
        <f>INDEX(Products!$A$1:$G$49,MATCH(Orders!$G905,Products!$A$1:$A$49,0),MATCH(Orders!N$1,Products!$A$1:$G$1,0))</f>
        <v>0.5</v>
      </c>
      <c r="O905" s="7">
        <f>INDEX(Products!$A$1:$G$49,MATCH(Orders!$G905,Products!$A$1:$A$49,0),MATCH(Orders!O$1,Products!$A$1:$G$1,0))</f>
        <v>8.73</v>
      </c>
      <c r="P905" s="7">
        <f t="shared" si="14"/>
        <v>17.46</v>
      </c>
      <c r="Q905" t="str" cm="1">
        <f t="array" ref="Q905">_xlfn.IFS(L905="Rob","Robusta",L905="Exc", "Excelsa",L905="Ara", "Arabica",L905="Lib", "Liberica")</f>
        <v>Liberica</v>
      </c>
      <c r="R905" t="str" cm="1">
        <f t="array" ref="R905">_xlfn.IFS(M905="M","Medium",M905="L","Light",M905="D","Dark")</f>
        <v>Medium</v>
      </c>
    </row>
    <row r="906" spans="1:18">
      <c r="A906" s="2" t="s">
        <v>1792</v>
      </c>
      <c r="B906" s="3">
        <v>44463</v>
      </c>
      <c r="C906" s="9">
        <f>YEAR(Orders_Table[[#This Row],[Order Date]])</f>
        <v>2021</v>
      </c>
      <c r="D906" s="9">
        <f>MONTH(Orders_Table[[#This Row],[Order Date]])</f>
        <v>9</v>
      </c>
      <c r="E906" s="9" t="str" cm="1">
        <f t="array" ref="E90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06" s="2" t="s">
        <v>1793</v>
      </c>
      <c r="G906" t="s">
        <v>251</v>
      </c>
      <c r="H906" s="2">
        <v>5</v>
      </c>
      <c r="I906" s="2" t="str" cm="1">
        <f t="array" ref="I906">_xlfn.XLOOKUP(F906,Customers!A905:$A$1001,Customers!B905:$B$1001,"Not Found",0)</f>
        <v>Dorey Sopper</v>
      </c>
      <c r="J906" s="2" t="str" cm="1">
        <f t="array" ref="J906">IF(_xlfn.XLOOKUP(F906,Customers!A905:$A$1001,Customers!C905:$C$1001,"Not Found",0)=0,"",_xlfn.XLOOKUP(F906,Customers!A905:$A$1001,Customers!C905:$C$1001,"Not Found",0))</f>
        <v>dsopperp4@eventbrite.com</v>
      </c>
      <c r="K906" s="2" t="str" cm="1">
        <f t="array" ref="K906">_xlfn.XLOOKUP(F906,Customers!A905:$A$1001,Customers!G905:$G$1001,"Not Found",0)</f>
        <v>United States</v>
      </c>
      <c r="L906" t="str">
        <f>INDEX(Products!$A$1:$G$49,MATCH(Orders!$G906,Products!$A$1:$A$49,0),MATCH(Orders!L$1,Products!$A$1:$G$1,0))</f>
        <v>Ara</v>
      </c>
      <c r="M906" t="str">
        <f>INDEX(Products!$A$1:$G$49,MATCH(Orders!$G906,Products!$A$1:$A$49,0),MATCH(Orders!M$1,Products!$A$1:$G$1,0))</f>
        <v>L</v>
      </c>
      <c r="N906" s="4">
        <f>INDEX(Products!$A$1:$G$49,MATCH(Orders!$G906,Products!$A$1:$A$49,0),MATCH(Orders!N$1,Products!$A$1:$G$1,0))</f>
        <v>2.5</v>
      </c>
      <c r="O906" s="7">
        <f>INDEX(Products!$A$1:$G$49,MATCH(Orders!$G906,Products!$A$1:$A$49,0),MATCH(Orders!O$1,Products!$A$1:$G$1,0))</f>
        <v>29.784999999999997</v>
      </c>
      <c r="P906" s="7">
        <f t="shared" si="14"/>
        <v>148.92499999999998</v>
      </c>
      <c r="Q906" t="str" cm="1">
        <f t="array" ref="Q906">_xlfn.IFS(L906="Rob","Robusta",L906="Exc", "Excelsa",L906="Ara", "Arabica",L906="Lib", "Liberica")</f>
        <v>Arabica</v>
      </c>
      <c r="R906" t="str" cm="1">
        <f t="array" ref="R906">_xlfn.IFS(M906="M","Medium",M906="L","Light",M906="D","Dark")</f>
        <v>Light</v>
      </c>
    </row>
    <row r="907" spans="1:18">
      <c r="A907" s="2" t="s">
        <v>1794</v>
      </c>
      <c r="B907" s="3">
        <v>43560</v>
      </c>
      <c r="C907" s="9">
        <f>YEAR(Orders_Table[[#This Row],[Order Date]])</f>
        <v>2019</v>
      </c>
      <c r="D907" s="9">
        <f>MONTH(Orders_Table[[#This Row],[Order Date]])</f>
        <v>4</v>
      </c>
      <c r="E907" s="9" t="str" cm="1">
        <f t="array" ref="E90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07" s="2" t="s">
        <v>1795</v>
      </c>
      <c r="G907" t="s">
        <v>114</v>
      </c>
      <c r="H907" s="2">
        <v>6</v>
      </c>
      <c r="I907" s="2" t="str" cm="1">
        <f t="array" ref="I907">_xlfn.XLOOKUP(F907,Customers!A906:$A$1001,Customers!B906:$B$1001,"Not Found",0)</f>
        <v>Darcy Lochran</v>
      </c>
      <c r="J907" s="2" t="str" cm="1">
        <f t="array" ref="J907">IF(_xlfn.XLOOKUP(F907,Customers!A906:$A$1001,Customers!C906:$C$1001,"Not Found",0)=0,"",_xlfn.XLOOKUP(F907,Customers!A906:$A$1001,Customers!C906:$C$1001,"Not Found",0))</f>
        <v/>
      </c>
      <c r="K907" s="2" t="str" cm="1">
        <f t="array" ref="K907">_xlfn.XLOOKUP(F907,Customers!A906:$A$1001,Customers!G906:$G$1001,"Not Found",0)</f>
        <v>United States</v>
      </c>
      <c r="L907" t="str">
        <f>INDEX(Products!$A$1:$G$49,MATCH(Orders!$G907,Products!$A$1:$A$49,0),MATCH(Orders!L$1,Products!$A$1:$G$1,0))</f>
        <v>Ara</v>
      </c>
      <c r="M907" t="str">
        <f>INDEX(Products!$A$1:$G$49,MATCH(Orders!$G907,Products!$A$1:$A$49,0),MATCH(Orders!M$1,Products!$A$1:$G$1,0))</f>
        <v>M</v>
      </c>
      <c r="N907" s="4">
        <f>INDEX(Products!$A$1:$G$49,MATCH(Orders!$G907,Products!$A$1:$A$49,0),MATCH(Orders!N$1,Products!$A$1:$G$1,0))</f>
        <v>0.5</v>
      </c>
      <c r="O907" s="7">
        <f>INDEX(Products!$A$1:$G$49,MATCH(Orders!$G907,Products!$A$1:$A$49,0),MATCH(Orders!O$1,Products!$A$1:$G$1,0))</f>
        <v>6.75</v>
      </c>
      <c r="P907" s="7">
        <f t="shared" si="14"/>
        <v>40.5</v>
      </c>
      <c r="Q907" t="str" cm="1">
        <f t="array" ref="Q907">_xlfn.IFS(L907="Rob","Robusta",L907="Exc", "Excelsa",L907="Ara", "Arabica",L907="Lib", "Liberica")</f>
        <v>Arabica</v>
      </c>
      <c r="R907" t="str" cm="1">
        <f t="array" ref="R907">_xlfn.IFS(M907="M","Medium",M907="L","Light",M907="D","Dark")</f>
        <v>Medium</v>
      </c>
    </row>
    <row r="908" spans="1:18">
      <c r="A908" s="2" t="s">
        <v>1796</v>
      </c>
      <c r="B908" s="3">
        <v>44588</v>
      </c>
      <c r="C908" s="9">
        <f>YEAR(Orders_Table[[#This Row],[Order Date]])</f>
        <v>2022</v>
      </c>
      <c r="D908" s="9">
        <f>MONTH(Orders_Table[[#This Row],[Order Date]])</f>
        <v>1</v>
      </c>
      <c r="E908" s="9" t="str" cm="1">
        <f t="array" ref="E90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08" s="2" t="s">
        <v>1797</v>
      </c>
      <c r="G908" t="s">
        <v>114</v>
      </c>
      <c r="H908" s="2">
        <v>4</v>
      </c>
      <c r="I908" s="2" t="str" cm="1">
        <f t="array" ref="I908">_xlfn.XLOOKUP(F908,Customers!A907:$A$1001,Customers!B907:$B$1001,"Not Found",0)</f>
        <v>Lauritz Ledgley</v>
      </c>
      <c r="J908" s="2" t="str" cm="1">
        <f t="array" ref="J908">IF(_xlfn.XLOOKUP(F908,Customers!A907:$A$1001,Customers!C907:$C$1001,"Not Found",0)=0,"",_xlfn.XLOOKUP(F908,Customers!A907:$A$1001,Customers!C907:$C$1001,"Not Found",0))</f>
        <v>lledgleyp6@de.vu</v>
      </c>
      <c r="K908" s="2" t="str" cm="1">
        <f t="array" ref="K908">_xlfn.XLOOKUP(F908,Customers!A907:$A$1001,Customers!G907:$G$1001,"Not Found",0)</f>
        <v>United States</v>
      </c>
      <c r="L908" t="str">
        <f>INDEX(Products!$A$1:$G$49,MATCH(Orders!$G908,Products!$A$1:$A$49,0),MATCH(Orders!L$1,Products!$A$1:$G$1,0))</f>
        <v>Ara</v>
      </c>
      <c r="M908" t="str">
        <f>INDEX(Products!$A$1:$G$49,MATCH(Orders!$G908,Products!$A$1:$A$49,0),MATCH(Orders!M$1,Products!$A$1:$G$1,0))</f>
        <v>M</v>
      </c>
      <c r="N908" s="4">
        <f>INDEX(Products!$A$1:$G$49,MATCH(Orders!$G908,Products!$A$1:$A$49,0),MATCH(Orders!N$1,Products!$A$1:$G$1,0))</f>
        <v>0.5</v>
      </c>
      <c r="O908" s="7">
        <f>INDEX(Products!$A$1:$G$49,MATCH(Orders!$G908,Products!$A$1:$A$49,0),MATCH(Orders!O$1,Products!$A$1:$G$1,0))</f>
        <v>6.75</v>
      </c>
      <c r="P908" s="7">
        <f t="shared" si="14"/>
        <v>27</v>
      </c>
      <c r="Q908" t="str" cm="1">
        <f t="array" ref="Q908">_xlfn.IFS(L908="Rob","Robusta",L908="Exc", "Excelsa",L908="Ara", "Arabica",L908="Lib", "Liberica")</f>
        <v>Arabica</v>
      </c>
      <c r="R908" t="str" cm="1">
        <f t="array" ref="R908">_xlfn.IFS(M908="M","Medium",M908="L","Light",M908="D","Dark")</f>
        <v>Medium</v>
      </c>
    </row>
    <row r="909" spans="1:18">
      <c r="A909" s="2" t="s">
        <v>1798</v>
      </c>
      <c r="B909" s="3">
        <v>44449</v>
      </c>
      <c r="C909" s="9">
        <f>YEAR(Orders_Table[[#This Row],[Order Date]])</f>
        <v>2021</v>
      </c>
      <c r="D909" s="9">
        <f>MONTH(Orders_Table[[#This Row],[Order Date]])</f>
        <v>9</v>
      </c>
      <c r="E909" s="9" t="str" cm="1">
        <f t="array" ref="E90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09" s="2" t="s">
        <v>1799</v>
      </c>
      <c r="G909" t="s">
        <v>60</v>
      </c>
      <c r="H909" s="2">
        <v>3</v>
      </c>
      <c r="I909" s="2" t="str" cm="1">
        <f t="array" ref="I909">_xlfn.XLOOKUP(F909,Customers!A908:$A$1001,Customers!B908:$B$1001,"Not Found",0)</f>
        <v>Tawnya Menary</v>
      </c>
      <c r="J909" s="2" t="str" cm="1">
        <f t="array" ref="J909">IF(_xlfn.XLOOKUP(F909,Customers!A908:$A$1001,Customers!C908:$C$1001,"Not Found",0)=0,"",_xlfn.XLOOKUP(F909,Customers!A908:$A$1001,Customers!C908:$C$1001,"Not Found",0))</f>
        <v>tmenaryp7@phoca.cz</v>
      </c>
      <c r="K909" s="2" t="str" cm="1">
        <f t="array" ref="K909">_xlfn.XLOOKUP(F909,Customers!A908:$A$1001,Customers!G908:$G$1001,"Not Found",0)</f>
        <v>United States</v>
      </c>
      <c r="L909" t="str">
        <f>INDEX(Products!$A$1:$G$49,MATCH(Orders!$G909,Products!$A$1:$A$49,0),MATCH(Orders!L$1,Products!$A$1:$G$1,0))</f>
        <v>Lib</v>
      </c>
      <c r="M909" t="str">
        <f>INDEX(Products!$A$1:$G$49,MATCH(Orders!$G909,Products!$A$1:$A$49,0),MATCH(Orders!M$1,Products!$A$1:$G$1,0))</f>
        <v>D</v>
      </c>
      <c r="N909" s="4">
        <f>INDEX(Products!$A$1:$G$49,MATCH(Orders!$G909,Products!$A$1:$A$49,0),MATCH(Orders!N$1,Products!$A$1:$G$1,0))</f>
        <v>1</v>
      </c>
      <c r="O909" s="7">
        <f>INDEX(Products!$A$1:$G$49,MATCH(Orders!$G909,Products!$A$1:$A$49,0),MATCH(Orders!O$1,Products!$A$1:$G$1,0))</f>
        <v>12.95</v>
      </c>
      <c r="P909" s="7">
        <f t="shared" si="14"/>
        <v>38.849999999999994</v>
      </c>
      <c r="Q909" t="str" cm="1">
        <f t="array" ref="Q909">_xlfn.IFS(L909="Rob","Robusta",L909="Exc", "Excelsa",L909="Ara", "Arabica",L909="Lib", "Liberica")</f>
        <v>Liberica</v>
      </c>
      <c r="R909" t="str" cm="1">
        <f t="array" ref="R909">_xlfn.IFS(M909="M","Medium",M909="L","Light",M909="D","Dark")</f>
        <v>Dark</v>
      </c>
    </row>
    <row r="910" spans="1:18">
      <c r="A910" s="2" t="s">
        <v>1800</v>
      </c>
      <c r="B910" s="3">
        <v>43836</v>
      </c>
      <c r="C910" s="9">
        <f>YEAR(Orders_Table[[#This Row],[Order Date]])</f>
        <v>2020</v>
      </c>
      <c r="D910" s="9">
        <f>MONTH(Orders_Table[[#This Row],[Order Date]])</f>
        <v>1</v>
      </c>
      <c r="E910" s="9" t="str" cm="1">
        <f t="array" ref="E91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10" s="2" t="s">
        <v>1801</v>
      </c>
      <c r="G910" t="s">
        <v>236</v>
      </c>
      <c r="H910" s="2">
        <v>5</v>
      </c>
      <c r="I910" s="2" t="str" cm="1">
        <f t="array" ref="I910">_xlfn.XLOOKUP(F910,Customers!A909:$A$1001,Customers!B909:$B$1001,"Not Found",0)</f>
        <v>Gustaf Ciccotti</v>
      </c>
      <c r="J910" s="2" t="str" cm="1">
        <f t="array" ref="J910">IF(_xlfn.XLOOKUP(F910,Customers!A909:$A$1001,Customers!C909:$C$1001,"Not Found",0)=0,"",_xlfn.XLOOKUP(F910,Customers!A909:$A$1001,Customers!C909:$C$1001,"Not Found",0))</f>
        <v>gciccottip8@so-net.ne.jp</v>
      </c>
      <c r="K910" s="2" t="str" cm="1">
        <f t="array" ref="K910">_xlfn.XLOOKUP(F910,Customers!A909:$A$1001,Customers!G909:$G$1001,"Not Found",0)</f>
        <v>United States</v>
      </c>
      <c r="L910" t="str">
        <f>INDEX(Products!$A$1:$G$49,MATCH(Orders!$G910,Products!$A$1:$A$49,0),MATCH(Orders!L$1,Products!$A$1:$G$1,0))</f>
        <v>Rob</v>
      </c>
      <c r="M910" t="str">
        <f>INDEX(Products!$A$1:$G$49,MATCH(Orders!$G910,Products!$A$1:$A$49,0),MATCH(Orders!M$1,Products!$A$1:$G$1,0))</f>
        <v>L</v>
      </c>
      <c r="N910" s="4">
        <f>INDEX(Products!$A$1:$G$49,MATCH(Orders!$G910,Products!$A$1:$A$49,0),MATCH(Orders!N$1,Products!$A$1:$G$1,0))</f>
        <v>1</v>
      </c>
      <c r="O910" s="7">
        <f>INDEX(Products!$A$1:$G$49,MATCH(Orders!$G910,Products!$A$1:$A$49,0),MATCH(Orders!O$1,Products!$A$1:$G$1,0))</f>
        <v>11.95</v>
      </c>
      <c r="P910" s="7">
        <f t="shared" si="14"/>
        <v>59.75</v>
      </c>
      <c r="Q910" t="str" cm="1">
        <f t="array" ref="Q910">_xlfn.IFS(L910="Rob","Robusta",L910="Exc", "Excelsa",L910="Ara", "Arabica",L910="Lib", "Liberica")</f>
        <v>Robusta</v>
      </c>
      <c r="R910" t="str" cm="1">
        <f t="array" ref="R910">_xlfn.IFS(M910="M","Medium",M910="L","Light",M910="D","Dark")</f>
        <v>Light</v>
      </c>
    </row>
    <row r="911" spans="1:18">
      <c r="A911" s="2" t="s">
        <v>1802</v>
      </c>
      <c r="B911" s="3">
        <v>44635</v>
      </c>
      <c r="C911" s="9">
        <f>YEAR(Orders_Table[[#This Row],[Order Date]])</f>
        <v>2022</v>
      </c>
      <c r="D911" s="9">
        <f>MONTH(Orders_Table[[#This Row],[Order Date]])</f>
        <v>3</v>
      </c>
      <c r="E911" s="9" t="str" cm="1">
        <f t="array" ref="E91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11" s="2" t="s">
        <v>1803</v>
      </c>
      <c r="G911" t="s">
        <v>229</v>
      </c>
      <c r="H911" s="2">
        <v>3</v>
      </c>
      <c r="I911" s="2" t="str" cm="1">
        <f t="array" ref="I911">_xlfn.XLOOKUP(F911,Customers!A910:$A$1001,Customers!B910:$B$1001,"Not Found",0)</f>
        <v>Bobbe Renner</v>
      </c>
      <c r="J911" s="2" t="str" cm="1">
        <f t="array" ref="J911">IF(_xlfn.XLOOKUP(F911,Customers!A910:$A$1001,Customers!C910:$C$1001,"Not Found",0)=0,"",_xlfn.XLOOKUP(F911,Customers!A910:$A$1001,Customers!C910:$C$1001,"Not Found",0))</f>
        <v/>
      </c>
      <c r="K911" s="2" t="str" cm="1">
        <f t="array" ref="K911">_xlfn.XLOOKUP(F911,Customers!A910:$A$1001,Customers!G910:$G$1001,"Not Found",0)</f>
        <v>United States</v>
      </c>
      <c r="L911" t="str">
        <f>INDEX(Products!$A$1:$G$49,MATCH(Orders!$G911,Products!$A$1:$A$49,0),MATCH(Orders!L$1,Products!$A$1:$G$1,0))</f>
        <v>Rob</v>
      </c>
      <c r="M911" t="str">
        <f>INDEX(Products!$A$1:$G$49,MATCH(Orders!$G911,Products!$A$1:$A$49,0),MATCH(Orders!M$1,Products!$A$1:$G$1,0))</f>
        <v>L</v>
      </c>
      <c r="N911" s="4">
        <f>INDEX(Products!$A$1:$G$49,MATCH(Orders!$G911,Products!$A$1:$A$49,0),MATCH(Orders!N$1,Products!$A$1:$G$1,0))</f>
        <v>0.2</v>
      </c>
      <c r="O911" s="7">
        <f>INDEX(Products!$A$1:$G$49,MATCH(Orders!$G911,Products!$A$1:$A$49,0),MATCH(Orders!O$1,Products!$A$1:$G$1,0))</f>
        <v>3.5849999999999995</v>
      </c>
      <c r="P911" s="7">
        <f t="shared" si="14"/>
        <v>10.754999999999999</v>
      </c>
      <c r="Q911" t="str" cm="1">
        <f t="array" ref="Q911">_xlfn.IFS(L911="Rob","Robusta",L911="Exc", "Excelsa",L911="Ara", "Arabica",L911="Lib", "Liberica")</f>
        <v>Robusta</v>
      </c>
      <c r="R911" t="str" cm="1">
        <f t="array" ref="R911">_xlfn.IFS(M911="M","Medium",M911="L","Light",M911="D","Dark")</f>
        <v>Light</v>
      </c>
    </row>
    <row r="912" spans="1:18">
      <c r="A912" s="2" t="s">
        <v>1804</v>
      </c>
      <c r="B912" s="3">
        <v>44447</v>
      </c>
      <c r="C912" s="9">
        <f>YEAR(Orders_Table[[#This Row],[Order Date]])</f>
        <v>2021</v>
      </c>
      <c r="D912" s="9">
        <f>MONTH(Orders_Table[[#This Row],[Order Date]])</f>
        <v>9</v>
      </c>
      <c r="E912" s="9" t="str" cm="1">
        <f t="array" ref="E91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12" s="2" t="s">
        <v>1805</v>
      </c>
      <c r="G912" t="s">
        <v>165</v>
      </c>
      <c r="H912" s="2">
        <v>4</v>
      </c>
      <c r="I912" s="2" t="str" cm="1">
        <f t="array" ref="I912">_xlfn.XLOOKUP(F912,Customers!A911:$A$1001,Customers!B911:$B$1001,"Not Found",0)</f>
        <v>Wilton Jallin</v>
      </c>
      <c r="J912" s="2" t="str" cm="1">
        <f t="array" ref="J912">IF(_xlfn.XLOOKUP(F912,Customers!A911:$A$1001,Customers!C911:$C$1001,"Not Found",0)=0,"",_xlfn.XLOOKUP(F912,Customers!A911:$A$1001,Customers!C911:$C$1001,"Not Found",0))</f>
        <v>wjallinpa@pcworld.com</v>
      </c>
      <c r="K912" s="2" t="str" cm="1">
        <f t="array" ref="K912">_xlfn.XLOOKUP(F912,Customers!A911:$A$1001,Customers!G911:$G$1001,"Not Found",0)</f>
        <v>United States</v>
      </c>
      <c r="L912" t="str">
        <f>INDEX(Products!$A$1:$G$49,MATCH(Orders!$G912,Products!$A$1:$A$49,0),MATCH(Orders!L$1,Products!$A$1:$G$1,0))</f>
        <v>Ara</v>
      </c>
      <c r="M912" t="str">
        <f>INDEX(Products!$A$1:$G$49,MATCH(Orders!$G912,Products!$A$1:$A$49,0),MATCH(Orders!M$1,Products!$A$1:$G$1,0))</f>
        <v>D</v>
      </c>
      <c r="N912" s="4">
        <f>INDEX(Products!$A$1:$G$49,MATCH(Orders!$G912,Products!$A$1:$A$49,0),MATCH(Orders!N$1,Products!$A$1:$G$1,0))</f>
        <v>2.5</v>
      </c>
      <c r="O912" s="7">
        <f>INDEX(Products!$A$1:$G$49,MATCH(Orders!$G912,Products!$A$1:$A$49,0),MATCH(Orders!O$1,Products!$A$1:$G$1,0))</f>
        <v>22.884999999999998</v>
      </c>
      <c r="P912" s="7">
        <f t="shared" si="14"/>
        <v>91.539999999999992</v>
      </c>
      <c r="Q912" t="str" cm="1">
        <f t="array" ref="Q912">_xlfn.IFS(L912="Rob","Robusta",L912="Exc", "Excelsa",L912="Ara", "Arabica",L912="Lib", "Liberica")</f>
        <v>Arabica</v>
      </c>
      <c r="R912" t="str" cm="1">
        <f t="array" ref="R912">_xlfn.IFS(M912="M","Medium",M912="L","Light",M912="D","Dark")</f>
        <v>Dark</v>
      </c>
    </row>
    <row r="913" spans="1:18">
      <c r="A913" s="2" t="s">
        <v>1806</v>
      </c>
      <c r="B913" s="3">
        <v>44511</v>
      </c>
      <c r="C913" s="9">
        <f>YEAR(Orders_Table[[#This Row],[Order Date]])</f>
        <v>2021</v>
      </c>
      <c r="D913" s="9">
        <f>MONTH(Orders_Table[[#This Row],[Order Date]])</f>
        <v>11</v>
      </c>
      <c r="E913" s="9" t="str" cm="1">
        <f t="array" ref="E91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13" s="2" t="s">
        <v>1807</v>
      </c>
      <c r="G913" t="s">
        <v>108</v>
      </c>
      <c r="H913" s="2">
        <v>4</v>
      </c>
      <c r="I913" s="2" t="str" cm="1">
        <f t="array" ref="I913">_xlfn.XLOOKUP(F913,Customers!A912:$A$1001,Customers!B912:$B$1001,"Not Found",0)</f>
        <v>Mindy Bogey</v>
      </c>
      <c r="J913" s="2" t="str" cm="1">
        <f t="array" ref="J913">IF(_xlfn.XLOOKUP(F913,Customers!A912:$A$1001,Customers!C912:$C$1001,"Not Found",0)=0,"",_xlfn.XLOOKUP(F913,Customers!A912:$A$1001,Customers!C912:$C$1001,"Not Found",0))</f>
        <v>mbogeypb@thetimes.co.uk</v>
      </c>
      <c r="K913" s="2" t="str" cm="1">
        <f t="array" ref="K913">_xlfn.XLOOKUP(F913,Customers!A912:$A$1001,Customers!G912:$G$1001,"Not Found",0)</f>
        <v>United States</v>
      </c>
      <c r="L913" t="str">
        <f>INDEX(Products!$A$1:$G$49,MATCH(Orders!$G913,Products!$A$1:$A$49,0),MATCH(Orders!L$1,Products!$A$1:$G$1,0))</f>
        <v>Ara</v>
      </c>
      <c r="M913" t="str">
        <f>INDEX(Products!$A$1:$G$49,MATCH(Orders!$G913,Products!$A$1:$A$49,0),MATCH(Orders!M$1,Products!$A$1:$G$1,0))</f>
        <v>M</v>
      </c>
      <c r="N913" s="4">
        <f>INDEX(Products!$A$1:$G$49,MATCH(Orders!$G913,Products!$A$1:$A$49,0),MATCH(Orders!N$1,Products!$A$1:$G$1,0))</f>
        <v>1</v>
      </c>
      <c r="O913" s="7">
        <f>INDEX(Products!$A$1:$G$49,MATCH(Orders!$G913,Products!$A$1:$A$49,0),MATCH(Orders!O$1,Products!$A$1:$G$1,0))</f>
        <v>11.25</v>
      </c>
      <c r="P913" s="7">
        <f t="shared" si="14"/>
        <v>45</v>
      </c>
      <c r="Q913" t="str" cm="1">
        <f t="array" ref="Q913">_xlfn.IFS(L913="Rob","Robusta",L913="Exc", "Excelsa",L913="Ara", "Arabica",L913="Lib", "Liberica")</f>
        <v>Arabica</v>
      </c>
      <c r="R913" t="str" cm="1">
        <f t="array" ref="R913">_xlfn.IFS(M913="M","Medium",M913="L","Light",M913="D","Dark")</f>
        <v>Medium</v>
      </c>
    </row>
    <row r="914" spans="1:18">
      <c r="A914" s="2" t="s">
        <v>1808</v>
      </c>
      <c r="B914" s="3">
        <v>43726</v>
      </c>
      <c r="C914" s="9">
        <f>YEAR(Orders_Table[[#This Row],[Order Date]])</f>
        <v>2019</v>
      </c>
      <c r="D914" s="9">
        <f>MONTH(Orders_Table[[#This Row],[Order Date]])</f>
        <v>9</v>
      </c>
      <c r="E914" s="9" t="str" cm="1">
        <f t="array" ref="E91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14" s="2" t="s">
        <v>1809</v>
      </c>
      <c r="G914" t="s">
        <v>88</v>
      </c>
      <c r="H914" s="2">
        <v>6</v>
      </c>
      <c r="I914" s="2" t="str" cm="1">
        <f t="array" ref="I914">_xlfn.XLOOKUP(F914,Customers!A913:$A$1001,Customers!B913:$B$1001,"Not Found",0)</f>
        <v>Paulie Fonzone</v>
      </c>
      <c r="J914" s="2" t="str" cm="1">
        <f t="array" ref="J914">IF(_xlfn.XLOOKUP(F914,Customers!A913:$A$1001,Customers!C913:$C$1001,"Not Found",0)=0,"",_xlfn.XLOOKUP(F914,Customers!A913:$A$1001,Customers!C913:$C$1001,"Not Found",0))</f>
        <v/>
      </c>
      <c r="K914" s="2" t="str" cm="1">
        <f t="array" ref="K914">_xlfn.XLOOKUP(F914,Customers!A913:$A$1001,Customers!G913:$G$1001,"Not Found",0)</f>
        <v>United States</v>
      </c>
      <c r="L914" t="str">
        <f>INDEX(Products!$A$1:$G$49,MATCH(Orders!$G914,Products!$A$1:$A$49,0),MATCH(Orders!L$1,Products!$A$1:$G$1,0))</f>
        <v>Rob</v>
      </c>
      <c r="M914" t="str">
        <f>INDEX(Products!$A$1:$G$49,MATCH(Orders!$G914,Products!$A$1:$A$49,0),MATCH(Orders!M$1,Products!$A$1:$G$1,0))</f>
        <v>M</v>
      </c>
      <c r="N914" s="4">
        <f>INDEX(Products!$A$1:$G$49,MATCH(Orders!$G914,Products!$A$1:$A$49,0),MATCH(Orders!N$1,Products!$A$1:$G$1,0))</f>
        <v>2.5</v>
      </c>
      <c r="O914" s="7">
        <f>INDEX(Products!$A$1:$G$49,MATCH(Orders!$G914,Products!$A$1:$A$49,0),MATCH(Orders!O$1,Products!$A$1:$G$1,0))</f>
        <v>22.884999999999998</v>
      </c>
      <c r="P914" s="7">
        <f t="shared" si="14"/>
        <v>137.31</v>
      </c>
      <c r="Q914" t="str" cm="1">
        <f t="array" ref="Q914">_xlfn.IFS(L914="Rob","Robusta",L914="Exc", "Excelsa",L914="Ara", "Arabica",L914="Lib", "Liberica")</f>
        <v>Robusta</v>
      </c>
      <c r="R914" t="str" cm="1">
        <f t="array" ref="R914">_xlfn.IFS(M914="M","Medium",M914="L","Light",M914="D","Dark")</f>
        <v>Medium</v>
      </c>
    </row>
    <row r="915" spans="1:18">
      <c r="A915" s="2" t="s">
        <v>1810</v>
      </c>
      <c r="B915" s="3">
        <v>44406</v>
      </c>
      <c r="C915" s="9">
        <f>YEAR(Orders_Table[[#This Row],[Order Date]])</f>
        <v>2021</v>
      </c>
      <c r="D915" s="9">
        <f>MONTH(Orders_Table[[#This Row],[Order Date]])</f>
        <v>7</v>
      </c>
      <c r="E915" s="9" t="str" cm="1">
        <f t="array" ref="E91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15" s="2" t="s">
        <v>1811</v>
      </c>
      <c r="G915" t="s">
        <v>114</v>
      </c>
      <c r="H915" s="2">
        <v>1</v>
      </c>
      <c r="I915" s="2" t="str" cm="1">
        <f t="array" ref="I915">_xlfn.XLOOKUP(F915,Customers!A914:$A$1001,Customers!B914:$B$1001,"Not Found",0)</f>
        <v>Merrile Cobbledick</v>
      </c>
      <c r="J915" s="2" t="str" cm="1">
        <f t="array" ref="J915">IF(_xlfn.XLOOKUP(F915,Customers!A914:$A$1001,Customers!C914:$C$1001,"Not Found",0)=0,"",_xlfn.XLOOKUP(F915,Customers!A914:$A$1001,Customers!C914:$C$1001,"Not Found",0))</f>
        <v>mcobbledickpd@ucsd.edu</v>
      </c>
      <c r="K915" s="2" t="str" cm="1">
        <f t="array" ref="K915">_xlfn.XLOOKUP(F915,Customers!A914:$A$1001,Customers!G914:$G$1001,"Not Found",0)</f>
        <v>United States</v>
      </c>
      <c r="L915" t="str">
        <f>INDEX(Products!$A$1:$G$49,MATCH(Orders!$G915,Products!$A$1:$A$49,0),MATCH(Orders!L$1,Products!$A$1:$G$1,0))</f>
        <v>Ara</v>
      </c>
      <c r="M915" t="str">
        <f>INDEX(Products!$A$1:$G$49,MATCH(Orders!$G915,Products!$A$1:$A$49,0),MATCH(Orders!M$1,Products!$A$1:$G$1,0))</f>
        <v>M</v>
      </c>
      <c r="N915" s="4">
        <f>INDEX(Products!$A$1:$G$49,MATCH(Orders!$G915,Products!$A$1:$A$49,0),MATCH(Orders!N$1,Products!$A$1:$G$1,0))</f>
        <v>0.5</v>
      </c>
      <c r="O915" s="7">
        <f>INDEX(Products!$A$1:$G$49,MATCH(Orders!$G915,Products!$A$1:$A$49,0),MATCH(Orders!O$1,Products!$A$1:$G$1,0))</f>
        <v>6.75</v>
      </c>
      <c r="P915" s="7">
        <f t="shared" si="14"/>
        <v>6.75</v>
      </c>
      <c r="Q915" t="str" cm="1">
        <f t="array" ref="Q915">_xlfn.IFS(L915="Rob","Robusta",L915="Exc", "Excelsa",L915="Ara", "Arabica",L915="Lib", "Liberica")</f>
        <v>Arabica</v>
      </c>
      <c r="R915" t="str" cm="1">
        <f t="array" ref="R915">_xlfn.IFS(M915="M","Medium",M915="L","Light",M915="D","Dark")</f>
        <v>Medium</v>
      </c>
    </row>
    <row r="916" spans="1:18">
      <c r="A916" s="2" t="s">
        <v>1812</v>
      </c>
      <c r="B916" s="3">
        <v>44640</v>
      </c>
      <c r="C916" s="9">
        <f>YEAR(Orders_Table[[#This Row],[Order Date]])</f>
        <v>2022</v>
      </c>
      <c r="D916" s="9">
        <f>MONTH(Orders_Table[[#This Row],[Order Date]])</f>
        <v>3</v>
      </c>
      <c r="E916" s="9" t="str" cm="1">
        <f t="array" ref="E91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16" s="2" t="s">
        <v>1813</v>
      </c>
      <c r="G916" t="s">
        <v>108</v>
      </c>
      <c r="H916" s="2">
        <v>4</v>
      </c>
      <c r="I916" s="2" t="str" cm="1">
        <f t="array" ref="I916">_xlfn.XLOOKUP(F916,Customers!A915:$A$1001,Customers!B915:$B$1001,"Not Found",0)</f>
        <v>Antonius Lewry</v>
      </c>
      <c r="J916" s="2" t="str" cm="1">
        <f t="array" ref="J916">IF(_xlfn.XLOOKUP(F916,Customers!A915:$A$1001,Customers!C915:$C$1001,"Not Found",0)=0,"",_xlfn.XLOOKUP(F916,Customers!A915:$A$1001,Customers!C915:$C$1001,"Not Found",0))</f>
        <v>alewrype@whitehouse.gov</v>
      </c>
      <c r="K916" s="2" t="str" cm="1">
        <f t="array" ref="K916">_xlfn.XLOOKUP(F916,Customers!A915:$A$1001,Customers!G915:$G$1001,"Not Found",0)</f>
        <v>United States</v>
      </c>
      <c r="L916" t="str">
        <f>INDEX(Products!$A$1:$G$49,MATCH(Orders!$G916,Products!$A$1:$A$49,0),MATCH(Orders!L$1,Products!$A$1:$G$1,0))</f>
        <v>Ara</v>
      </c>
      <c r="M916" t="str">
        <f>INDEX(Products!$A$1:$G$49,MATCH(Orders!$G916,Products!$A$1:$A$49,0),MATCH(Orders!M$1,Products!$A$1:$G$1,0))</f>
        <v>M</v>
      </c>
      <c r="N916" s="4">
        <f>INDEX(Products!$A$1:$G$49,MATCH(Orders!$G916,Products!$A$1:$A$49,0),MATCH(Orders!N$1,Products!$A$1:$G$1,0))</f>
        <v>1</v>
      </c>
      <c r="O916" s="7">
        <f>INDEX(Products!$A$1:$G$49,MATCH(Orders!$G916,Products!$A$1:$A$49,0),MATCH(Orders!O$1,Products!$A$1:$G$1,0))</f>
        <v>11.25</v>
      </c>
      <c r="P916" s="7">
        <f t="shared" si="14"/>
        <v>45</v>
      </c>
      <c r="Q916" t="str" cm="1">
        <f t="array" ref="Q916">_xlfn.IFS(L916="Rob","Robusta",L916="Exc", "Excelsa",L916="Ara", "Arabica",L916="Lib", "Liberica")</f>
        <v>Arabica</v>
      </c>
      <c r="R916" t="str" cm="1">
        <f t="array" ref="R916">_xlfn.IFS(M916="M","Medium",M916="L","Light",M916="D","Dark")</f>
        <v>Medium</v>
      </c>
    </row>
    <row r="917" spans="1:18">
      <c r="A917" s="2" t="s">
        <v>1814</v>
      </c>
      <c r="B917" s="3">
        <v>43955</v>
      </c>
      <c r="C917" s="9">
        <f>YEAR(Orders_Table[[#This Row],[Order Date]])</f>
        <v>2020</v>
      </c>
      <c r="D917" s="9">
        <f>MONTH(Orders_Table[[#This Row],[Order Date]])</f>
        <v>5</v>
      </c>
      <c r="E917" s="9" t="str" cm="1">
        <f t="array" ref="E91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17" s="2" t="s">
        <v>1815</v>
      </c>
      <c r="G917" t="s">
        <v>577</v>
      </c>
      <c r="H917" s="2">
        <v>3</v>
      </c>
      <c r="I917" s="2" t="str" cm="1">
        <f t="array" ref="I917">_xlfn.XLOOKUP(F917,Customers!A916:$A$1001,Customers!B916:$B$1001,"Not Found",0)</f>
        <v>Isis Hessel</v>
      </c>
      <c r="J917" s="2" t="str" cm="1">
        <f t="array" ref="J917">IF(_xlfn.XLOOKUP(F917,Customers!A916:$A$1001,Customers!C916:$C$1001,"Not Found",0)=0,"",_xlfn.XLOOKUP(F917,Customers!A916:$A$1001,Customers!C916:$C$1001,"Not Found",0))</f>
        <v>ihesselpf@ox.ac.uk</v>
      </c>
      <c r="K917" s="2" t="str" cm="1">
        <f t="array" ref="K917">_xlfn.XLOOKUP(F917,Customers!A916:$A$1001,Customers!G916:$G$1001,"Not Found",0)</f>
        <v>United States</v>
      </c>
      <c r="L917" t="str">
        <f>INDEX(Products!$A$1:$G$49,MATCH(Orders!$G917,Products!$A$1:$A$49,0),MATCH(Orders!L$1,Products!$A$1:$G$1,0))</f>
        <v>Exc</v>
      </c>
      <c r="M917" t="str">
        <f>INDEX(Products!$A$1:$G$49,MATCH(Orders!$G917,Products!$A$1:$A$49,0),MATCH(Orders!M$1,Products!$A$1:$G$1,0))</f>
        <v>D</v>
      </c>
      <c r="N917" s="4">
        <f>INDEX(Products!$A$1:$G$49,MATCH(Orders!$G917,Products!$A$1:$A$49,0),MATCH(Orders!N$1,Products!$A$1:$G$1,0))</f>
        <v>2.5</v>
      </c>
      <c r="O917" s="7">
        <f>INDEX(Products!$A$1:$G$49,MATCH(Orders!$G917,Products!$A$1:$A$49,0),MATCH(Orders!O$1,Products!$A$1:$G$1,0))</f>
        <v>27.945</v>
      </c>
      <c r="P917" s="7">
        <f t="shared" si="14"/>
        <v>83.835000000000008</v>
      </c>
      <c r="Q917" t="str" cm="1">
        <f t="array" ref="Q917">_xlfn.IFS(L917="Rob","Robusta",L917="Exc", "Excelsa",L917="Ara", "Arabica",L917="Lib", "Liberica")</f>
        <v>Excelsa</v>
      </c>
      <c r="R917" t="str" cm="1">
        <f t="array" ref="R917">_xlfn.IFS(M917="M","Medium",M917="L","Light",M917="D","Dark")</f>
        <v>Dark</v>
      </c>
    </row>
    <row r="918" spans="1:18">
      <c r="A918" s="2" t="s">
        <v>1816</v>
      </c>
      <c r="B918" s="3">
        <v>44291</v>
      </c>
      <c r="C918" s="9">
        <f>YEAR(Orders_Table[[#This Row],[Order Date]])</f>
        <v>2021</v>
      </c>
      <c r="D918" s="9">
        <f>MONTH(Orders_Table[[#This Row],[Order Date]])</f>
        <v>4</v>
      </c>
      <c r="E918" s="9" t="str" cm="1">
        <f t="array" ref="E91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18" s="2" t="s">
        <v>1817</v>
      </c>
      <c r="G918" t="s">
        <v>98</v>
      </c>
      <c r="H918" s="2">
        <v>1</v>
      </c>
      <c r="I918" s="2" t="str" cm="1">
        <f t="array" ref="I918">_xlfn.XLOOKUP(F918,Customers!A917:$A$1001,Customers!B917:$B$1001,"Not Found",0)</f>
        <v>Harland Trematick</v>
      </c>
      <c r="J918" s="2" t="str" cm="1">
        <f t="array" ref="J918">IF(_xlfn.XLOOKUP(F918,Customers!A917:$A$1001,Customers!C917:$C$1001,"Not Found",0)=0,"",_xlfn.XLOOKUP(F918,Customers!A917:$A$1001,Customers!C917:$C$1001,"Not Found",0))</f>
        <v/>
      </c>
      <c r="K918" s="2" t="str" cm="1">
        <f t="array" ref="K918">_xlfn.XLOOKUP(F918,Customers!A917:$A$1001,Customers!G917:$G$1001,"Not Found",0)</f>
        <v>Ireland</v>
      </c>
      <c r="L918" t="str">
        <f>INDEX(Products!$A$1:$G$49,MATCH(Orders!$G918,Products!$A$1:$A$49,0),MATCH(Orders!L$1,Products!$A$1:$G$1,0))</f>
        <v>Exc</v>
      </c>
      <c r="M918" t="str">
        <f>INDEX(Products!$A$1:$G$49,MATCH(Orders!$G918,Products!$A$1:$A$49,0),MATCH(Orders!M$1,Products!$A$1:$G$1,0))</f>
        <v>D</v>
      </c>
      <c r="N918" s="4">
        <f>INDEX(Products!$A$1:$G$49,MATCH(Orders!$G918,Products!$A$1:$A$49,0),MATCH(Orders!N$1,Products!$A$1:$G$1,0))</f>
        <v>0.2</v>
      </c>
      <c r="O918" s="7">
        <f>INDEX(Products!$A$1:$G$49,MATCH(Orders!$G918,Products!$A$1:$A$49,0),MATCH(Orders!O$1,Products!$A$1:$G$1,0))</f>
        <v>3.645</v>
      </c>
      <c r="P918" s="7">
        <f t="shared" si="14"/>
        <v>3.645</v>
      </c>
      <c r="Q918" t="str" cm="1">
        <f t="array" ref="Q918">_xlfn.IFS(L918="Rob","Robusta",L918="Exc", "Excelsa",L918="Ara", "Arabica",L918="Lib", "Liberica")</f>
        <v>Excelsa</v>
      </c>
      <c r="R918" t="str" cm="1">
        <f t="array" ref="R918">_xlfn.IFS(M918="M","Medium",M918="L","Light",M918="D","Dark")</f>
        <v>Dark</v>
      </c>
    </row>
    <row r="919" spans="1:18">
      <c r="A919" s="2" t="s">
        <v>1818</v>
      </c>
      <c r="B919" s="3">
        <v>44573</v>
      </c>
      <c r="C919" s="9">
        <f>YEAR(Orders_Table[[#This Row],[Order Date]])</f>
        <v>2022</v>
      </c>
      <c r="D919" s="9">
        <f>MONTH(Orders_Table[[#This Row],[Order Date]])</f>
        <v>1</v>
      </c>
      <c r="E919" s="9" t="str" cm="1">
        <f t="array" ref="E91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19" s="2" t="s">
        <v>1819</v>
      </c>
      <c r="G919" t="s">
        <v>114</v>
      </c>
      <c r="H919" s="2">
        <v>1</v>
      </c>
      <c r="I919" s="2" t="str" cm="1">
        <f t="array" ref="I919">_xlfn.XLOOKUP(F919,Customers!A918:$A$1001,Customers!B918:$B$1001,"Not Found",0)</f>
        <v>Chloris Sorrell</v>
      </c>
      <c r="J919" s="2" t="str" cm="1">
        <f t="array" ref="J919">IF(_xlfn.XLOOKUP(F919,Customers!A918:$A$1001,Customers!C918:$C$1001,"Not Found",0)=0,"",_xlfn.XLOOKUP(F919,Customers!A918:$A$1001,Customers!C918:$C$1001,"Not Found",0))</f>
        <v>csorrellph@amazon.com</v>
      </c>
      <c r="K919" s="2" t="str" cm="1">
        <f t="array" ref="K919">_xlfn.XLOOKUP(F919,Customers!A918:$A$1001,Customers!G918:$G$1001,"Not Found",0)</f>
        <v>United Kingdom</v>
      </c>
      <c r="L919" t="str">
        <f>INDEX(Products!$A$1:$G$49,MATCH(Orders!$G919,Products!$A$1:$A$49,0),MATCH(Orders!L$1,Products!$A$1:$G$1,0))</f>
        <v>Ara</v>
      </c>
      <c r="M919" t="str">
        <f>INDEX(Products!$A$1:$G$49,MATCH(Orders!$G919,Products!$A$1:$A$49,0),MATCH(Orders!M$1,Products!$A$1:$G$1,0))</f>
        <v>M</v>
      </c>
      <c r="N919" s="4">
        <f>INDEX(Products!$A$1:$G$49,MATCH(Orders!$G919,Products!$A$1:$A$49,0),MATCH(Orders!N$1,Products!$A$1:$G$1,0))</f>
        <v>0.5</v>
      </c>
      <c r="O919" s="7">
        <f>INDEX(Products!$A$1:$G$49,MATCH(Orders!$G919,Products!$A$1:$A$49,0),MATCH(Orders!O$1,Products!$A$1:$G$1,0))</f>
        <v>6.75</v>
      </c>
      <c r="P919" s="7">
        <f t="shared" si="14"/>
        <v>6.75</v>
      </c>
      <c r="Q919" t="str" cm="1">
        <f t="array" ref="Q919">_xlfn.IFS(L919="Rob","Robusta",L919="Exc", "Excelsa",L919="Ara", "Arabica",L919="Lib", "Liberica")</f>
        <v>Arabica</v>
      </c>
      <c r="R919" t="str" cm="1">
        <f t="array" ref="R919">_xlfn.IFS(M919="M","Medium",M919="L","Light",M919="D","Dark")</f>
        <v>Medium</v>
      </c>
    </row>
    <row r="920" spans="1:18">
      <c r="A920" s="2" t="s">
        <v>1818</v>
      </c>
      <c r="B920" s="3">
        <v>44573</v>
      </c>
      <c r="C920" s="9">
        <f>YEAR(Orders_Table[[#This Row],[Order Date]])</f>
        <v>2022</v>
      </c>
      <c r="D920" s="9">
        <f>MONTH(Orders_Table[[#This Row],[Order Date]])</f>
        <v>1</v>
      </c>
      <c r="E920" s="9" t="str" cm="1">
        <f t="array" ref="E92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20" s="2" t="s">
        <v>1819</v>
      </c>
      <c r="G920" t="s">
        <v>63</v>
      </c>
      <c r="H920" s="2">
        <v>3</v>
      </c>
      <c r="I920" s="2" t="str" cm="1">
        <f t="array" ref="I920">_xlfn.XLOOKUP(F920,Customers!A919:$A$1001,Customers!B919:$B$1001,"Not Found",0)</f>
        <v>Chloris Sorrell</v>
      </c>
      <c r="J920" s="2" t="str" cm="1">
        <f t="array" ref="J920">IF(_xlfn.XLOOKUP(F920,Customers!A919:$A$1001,Customers!C919:$C$1001,"Not Found",0)=0,"",_xlfn.XLOOKUP(F920,Customers!A919:$A$1001,Customers!C919:$C$1001,"Not Found",0))</f>
        <v>csorrellph@amazon.com</v>
      </c>
      <c r="K920" s="2" t="str" cm="1">
        <f t="array" ref="K920">_xlfn.XLOOKUP(F920,Customers!A919:$A$1001,Customers!G919:$G$1001,"Not Found",0)</f>
        <v>United Kingdom</v>
      </c>
      <c r="L920" t="str">
        <f>INDEX(Products!$A$1:$G$49,MATCH(Orders!$G920,Products!$A$1:$A$49,0),MATCH(Orders!L$1,Products!$A$1:$G$1,0))</f>
        <v>Exc</v>
      </c>
      <c r="M920" t="str">
        <f>INDEX(Products!$A$1:$G$49,MATCH(Orders!$G920,Products!$A$1:$A$49,0),MATCH(Orders!M$1,Products!$A$1:$G$1,0))</f>
        <v>D</v>
      </c>
      <c r="N920" s="4">
        <f>INDEX(Products!$A$1:$G$49,MATCH(Orders!$G920,Products!$A$1:$A$49,0),MATCH(Orders!N$1,Products!$A$1:$G$1,0))</f>
        <v>0.5</v>
      </c>
      <c r="O920" s="7">
        <f>INDEX(Products!$A$1:$G$49,MATCH(Orders!$G920,Products!$A$1:$A$49,0),MATCH(Orders!O$1,Products!$A$1:$G$1,0))</f>
        <v>7.29</v>
      </c>
      <c r="P920" s="7">
        <f t="shared" si="14"/>
        <v>21.87</v>
      </c>
      <c r="Q920" t="str" cm="1">
        <f t="array" ref="Q920">_xlfn.IFS(L920="Rob","Robusta",L920="Exc", "Excelsa",L920="Ara", "Arabica",L920="Lib", "Liberica")</f>
        <v>Excelsa</v>
      </c>
      <c r="R920" t="str" cm="1">
        <f t="array" ref="R920">_xlfn.IFS(M920="M","Medium",M920="L","Light",M920="D","Dark")</f>
        <v>Dark</v>
      </c>
    </row>
    <row r="921" spans="1:18">
      <c r="A921" s="2" t="s">
        <v>1820</v>
      </c>
      <c r="B921" s="3">
        <v>44181</v>
      </c>
      <c r="C921" s="9">
        <f>YEAR(Orders_Table[[#This Row],[Order Date]])</f>
        <v>2020</v>
      </c>
      <c r="D921" s="9">
        <f>MONTH(Orders_Table[[#This Row],[Order Date]])</f>
        <v>12</v>
      </c>
      <c r="E921" s="9" t="str" cm="1">
        <f t="array" ref="E92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21" s="2" t="s">
        <v>1821</v>
      </c>
      <c r="G921" t="s">
        <v>148</v>
      </c>
      <c r="H921" s="2">
        <v>5</v>
      </c>
      <c r="I921" s="2" t="str" cm="1">
        <f t="array" ref="I921">_xlfn.XLOOKUP(F921,Customers!A920:$A$1001,Customers!B920:$B$1001,"Not Found",0)</f>
        <v>Quintina Heavyside</v>
      </c>
      <c r="J921" s="2" t="str" cm="1">
        <f t="array" ref="J921">IF(_xlfn.XLOOKUP(F921,Customers!A920:$A$1001,Customers!C920:$C$1001,"Not Found",0)=0,"",_xlfn.XLOOKUP(F921,Customers!A920:$A$1001,Customers!C920:$C$1001,"Not Found",0))</f>
        <v>qheavysidepj@unc.edu</v>
      </c>
      <c r="K921" s="2" t="str" cm="1">
        <f t="array" ref="K921">_xlfn.XLOOKUP(F921,Customers!A920:$A$1001,Customers!G920:$G$1001,"Not Found",0)</f>
        <v>United States</v>
      </c>
      <c r="L921" t="str">
        <f>INDEX(Products!$A$1:$G$49,MATCH(Orders!$G921,Products!$A$1:$A$49,0),MATCH(Orders!L$1,Products!$A$1:$G$1,0))</f>
        <v>Rob</v>
      </c>
      <c r="M921" t="str">
        <f>INDEX(Products!$A$1:$G$49,MATCH(Orders!$G921,Products!$A$1:$A$49,0),MATCH(Orders!M$1,Products!$A$1:$G$1,0))</f>
        <v>D</v>
      </c>
      <c r="N921" s="4">
        <f>INDEX(Products!$A$1:$G$49,MATCH(Orders!$G921,Products!$A$1:$A$49,0),MATCH(Orders!N$1,Products!$A$1:$G$1,0))</f>
        <v>0.2</v>
      </c>
      <c r="O921" s="7">
        <f>INDEX(Products!$A$1:$G$49,MATCH(Orders!$G921,Products!$A$1:$A$49,0),MATCH(Orders!O$1,Products!$A$1:$G$1,0))</f>
        <v>2.6849999999999996</v>
      </c>
      <c r="P921" s="7">
        <f t="shared" si="14"/>
        <v>13.424999999999997</v>
      </c>
      <c r="Q921" t="str" cm="1">
        <f t="array" ref="Q921">_xlfn.IFS(L921="Rob","Robusta",L921="Exc", "Excelsa",L921="Ara", "Arabica",L921="Lib", "Liberica")</f>
        <v>Robusta</v>
      </c>
      <c r="R921" t="str" cm="1">
        <f t="array" ref="R921">_xlfn.IFS(M921="M","Medium",M921="L","Light",M921="D","Dark")</f>
        <v>Dark</v>
      </c>
    </row>
    <row r="922" spans="1:18">
      <c r="A922" s="2" t="s">
        <v>1822</v>
      </c>
      <c r="B922" s="3">
        <v>44711</v>
      </c>
      <c r="C922" s="9">
        <f>YEAR(Orders_Table[[#This Row],[Order Date]])</f>
        <v>2022</v>
      </c>
      <c r="D922" s="9">
        <f>MONTH(Orders_Table[[#This Row],[Order Date]])</f>
        <v>5</v>
      </c>
      <c r="E922" s="9" t="str" cm="1">
        <f t="array" ref="E92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22" s="2" t="s">
        <v>1823</v>
      </c>
      <c r="G922" t="s">
        <v>82</v>
      </c>
      <c r="H922" s="2">
        <v>6</v>
      </c>
      <c r="I922" s="2" t="str" cm="1">
        <f t="array" ref="I922">_xlfn.XLOOKUP(F922,Customers!A921:$A$1001,Customers!B921:$B$1001,"Not Found",0)</f>
        <v>Hadley Reuven</v>
      </c>
      <c r="J922" s="2" t="str" cm="1">
        <f t="array" ref="J922">IF(_xlfn.XLOOKUP(F922,Customers!A921:$A$1001,Customers!C921:$C$1001,"Not Found",0)=0,"",_xlfn.XLOOKUP(F922,Customers!A921:$A$1001,Customers!C921:$C$1001,"Not Found",0))</f>
        <v>hreuvenpk@whitehouse.gov</v>
      </c>
      <c r="K922" s="2" t="str" cm="1">
        <f t="array" ref="K922">_xlfn.XLOOKUP(F922,Customers!A921:$A$1001,Customers!G921:$G$1001,"Not Found",0)</f>
        <v>United States</v>
      </c>
      <c r="L922" t="str">
        <f>INDEX(Products!$A$1:$G$49,MATCH(Orders!$G922,Products!$A$1:$A$49,0),MATCH(Orders!L$1,Products!$A$1:$G$1,0))</f>
        <v>Rob</v>
      </c>
      <c r="M922" t="str">
        <f>INDEX(Products!$A$1:$G$49,MATCH(Orders!$G922,Products!$A$1:$A$49,0),MATCH(Orders!M$1,Products!$A$1:$G$1,0))</f>
        <v>D</v>
      </c>
      <c r="N922" s="4">
        <f>INDEX(Products!$A$1:$G$49,MATCH(Orders!$G922,Products!$A$1:$A$49,0),MATCH(Orders!N$1,Products!$A$1:$G$1,0))</f>
        <v>2.5</v>
      </c>
      <c r="O922" s="7">
        <f>INDEX(Products!$A$1:$G$49,MATCH(Orders!$G922,Products!$A$1:$A$49,0),MATCH(Orders!O$1,Products!$A$1:$G$1,0))</f>
        <v>20.584999999999997</v>
      </c>
      <c r="P922" s="7">
        <f t="shared" si="14"/>
        <v>123.50999999999999</v>
      </c>
      <c r="Q922" t="str" cm="1">
        <f t="array" ref="Q922">_xlfn.IFS(L922="Rob","Robusta",L922="Exc", "Excelsa",L922="Ara", "Arabica",L922="Lib", "Liberica")</f>
        <v>Robusta</v>
      </c>
      <c r="R922" t="str" cm="1">
        <f t="array" ref="R922">_xlfn.IFS(M922="M","Medium",M922="L","Light",M922="D","Dark")</f>
        <v>Dark</v>
      </c>
    </row>
    <row r="923" spans="1:18">
      <c r="A923" s="2" t="s">
        <v>1824</v>
      </c>
      <c r="B923" s="3">
        <v>44509</v>
      </c>
      <c r="C923" s="9">
        <f>YEAR(Orders_Table[[#This Row],[Order Date]])</f>
        <v>2021</v>
      </c>
      <c r="D923" s="9">
        <f>MONTH(Orders_Table[[#This Row],[Order Date]])</f>
        <v>11</v>
      </c>
      <c r="E923" s="9" t="str" cm="1">
        <f t="array" ref="E92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23" s="2" t="s">
        <v>1825</v>
      </c>
      <c r="G923" t="s">
        <v>85</v>
      </c>
      <c r="H923" s="2">
        <v>2</v>
      </c>
      <c r="I923" s="2" t="str" cm="1">
        <f t="array" ref="I923">_xlfn.XLOOKUP(F923,Customers!A922:$A$1001,Customers!B922:$B$1001,"Not Found",0)</f>
        <v>Mitch Attwool</v>
      </c>
      <c r="J923" s="2" t="str" cm="1">
        <f t="array" ref="J923">IF(_xlfn.XLOOKUP(F923,Customers!A922:$A$1001,Customers!C922:$C$1001,"Not Found",0)=0,"",_xlfn.XLOOKUP(F923,Customers!A922:$A$1001,Customers!C922:$C$1001,"Not Found",0))</f>
        <v>mattwoolpl@nba.com</v>
      </c>
      <c r="K923" s="2" t="str" cm="1">
        <f t="array" ref="K923">_xlfn.XLOOKUP(F923,Customers!A922:$A$1001,Customers!G922:$G$1001,"Not Found",0)</f>
        <v>United States</v>
      </c>
      <c r="L923" t="str">
        <f>INDEX(Products!$A$1:$G$49,MATCH(Orders!$G923,Products!$A$1:$A$49,0),MATCH(Orders!L$1,Products!$A$1:$G$1,0))</f>
        <v>Lib</v>
      </c>
      <c r="M923" t="str">
        <f>INDEX(Products!$A$1:$G$49,MATCH(Orders!$G923,Products!$A$1:$A$49,0),MATCH(Orders!M$1,Products!$A$1:$G$1,0))</f>
        <v>D</v>
      </c>
      <c r="N923" s="4">
        <f>INDEX(Products!$A$1:$G$49,MATCH(Orders!$G923,Products!$A$1:$A$49,0),MATCH(Orders!N$1,Products!$A$1:$G$1,0))</f>
        <v>0.2</v>
      </c>
      <c r="O923" s="7">
        <f>INDEX(Products!$A$1:$G$49,MATCH(Orders!$G923,Products!$A$1:$A$49,0),MATCH(Orders!O$1,Products!$A$1:$G$1,0))</f>
        <v>3.8849999999999998</v>
      </c>
      <c r="P923" s="7">
        <f t="shared" si="14"/>
        <v>7.77</v>
      </c>
      <c r="Q923" t="str" cm="1">
        <f t="array" ref="Q923">_xlfn.IFS(L923="Rob","Robusta",L923="Exc", "Excelsa",L923="Ara", "Arabica",L923="Lib", "Liberica")</f>
        <v>Liberica</v>
      </c>
      <c r="R923" t="str" cm="1">
        <f t="array" ref="R923">_xlfn.IFS(M923="M","Medium",M923="L","Light",M923="D","Dark")</f>
        <v>Dark</v>
      </c>
    </row>
    <row r="924" spans="1:18">
      <c r="A924" s="2" t="s">
        <v>1826</v>
      </c>
      <c r="B924" s="3">
        <v>44659</v>
      </c>
      <c r="C924" s="9">
        <f>YEAR(Orders_Table[[#This Row],[Order Date]])</f>
        <v>2022</v>
      </c>
      <c r="D924" s="9">
        <f>MONTH(Orders_Table[[#This Row],[Order Date]])</f>
        <v>4</v>
      </c>
      <c r="E924" s="9" t="str" cm="1">
        <f t="array" ref="E92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24" s="2" t="s">
        <v>1827</v>
      </c>
      <c r="G924" t="s">
        <v>108</v>
      </c>
      <c r="H924" s="2">
        <v>6</v>
      </c>
      <c r="I924" s="2" t="str" cm="1">
        <f t="array" ref="I924">_xlfn.XLOOKUP(F924,Customers!A923:$A$1001,Customers!B923:$B$1001,"Not Found",0)</f>
        <v>Charin Maplethorp</v>
      </c>
      <c r="J924" s="2" t="str" cm="1">
        <f t="array" ref="J924">IF(_xlfn.XLOOKUP(F924,Customers!A923:$A$1001,Customers!C923:$C$1001,"Not Found",0)=0,"",_xlfn.XLOOKUP(F924,Customers!A923:$A$1001,Customers!C923:$C$1001,"Not Found",0))</f>
        <v/>
      </c>
      <c r="K924" s="2" t="str" cm="1">
        <f t="array" ref="K924">_xlfn.XLOOKUP(F924,Customers!A923:$A$1001,Customers!G923:$G$1001,"Not Found",0)</f>
        <v>United States</v>
      </c>
      <c r="L924" t="str">
        <f>INDEX(Products!$A$1:$G$49,MATCH(Orders!$G924,Products!$A$1:$A$49,0),MATCH(Orders!L$1,Products!$A$1:$G$1,0))</f>
        <v>Ara</v>
      </c>
      <c r="M924" t="str">
        <f>INDEX(Products!$A$1:$G$49,MATCH(Orders!$G924,Products!$A$1:$A$49,0),MATCH(Orders!M$1,Products!$A$1:$G$1,0))</f>
        <v>M</v>
      </c>
      <c r="N924" s="4">
        <f>INDEX(Products!$A$1:$G$49,MATCH(Orders!$G924,Products!$A$1:$A$49,0),MATCH(Orders!N$1,Products!$A$1:$G$1,0))</f>
        <v>1</v>
      </c>
      <c r="O924" s="7">
        <f>INDEX(Products!$A$1:$G$49,MATCH(Orders!$G924,Products!$A$1:$A$49,0),MATCH(Orders!O$1,Products!$A$1:$G$1,0))</f>
        <v>11.25</v>
      </c>
      <c r="P924" s="7">
        <f t="shared" si="14"/>
        <v>67.5</v>
      </c>
      <c r="Q924" t="str" cm="1">
        <f t="array" ref="Q924">_xlfn.IFS(L924="Rob","Robusta",L924="Exc", "Excelsa",L924="Ara", "Arabica",L924="Lib", "Liberica")</f>
        <v>Arabica</v>
      </c>
      <c r="R924" t="str" cm="1">
        <f t="array" ref="R924">_xlfn.IFS(M924="M","Medium",M924="L","Light",M924="D","Dark")</f>
        <v>Medium</v>
      </c>
    </row>
    <row r="925" spans="1:18">
      <c r="A925" s="2" t="s">
        <v>1828</v>
      </c>
      <c r="B925" s="3">
        <v>43746</v>
      </c>
      <c r="C925" s="9">
        <f>YEAR(Orders_Table[[#This Row],[Order Date]])</f>
        <v>2019</v>
      </c>
      <c r="D925" s="9">
        <f>MONTH(Orders_Table[[#This Row],[Order Date]])</f>
        <v>10</v>
      </c>
      <c r="E925" s="9" t="str" cm="1">
        <f t="array" ref="E92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925" s="2" t="s">
        <v>1829</v>
      </c>
      <c r="G925" t="s">
        <v>577</v>
      </c>
      <c r="H925" s="2">
        <v>1</v>
      </c>
      <c r="I925" s="2" t="str" cm="1">
        <f t="array" ref="I925">_xlfn.XLOOKUP(F925,Customers!A924:$A$1001,Customers!B924:$B$1001,"Not Found",0)</f>
        <v>Goldie Wynes</v>
      </c>
      <c r="J925" s="2" t="str" cm="1">
        <f t="array" ref="J925">IF(_xlfn.XLOOKUP(F925,Customers!A924:$A$1001,Customers!C924:$C$1001,"Not Found",0)=0,"",_xlfn.XLOOKUP(F925,Customers!A924:$A$1001,Customers!C924:$C$1001,"Not Found",0))</f>
        <v>gwynespn@dagondesign.com</v>
      </c>
      <c r="K925" s="2" t="str" cm="1">
        <f t="array" ref="K925">_xlfn.XLOOKUP(F925,Customers!A924:$A$1001,Customers!G924:$G$1001,"Not Found",0)</f>
        <v>United States</v>
      </c>
      <c r="L925" t="str">
        <f>INDEX(Products!$A$1:$G$49,MATCH(Orders!$G925,Products!$A$1:$A$49,0),MATCH(Orders!L$1,Products!$A$1:$G$1,0))</f>
        <v>Exc</v>
      </c>
      <c r="M925" t="str">
        <f>INDEX(Products!$A$1:$G$49,MATCH(Orders!$G925,Products!$A$1:$A$49,0),MATCH(Orders!M$1,Products!$A$1:$G$1,0))</f>
        <v>D</v>
      </c>
      <c r="N925" s="4">
        <f>INDEX(Products!$A$1:$G$49,MATCH(Orders!$G925,Products!$A$1:$A$49,0),MATCH(Orders!N$1,Products!$A$1:$G$1,0))</f>
        <v>2.5</v>
      </c>
      <c r="O925" s="7">
        <f>INDEX(Products!$A$1:$G$49,MATCH(Orders!$G925,Products!$A$1:$A$49,0),MATCH(Orders!O$1,Products!$A$1:$G$1,0))</f>
        <v>27.945</v>
      </c>
      <c r="P925" s="7">
        <f t="shared" si="14"/>
        <v>27.945</v>
      </c>
      <c r="Q925" t="str" cm="1">
        <f t="array" ref="Q925">_xlfn.IFS(L925="Rob","Robusta",L925="Exc", "Excelsa",L925="Ara", "Arabica",L925="Lib", "Liberica")</f>
        <v>Excelsa</v>
      </c>
      <c r="R925" t="str" cm="1">
        <f t="array" ref="R925">_xlfn.IFS(M925="M","Medium",M925="L","Light",M925="D","Dark")</f>
        <v>Dark</v>
      </c>
    </row>
    <row r="926" spans="1:18">
      <c r="A926" s="2" t="s">
        <v>1830</v>
      </c>
      <c r="B926" s="3">
        <v>44451</v>
      </c>
      <c r="C926" s="9">
        <f>YEAR(Orders_Table[[#This Row],[Order Date]])</f>
        <v>2021</v>
      </c>
      <c r="D926" s="9">
        <f>MONTH(Orders_Table[[#This Row],[Order Date]])</f>
        <v>9</v>
      </c>
      <c r="E926" s="9" t="str" cm="1">
        <f t="array" ref="E92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26" s="2" t="s">
        <v>1831</v>
      </c>
      <c r="G926" t="s">
        <v>251</v>
      </c>
      <c r="H926" s="2">
        <v>3</v>
      </c>
      <c r="I926" s="2" t="str" cm="1">
        <f t="array" ref="I926">_xlfn.XLOOKUP(F926,Customers!A925:$A$1001,Customers!B925:$B$1001,"Not Found",0)</f>
        <v>Celie MacCourt</v>
      </c>
      <c r="J926" s="2" t="str" cm="1">
        <f t="array" ref="J926">IF(_xlfn.XLOOKUP(F926,Customers!A925:$A$1001,Customers!C925:$C$1001,"Not Found",0)=0,"",_xlfn.XLOOKUP(F926,Customers!A925:$A$1001,Customers!C925:$C$1001,"Not Found",0))</f>
        <v>cmaccourtpo@amazon.com</v>
      </c>
      <c r="K926" s="2" t="str" cm="1">
        <f t="array" ref="K926">_xlfn.XLOOKUP(F926,Customers!A925:$A$1001,Customers!G925:$G$1001,"Not Found",0)</f>
        <v>United States</v>
      </c>
      <c r="L926" t="str">
        <f>INDEX(Products!$A$1:$G$49,MATCH(Orders!$G926,Products!$A$1:$A$49,0),MATCH(Orders!L$1,Products!$A$1:$G$1,0))</f>
        <v>Ara</v>
      </c>
      <c r="M926" t="str">
        <f>INDEX(Products!$A$1:$G$49,MATCH(Orders!$G926,Products!$A$1:$A$49,0),MATCH(Orders!M$1,Products!$A$1:$G$1,0))</f>
        <v>L</v>
      </c>
      <c r="N926" s="4">
        <f>INDEX(Products!$A$1:$G$49,MATCH(Orders!$G926,Products!$A$1:$A$49,0),MATCH(Orders!N$1,Products!$A$1:$G$1,0))</f>
        <v>2.5</v>
      </c>
      <c r="O926" s="7">
        <f>INDEX(Products!$A$1:$G$49,MATCH(Orders!$G926,Products!$A$1:$A$49,0),MATCH(Orders!O$1,Products!$A$1:$G$1,0))</f>
        <v>29.784999999999997</v>
      </c>
      <c r="P926" s="7">
        <f t="shared" si="14"/>
        <v>89.35499999999999</v>
      </c>
      <c r="Q926" t="str" cm="1">
        <f t="array" ref="Q926">_xlfn.IFS(L926="Rob","Robusta",L926="Exc", "Excelsa",L926="Ara", "Arabica",L926="Lib", "Liberica")</f>
        <v>Arabica</v>
      </c>
      <c r="R926" t="str" cm="1">
        <f t="array" ref="R926">_xlfn.IFS(M926="M","Medium",M926="L","Light",M926="D","Dark")</f>
        <v>Light</v>
      </c>
    </row>
    <row r="927" spans="1:18">
      <c r="A927" s="2" t="s">
        <v>1832</v>
      </c>
      <c r="B927" s="3">
        <v>44770</v>
      </c>
      <c r="C927" s="9">
        <f>YEAR(Orders_Table[[#This Row],[Order Date]])</f>
        <v>2022</v>
      </c>
      <c r="D927" s="9">
        <f>MONTH(Orders_Table[[#This Row],[Order Date]])</f>
        <v>7</v>
      </c>
      <c r="E927" s="9" t="str" cm="1">
        <f t="array" ref="E92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27" s="2" t="s">
        <v>1776</v>
      </c>
      <c r="G927" t="s">
        <v>114</v>
      </c>
      <c r="H927" s="2">
        <v>3</v>
      </c>
      <c r="I927" s="2" t="str" cm="1">
        <f t="array" ref="I927">_xlfn.XLOOKUP(F927,Customers!A926:$A$1001,Customers!B926:$B$1001,"Not Found",0)</f>
        <v>Not Found</v>
      </c>
      <c r="J927" s="2" t="str" cm="1">
        <f t="array" ref="J927">IF(_xlfn.XLOOKUP(F927,Customers!A926:$A$1001,Customers!C926:$C$1001,"Not Found",0)=0,"",_xlfn.XLOOKUP(F927,Customers!A926:$A$1001,Customers!C926:$C$1001,"Not Found",0))</f>
        <v>Not Found</v>
      </c>
      <c r="K927" s="2" t="str" cm="1">
        <f t="array" ref="K927">_xlfn.XLOOKUP(F927,Customers!A926:$A$1001,Customers!G926:$G$1001,"Not Found",0)</f>
        <v>Not Found</v>
      </c>
      <c r="L927" t="str">
        <f>INDEX(Products!$A$1:$G$49,MATCH(Orders!$G927,Products!$A$1:$A$49,0),MATCH(Orders!L$1,Products!$A$1:$G$1,0))</f>
        <v>Ara</v>
      </c>
      <c r="M927" t="str">
        <f>INDEX(Products!$A$1:$G$49,MATCH(Orders!$G927,Products!$A$1:$A$49,0),MATCH(Orders!M$1,Products!$A$1:$G$1,0))</f>
        <v>M</v>
      </c>
      <c r="N927" s="4">
        <f>INDEX(Products!$A$1:$G$49,MATCH(Orders!$G927,Products!$A$1:$A$49,0),MATCH(Orders!N$1,Products!$A$1:$G$1,0))</f>
        <v>0.5</v>
      </c>
      <c r="O927" s="7">
        <f>INDEX(Products!$A$1:$G$49,MATCH(Orders!$G927,Products!$A$1:$A$49,0),MATCH(Orders!O$1,Products!$A$1:$G$1,0))</f>
        <v>6.75</v>
      </c>
      <c r="P927" s="7">
        <f t="shared" si="14"/>
        <v>20.25</v>
      </c>
      <c r="Q927" t="str" cm="1">
        <f t="array" ref="Q927">_xlfn.IFS(L927="Rob","Robusta",L927="Exc", "Excelsa",L927="Ara", "Arabica",L927="Lib", "Liberica")</f>
        <v>Arabica</v>
      </c>
      <c r="R927" t="str" cm="1">
        <f t="array" ref="R927">_xlfn.IFS(M927="M","Medium",M927="L","Light",M927="D","Dark")</f>
        <v>Medium</v>
      </c>
    </row>
    <row r="928" spans="1:18">
      <c r="A928" s="2" t="s">
        <v>1833</v>
      </c>
      <c r="B928" s="3">
        <v>44012</v>
      </c>
      <c r="C928" s="9">
        <f>YEAR(Orders_Table[[#This Row],[Order Date]])</f>
        <v>2020</v>
      </c>
      <c r="D928" s="9">
        <f>MONTH(Orders_Table[[#This Row],[Order Date]])</f>
        <v>6</v>
      </c>
      <c r="E928" s="9" t="str" cm="1">
        <f t="array" ref="E92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28" s="2" t="s">
        <v>1834</v>
      </c>
      <c r="G928" t="s">
        <v>114</v>
      </c>
      <c r="H928" s="2">
        <v>5</v>
      </c>
      <c r="I928" s="2" t="str" cm="1">
        <f t="array" ref="I928">_xlfn.XLOOKUP(F928,Customers!A927:$A$1001,Customers!B927:$B$1001,"Not Found",0)</f>
        <v>Evy Wilsone</v>
      </c>
      <c r="J928" s="2" t="str" cm="1">
        <f t="array" ref="J928">IF(_xlfn.XLOOKUP(F928,Customers!A927:$A$1001,Customers!C927:$C$1001,"Not Found",0)=0,"",_xlfn.XLOOKUP(F928,Customers!A927:$A$1001,Customers!C927:$C$1001,"Not Found",0))</f>
        <v>ewilsonepq@eepurl.com</v>
      </c>
      <c r="K928" s="2" t="str" cm="1">
        <f t="array" ref="K928">_xlfn.XLOOKUP(F928,Customers!A927:$A$1001,Customers!G927:$G$1001,"Not Found",0)</f>
        <v>United States</v>
      </c>
      <c r="L928" t="str">
        <f>INDEX(Products!$A$1:$G$49,MATCH(Orders!$G928,Products!$A$1:$A$49,0),MATCH(Orders!L$1,Products!$A$1:$G$1,0))</f>
        <v>Ara</v>
      </c>
      <c r="M928" t="str">
        <f>INDEX(Products!$A$1:$G$49,MATCH(Orders!$G928,Products!$A$1:$A$49,0),MATCH(Orders!M$1,Products!$A$1:$G$1,0))</f>
        <v>M</v>
      </c>
      <c r="N928" s="4">
        <f>INDEX(Products!$A$1:$G$49,MATCH(Orders!$G928,Products!$A$1:$A$49,0),MATCH(Orders!N$1,Products!$A$1:$G$1,0))</f>
        <v>0.5</v>
      </c>
      <c r="O928" s="7">
        <f>INDEX(Products!$A$1:$G$49,MATCH(Orders!$G928,Products!$A$1:$A$49,0),MATCH(Orders!O$1,Products!$A$1:$G$1,0))</f>
        <v>6.75</v>
      </c>
      <c r="P928" s="7">
        <f t="shared" si="14"/>
        <v>33.75</v>
      </c>
      <c r="Q928" t="str" cm="1">
        <f t="array" ref="Q928">_xlfn.IFS(L928="Rob","Robusta",L928="Exc", "Excelsa",L928="Ara", "Arabica",L928="Lib", "Liberica")</f>
        <v>Arabica</v>
      </c>
      <c r="R928" t="str" cm="1">
        <f t="array" ref="R928">_xlfn.IFS(M928="M","Medium",M928="L","Light",M928="D","Dark")</f>
        <v>Medium</v>
      </c>
    </row>
    <row r="929" spans="1:18">
      <c r="A929" s="2" t="s">
        <v>1835</v>
      </c>
      <c r="B929" s="3">
        <v>43474</v>
      </c>
      <c r="C929" s="9">
        <f>YEAR(Orders_Table[[#This Row],[Order Date]])</f>
        <v>2019</v>
      </c>
      <c r="D929" s="9">
        <f>MONTH(Orders_Table[[#This Row],[Order Date]])</f>
        <v>1</v>
      </c>
      <c r="E929" s="9" t="str" cm="1">
        <f t="array" ref="E92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29" s="2" t="s">
        <v>1836</v>
      </c>
      <c r="G929" t="s">
        <v>577</v>
      </c>
      <c r="H929" s="2">
        <v>4</v>
      </c>
      <c r="I929" s="2" t="str" cm="1">
        <f t="array" ref="I929">_xlfn.XLOOKUP(F929,Customers!A928:$A$1001,Customers!B928:$B$1001,"Not Found",0)</f>
        <v>Dolores Duffie</v>
      </c>
      <c r="J929" s="2" t="str" cm="1">
        <f t="array" ref="J929">IF(_xlfn.XLOOKUP(F929,Customers!A928:$A$1001,Customers!C928:$C$1001,"Not Found",0)=0,"",_xlfn.XLOOKUP(F929,Customers!A928:$A$1001,Customers!C928:$C$1001,"Not Found",0))</f>
        <v>dduffiepr@time.com</v>
      </c>
      <c r="K929" s="2" t="str" cm="1">
        <f t="array" ref="K929">_xlfn.XLOOKUP(F929,Customers!A928:$A$1001,Customers!G928:$G$1001,"Not Found",0)</f>
        <v>United States</v>
      </c>
      <c r="L929" t="str">
        <f>INDEX(Products!$A$1:$G$49,MATCH(Orders!$G929,Products!$A$1:$A$49,0),MATCH(Orders!L$1,Products!$A$1:$G$1,0))</f>
        <v>Exc</v>
      </c>
      <c r="M929" t="str">
        <f>INDEX(Products!$A$1:$G$49,MATCH(Orders!$G929,Products!$A$1:$A$49,0),MATCH(Orders!M$1,Products!$A$1:$G$1,0))</f>
        <v>D</v>
      </c>
      <c r="N929" s="4">
        <f>INDEX(Products!$A$1:$G$49,MATCH(Orders!$G929,Products!$A$1:$A$49,0),MATCH(Orders!N$1,Products!$A$1:$G$1,0))</f>
        <v>2.5</v>
      </c>
      <c r="O929" s="7">
        <f>INDEX(Products!$A$1:$G$49,MATCH(Orders!$G929,Products!$A$1:$A$49,0),MATCH(Orders!O$1,Products!$A$1:$G$1,0))</f>
        <v>27.945</v>
      </c>
      <c r="P929" s="7">
        <f t="shared" si="14"/>
        <v>111.78</v>
      </c>
      <c r="Q929" t="str" cm="1">
        <f t="array" ref="Q929">_xlfn.IFS(L929="Rob","Robusta",L929="Exc", "Excelsa",L929="Ara", "Arabica",L929="Lib", "Liberica")</f>
        <v>Excelsa</v>
      </c>
      <c r="R929" t="str" cm="1">
        <f t="array" ref="R929">_xlfn.IFS(M929="M","Medium",M929="L","Light",M929="D","Dark")</f>
        <v>Dark</v>
      </c>
    </row>
    <row r="930" spans="1:18">
      <c r="A930" s="2" t="s">
        <v>1837</v>
      </c>
      <c r="B930" s="3">
        <v>44754</v>
      </c>
      <c r="C930" s="9">
        <f>YEAR(Orders_Table[[#This Row],[Order Date]])</f>
        <v>2022</v>
      </c>
      <c r="D930" s="9">
        <f>MONTH(Orders_Table[[#This Row],[Order Date]])</f>
        <v>7</v>
      </c>
      <c r="E930" s="9" t="str" cm="1">
        <f t="array" ref="E93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30" s="2" t="s">
        <v>1838</v>
      </c>
      <c r="G930" t="s">
        <v>159</v>
      </c>
      <c r="H930" s="2">
        <v>2</v>
      </c>
      <c r="I930" s="2" t="str" cm="1">
        <f t="array" ref="I930">_xlfn.XLOOKUP(F930,Customers!A929:$A$1001,Customers!B929:$B$1001,"Not Found",0)</f>
        <v>Mathilda Matiasek</v>
      </c>
      <c r="J930" s="2" t="str" cm="1">
        <f t="array" ref="J930">IF(_xlfn.XLOOKUP(F930,Customers!A929:$A$1001,Customers!C929:$C$1001,"Not Found",0)=0,"",_xlfn.XLOOKUP(F930,Customers!A929:$A$1001,Customers!C929:$C$1001,"Not Found",0))</f>
        <v>mmatiasekps@ucoz.ru</v>
      </c>
      <c r="K930" s="2" t="str" cm="1">
        <f t="array" ref="K930">_xlfn.XLOOKUP(F930,Customers!A929:$A$1001,Customers!G929:$G$1001,"Not Found",0)</f>
        <v>United States</v>
      </c>
      <c r="L930" t="str">
        <f>INDEX(Products!$A$1:$G$49,MATCH(Orders!$G930,Products!$A$1:$A$49,0),MATCH(Orders!L$1,Products!$A$1:$G$1,0))</f>
        <v>Exc</v>
      </c>
      <c r="M930" t="str">
        <f>INDEX(Products!$A$1:$G$49,MATCH(Orders!$G930,Products!$A$1:$A$49,0),MATCH(Orders!M$1,Products!$A$1:$G$1,0))</f>
        <v>M</v>
      </c>
      <c r="N930" s="4">
        <f>INDEX(Products!$A$1:$G$49,MATCH(Orders!$G930,Products!$A$1:$A$49,0),MATCH(Orders!N$1,Products!$A$1:$G$1,0))</f>
        <v>2.5</v>
      </c>
      <c r="O930" s="7">
        <f>INDEX(Products!$A$1:$G$49,MATCH(Orders!$G930,Products!$A$1:$A$49,0),MATCH(Orders!O$1,Products!$A$1:$G$1,0))</f>
        <v>31.624999999999996</v>
      </c>
      <c r="P930" s="7">
        <f t="shared" si="14"/>
        <v>63.249999999999993</v>
      </c>
      <c r="Q930" t="str" cm="1">
        <f t="array" ref="Q930">_xlfn.IFS(L930="Rob","Robusta",L930="Exc", "Excelsa",L930="Ara", "Arabica",L930="Lib", "Liberica")</f>
        <v>Excelsa</v>
      </c>
      <c r="R930" t="str" cm="1">
        <f t="array" ref="R930">_xlfn.IFS(M930="M","Medium",M930="L","Light",M930="D","Dark")</f>
        <v>Medium</v>
      </c>
    </row>
    <row r="931" spans="1:18">
      <c r="A931" s="2" t="s">
        <v>1839</v>
      </c>
      <c r="B931" s="3">
        <v>44165</v>
      </c>
      <c r="C931" s="9">
        <f>YEAR(Orders_Table[[#This Row],[Order Date]])</f>
        <v>2020</v>
      </c>
      <c r="D931" s="9">
        <f>MONTH(Orders_Table[[#This Row],[Order Date]])</f>
        <v>11</v>
      </c>
      <c r="E931" s="9" t="str" cm="1">
        <f t="array" ref="E93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31" s="2" t="s">
        <v>1840</v>
      </c>
      <c r="G931" t="s">
        <v>301</v>
      </c>
      <c r="H931" s="2">
        <v>2</v>
      </c>
      <c r="I931" s="2" t="str" cm="1">
        <f t="array" ref="I931">_xlfn.XLOOKUP(F931,Customers!A930:$A$1001,Customers!B930:$B$1001,"Not Found",0)</f>
        <v>Jarred Camillo</v>
      </c>
      <c r="J931" s="2" t="str" cm="1">
        <f t="array" ref="J931">IF(_xlfn.XLOOKUP(F931,Customers!A930:$A$1001,Customers!C930:$C$1001,"Not Found",0)=0,"",_xlfn.XLOOKUP(F931,Customers!A930:$A$1001,Customers!C930:$C$1001,"Not Found",0))</f>
        <v>jcamillopt@shinystat.com</v>
      </c>
      <c r="K931" s="2" t="str" cm="1">
        <f t="array" ref="K931">_xlfn.XLOOKUP(F931,Customers!A930:$A$1001,Customers!G930:$G$1001,"Not Found",0)</f>
        <v>United States</v>
      </c>
      <c r="L931" t="str">
        <f>INDEX(Products!$A$1:$G$49,MATCH(Orders!$G931,Products!$A$1:$A$49,0),MATCH(Orders!L$1,Products!$A$1:$G$1,0))</f>
        <v>Exc</v>
      </c>
      <c r="M931" t="str">
        <f>INDEX(Products!$A$1:$G$49,MATCH(Orders!$G931,Products!$A$1:$A$49,0),MATCH(Orders!M$1,Products!$A$1:$G$1,0))</f>
        <v>L</v>
      </c>
      <c r="N931" s="4">
        <f>INDEX(Products!$A$1:$G$49,MATCH(Orders!$G931,Products!$A$1:$A$49,0),MATCH(Orders!N$1,Products!$A$1:$G$1,0))</f>
        <v>0.2</v>
      </c>
      <c r="O931" s="7">
        <f>INDEX(Products!$A$1:$G$49,MATCH(Orders!$G931,Products!$A$1:$A$49,0),MATCH(Orders!O$1,Products!$A$1:$G$1,0))</f>
        <v>4.4550000000000001</v>
      </c>
      <c r="P931" s="7">
        <f t="shared" si="14"/>
        <v>8.91</v>
      </c>
      <c r="Q931" t="str" cm="1">
        <f t="array" ref="Q931">_xlfn.IFS(L931="Rob","Robusta",L931="Exc", "Excelsa",L931="Ara", "Arabica",L931="Lib", "Liberica")</f>
        <v>Excelsa</v>
      </c>
      <c r="R931" t="str" cm="1">
        <f t="array" ref="R931">_xlfn.IFS(M931="M","Medium",M931="L","Light",M931="D","Dark")</f>
        <v>Light</v>
      </c>
    </row>
    <row r="932" spans="1:18">
      <c r="A932" s="2" t="s">
        <v>1841</v>
      </c>
      <c r="B932" s="3">
        <v>43546</v>
      </c>
      <c r="C932" s="9">
        <f>YEAR(Orders_Table[[#This Row],[Order Date]])</f>
        <v>2019</v>
      </c>
      <c r="D932" s="9">
        <f>MONTH(Orders_Table[[#This Row],[Order Date]])</f>
        <v>3</v>
      </c>
      <c r="E932" s="9" t="str" cm="1">
        <f t="array" ref="E93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32" s="2" t="s">
        <v>1842</v>
      </c>
      <c r="G932" t="s">
        <v>292</v>
      </c>
      <c r="H932" s="2">
        <v>1</v>
      </c>
      <c r="I932" s="2" t="str" cm="1">
        <f t="array" ref="I932">_xlfn.XLOOKUP(F932,Customers!A931:$A$1001,Customers!B931:$B$1001,"Not Found",0)</f>
        <v>Kameko Philbrick</v>
      </c>
      <c r="J932" s="2" t="str" cm="1">
        <f t="array" ref="J932">IF(_xlfn.XLOOKUP(F932,Customers!A931:$A$1001,Customers!C931:$C$1001,"Not Found",0)=0,"",_xlfn.XLOOKUP(F932,Customers!A931:$A$1001,Customers!C931:$C$1001,"Not Found",0))</f>
        <v>kphilbrickpu@cdc.gov</v>
      </c>
      <c r="K932" s="2" t="str" cm="1">
        <f t="array" ref="K932">_xlfn.XLOOKUP(F932,Customers!A931:$A$1001,Customers!G931:$G$1001,"Not Found",0)</f>
        <v>United States</v>
      </c>
      <c r="L932" t="str">
        <f>INDEX(Products!$A$1:$G$49,MATCH(Orders!$G932,Products!$A$1:$A$49,0),MATCH(Orders!L$1,Products!$A$1:$G$1,0))</f>
        <v>Exc</v>
      </c>
      <c r="M932" t="str">
        <f>INDEX(Products!$A$1:$G$49,MATCH(Orders!$G932,Products!$A$1:$A$49,0),MATCH(Orders!M$1,Products!$A$1:$G$1,0))</f>
        <v>D</v>
      </c>
      <c r="N932" s="4">
        <f>INDEX(Products!$A$1:$G$49,MATCH(Orders!$G932,Products!$A$1:$A$49,0),MATCH(Orders!N$1,Products!$A$1:$G$1,0))</f>
        <v>1</v>
      </c>
      <c r="O932" s="7">
        <f>INDEX(Products!$A$1:$G$49,MATCH(Orders!$G932,Products!$A$1:$A$49,0),MATCH(Orders!O$1,Products!$A$1:$G$1,0))</f>
        <v>12.15</v>
      </c>
      <c r="P932" s="7">
        <f t="shared" si="14"/>
        <v>12.15</v>
      </c>
      <c r="Q932" t="str" cm="1">
        <f t="array" ref="Q932">_xlfn.IFS(L932="Rob","Robusta",L932="Exc", "Excelsa",L932="Ara", "Arabica",L932="Lib", "Liberica")</f>
        <v>Excelsa</v>
      </c>
      <c r="R932" t="str" cm="1">
        <f t="array" ref="R932">_xlfn.IFS(M932="M","Medium",M932="L","Light",M932="D","Dark")</f>
        <v>Dark</v>
      </c>
    </row>
    <row r="933" spans="1:18">
      <c r="A933" s="2" t="s">
        <v>1843</v>
      </c>
      <c r="B933" s="3">
        <v>44607</v>
      </c>
      <c r="C933" s="9">
        <f>YEAR(Orders_Table[[#This Row],[Order Date]])</f>
        <v>2022</v>
      </c>
      <c r="D933" s="9">
        <f>MONTH(Orders_Table[[#This Row],[Order Date]])</f>
        <v>2</v>
      </c>
      <c r="E933" s="9" t="str" cm="1">
        <f t="array" ref="E93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33" s="2" t="s">
        <v>1844</v>
      </c>
      <c r="G933" t="s">
        <v>119</v>
      </c>
      <c r="H933" s="2">
        <v>4</v>
      </c>
      <c r="I933" s="2" t="str" cm="1">
        <f t="array" ref="I933">_xlfn.XLOOKUP(F933,Customers!A932:$A$1001,Customers!B932:$B$1001,"Not Found",0)</f>
        <v>Mallory Shrimpling</v>
      </c>
      <c r="J933" s="2" t="str" cm="1">
        <f t="array" ref="J933">IF(_xlfn.XLOOKUP(F933,Customers!A932:$A$1001,Customers!C932:$C$1001,"Not Found",0)=0,"",_xlfn.XLOOKUP(F933,Customers!A932:$A$1001,Customers!C932:$C$1001,"Not Found",0))</f>
        <v/>
      </c>
      <c r="K933" s="2" t="str" cm="1">
        <f t="array" ref="K933">_xlfn.XLOOKUP(F933,Customers!A932:$A$1001,Customers!G932:$G$1001,"Not Found",0)</f>
        <v>United States</v>
      </c>
      <c r="L933" t="str">
        <f>INDEX(Products!$A$1:$G$49,MATCH(Orders!$G933,Products!$A$1:$A$49,0),MATCH(Orders!L$1,Products!$A$1:$G$1,0))</f>
        <v>Ara</v>
      </c>
      <c r="M933" t="str">
        <f>INDEX(Products!$A$1:$G$49,MATCH(Orders!$G933,Products!$A$1:$A$49,0),MATCH(Orders!M$1,Products!$A$1:$G$1,0))</f>
        <v>D</v>
      </c>
      <c r="N933" s="4">
        <f>INDEX(Products!$A$1:$G$49,MATCH(Orders!$G933,Products!$A$1:$A$49,0),MATCH(Orders!N$1,Products!$A$1:$G$1,0))</f>
        <v>0.5</v>
      </c>
      <c r="O933" s="7">
        <f>INDEX(Products!$A$1:$G$49,MATCH(Orders!$G933,Products!$A$1:$A$49,0),MATCH(Orders!O$1,Products!$A$1:$G$1,0))</f>
        <v>5.97</v>
      </c>
      <c r="P933" s="7">
        <f t="shared" si="14"/>
        <v>23.88</v>
      </c>
      <c r="Q933" t="str" cm="1">
        <f t="array" ref="Q933">_xlfn.IFS(L933="Rob","Robusta",L933="Exc", "Excelsa",L933="Ara", "Arabica",L933="Lib", "Liberica")</f>
        <v>Arabica</v>
      </c>
      <c r="R933" t="str" cm="1">
        <f t="array" ref="R933">_xlfn.IFS(M933="M","Medium",M933="L","Light",M933="D","Dark")</f>
        <v>Dark</v>
      </c>
    </row>
    <row r="934" spans="1:18">
      <c r="A934" s="2" t="s">
        <v>1845</v>
      </c>
      <c r="B934" s="3">
        <v>44117</v>
      </c>
      <c r="C934" s="9">
        <f>YEAR(Orders_Table[[#This Row],[Order Date]])</f>
        <v>2020</v>
      </c>
      <c r="D934" s="9">
        <f>MONTH(Orders_Table[[#This Row],[Order Date]])</f>
        <v>10</v>
      </c>
      <c r="E934" s="9" t="str" cm="1">
        <f t="array" ref="E93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934" s="2" t="s">
        <v>1846</v>
      </c>
      <c r="G934" t="s">
        <v>56</v>
      </c>
      <c r="H934" s="2">
        <v>4</v>
      </c>
      <c r="I934" s="2" t="str" cm="1">
        <f t="array" ref="I934">_xlfn.XLOOKUP(F934,Customers!A933:$A$1001,Customers!B933:$B$1001,"Not Found",0)</f>
        <v>Barnett Sillis</v>
      </c>
      <c r="J934" s="2" t="str" cm="1">
        <f t="array" ref="J934">IF(_xlfn.XLOOKUP(F934,Customers!A933:$A$1001,Customers!C933:$C$1001,"Not Found",0)=0,"",_xlfn.XLOOKUP(F934,Customers!A933:$A$1001,Customers!C933:$C$1001,"Not Found",0))</f>
        <v>bsillispw@istockphoto.com</v>
      </c>
      <c r="K934" s="2" t="str" cm="1">
        <f t="array" ref="K934">_xlfn.XLOOKUP(F934,Customers!A933:$A$1001,Customers!G933:$G$1001,"Not Found",0)</f>
        <v>United States</v>
      </c>
      <c r="L934" t="str">
        <f>INDEX(Products!$A$1:$G$49,MATCH(Orders!$G934,Products!$A$1:$A$49,0),MATCH(Orders!L$1,Products!$A$1:$G$1,0))</f>
        <v>Exc</v>
      </c>
      <c r="M934" t="str">
        <f>INDEX(Products!$A$1:$G$49,MATCH(Orders!$G934,Products!$A$1:$A$49,0),MATCH(Orders!M$1,Products!$A$1:$G$1,0))</f>
        <v>M</v>
      </c>
      <c r="N934" s="4">
        <f>INDEX(Products!$A$1:$G$49,MATCH(Orders!$G934,Products!$A$1:$A$49,0),MATCH(Orders!N$1,Products!$A$1:$G$1,0))</f>
        <v>1</v>
      </c>
      <c r="O934" s="7">
        <f>INDEX(Products!$A$1:$G$49,MATCH(Orders!$G934,Products!$A$1:$A$49,0),MATCH(Orders!O$1,Products!$A$1:$G$1,0))</f>
        <v>13.75</v>
      </c>
      <c r="P934" s="7">
        <f t="shared" si="14"/>
        <v>55</v>
      </c>
      <c r="Q934" t="str" cm="1">
        <f t="array" ref="Q934">_xlfn.IFS(L934="Rob","Robusta",L934="Exc", "Excelsa",L934="Ara", "Arabica",L934="Lib", "Liberica")</f>
        <v>Excelsa</v>
      </c>
      <c r="R934" t="str" cm="1">
        <f t="array" ref="R934">_xlfn.IFS(M934="M","Medium",M934="L","Light",M934="D","Dark")</f>
        <v>Medium</v>
      </c>
    </row>
    <row r="935" spans="1:18">
      <c r="A935" s="2" t="s">
        <v>1847</v>
      </c>
      <c r="B935" s="3">
        <v>44557</v>
      </c>
      <c r="C935" s="9">
        <f>YEAR(Orders_Table[[#This Row],[Order Date]])</f>
        <v>2021</v>
      </c>
      <c r="D935" s="9">
        <f>MONTH(Orders_Table[[#This Row],[Order Date]])</f>
        <v>12</v>
      </c>
      <c r="E935" s="9" t="str" cm="1">
        <f t="array" ref="E93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35" s="2" t="s">
        <v>1848</v>
      </c>
      <c r="G935" t="s">
        <v>226</v>
      </c>
      <c r="H935" s="2">
        <v>3</v>
      </c>
      <c r="I935" s="2" t="str" cm="1">
        <f t="array" ref="I935">_xlfn.XLOOKUP(F935,Customers!A934:$A$1001,Customers!B934:$B$1001,"Not Found",0)</f>
        <v>Brenn Dundredge</v>
      </c>
      <c r="J935" s="2" t="str" cm="1">
        <f t="array" ref="J935">IF(_xlfn.XLOOKUP(F935,Customers!A934:$A$1001,Customers!C934:$C$1001,"Not Found",0)=0,"",_xlfn.XLOOKUP(F935,Customers!A934:$A$1001,Customers!C934:$C$1001,"Not Found",0))</f>
        <v/>
      </c>
      <c r="K935" s="2" t="str" cm="1">
        <f t="array" ref="K935">_xlfn.XLOOKUP(F935,Customers!A934:$A$1001,Customers!G934:$G$1001,"Not Found",0)</f>
        <v>United States</v>
      </c>
      <c r="L935" t="str">
        <f>INDEX(Products!$A$1:$G$49,MATCH(Orders!$G935,Products!$A$1:$A$49,0),MATCH(Orders!L$1,Products!$A$1:$G$1,0))</f>
        <v>Rob</v>
      </c>
      <c r="M935" t="str">
        <f>INDEX(Products!$A$1:$G$49,MATCH(Orders!$G935,Products!$A$1:$A$49,0),MATCH(Orders!M$1,Products!$A$1:$G$1,0))</f>
        <v>D</v>
      </c>
      <c r="N935" s="4">
        <f>INDEX(Products!$A$1:$G$49,MATCH(Orders!$G935,Products!$A$1:$A$49,0),MATCH(Orders!N$1,Products!$A$1:$G$1,0))</f>
        <v>1</v>
      </c>
      <c r="O935" s="7">
        <f>INDEX(Products!$A$1:$G$49,MATCH(Orders!$G935,Products!$A$1:$A$49,0),MATCH(Orders!O$1,Products!$A$1:$G$1,0))</f>
        <v>8.9499999999999993</v>
      </c>
      <c r="P935" s="7">
        <f t="shared" si="14"/>
        <v>26.849999999999998</v>
      </c>
      <c r="Q935" t="str" cm="1">
        <f t="array" ref="Q935">_xlfn.IFS(L935="Rob","Robusta",L935="Exc", "Excelsa",L935="Ara", "Arabica",L935="Lib", "Liberica")</f>
        <v>Robusta</v>
      </c>
      <c r="R935" t="str" cm="1">
        <f t="array" ref="R935">_xlfn.IFS(M935="M","Medium",M935="L","Light",M935="D","Dark")</f>
        <v>Dark</v>
      </c>
    </row>
    <row r="936" spans="1:18">
      <c r="A936" s="2" t="s">
        <v>1849</v>
      </c>
      <c r="B936" s="3">
        <v>44409</v>
      </c>
      <c r="C936" s="9">
        <f>YEAR(Orders_Table[[#This Row],[Order Date]])</f>
        <v>2021</v>
      </c>
      <c r="D936" s="9">
        <f>MONTH(Orders_Table[[#This Row],[Order Date]])</f>
        <v>8</v>
      </c>
      <c r="E936" s="9" t="str" cm="1">
        <f t="array" ref="E93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936" s="2" t="s">
        <v>1850</v>
      </c>
      <c r="G936" t="s">
        <v>88</v>
      </c>
      <c r="H936" s="2">
        <v>5</v>
      </c>
      <c r="I936" s="2" t="str" cm="1">
        <f t="array" ref="I936">_xlfn.XLOOKUP(F936,Customers!A935:$A$1001,Customers!B935:$B$1001,"Not Found",0)</f>
        <v>Read Cutts</v>
      </c>
      <c r="J936" s="2" t="str" cm="1">
        <f t="array" ref="J936">IF(_xlfn.XLOOKUP(F936,Customers!A935:$A$1001,Customers!C935:$C$1001,"Not Found",0)=0,"",_xlfn.XLOOKUP(F936,Customers!A935:$A$1001,Customers!C935:$C$1001,"Not Found",0))</f>
        <v>rcuttspy@techcrunch.com</v>
      </c>
      <c r="K936" s="2" t="str" cm="1">
        <f t="array" ref="K936">_xlfn.XLOOKUP(F936,Customers!A935:$A$1001,Customers!G935:$G$1001,"Not Found",0)</f>
        <v>United States</v>
      </c>
      <c r="L936" t="str">
        <f>INDEX(Products!$A$1:$G$49,MATCH(Orders!$G936,Products!$A$1:$A$49,0),MATCH(Orders!L$1,Products!$A$1:$G$1,0))</f>
        <v>Rob</v>
      </c>
      <c r="M936" t="str">
        <f>INDEX(Products!$A$1:$G$49,MATCH(Orders!$G936,Products!$A$1:$A$49,0),MATCH(Orders!M$1,Products!$A$1:$G$1,0))</f>
        <v>M</v>
      </c>
      <c r="N936" s="4">
        <f>INDEX(Products!$A$1:$G$49,MATCH(Orders!$G936,Products!$A$1:$A$49,0),MATCH(Orders!N$1,Products!$A$1:$G$1,0))</f>
        <v>2.5</v>
      </c>
      <c r="O936" s="7">
        <f>INDEX(Products!$A$1:$G$49,MATCH(Orders!$G936,Products!$A$1:$A$49,0),MATCH(Orders!O$1,Products!$A$1:$G$1,0))</f>
        <v>22.884999999999998</v>
      </c>
      <c r="P936" s="7">
        <f t="shared" si="14"/>
        <v>114.42499999999998</v>
      </c>
      <c r="Q936" t="str" cm="1">
        <f t="array" ref="Q936">_xlfn.IFS(L936="Rob","Robusta",L936="Exc", "Excelsa",L936="Ara", "Arabica",L936="Lib", "Liberica")</f>
        <v>Robusta</v>
      </c>
      <c r="R936" t="str" cm="1">
        <f t="array" ref="R936">_xlfn.IFS(M936="M","Medium",M936="L","Light",M936="D","Dark")</f>
        <v>Medium</v>
      </c>
    </row>
    <row r="937" spans="1:18">
      <c r="A937" s="2" t="s">
        <v>1851</v>
      </c>
      <c r="B937" s="3">
        <v>44153</v>
      </c>
      <c r="C937" s="9">
        <f>YEAR(Orders_Table[[#This Row],[Order Date]])</f>
        <v>2020</v>
      </c>
      <c r="D937" s="9">
        <f>MONTH(Orders_Table[[#This Row],[Order Date]])</f>
        <v>11</v>
      </c>
      <c r="E937" s="9" t="str" cm="1">
        <f t="array" ref="E93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37" s="2" t="s">
        <v>1852</v>
      </c>
      <c r="G937" t="s">
        <v>218</v>
      </c>
      <c r="H937" s="2">
        <v>6</v>
      </c>
      <c r="I937" s="2" t="str" cm="1">
        <f t="array" ref="I937">_xlfn.XLOOKUP(F937,Customers!A936:$A$1001,Customers!B936:$B$1001,"Not Found",0)</f>
        <v>Michale Delves</v>
      </c>
      <c r="J937" s="2" t="str" cm="1">
        <f t="array" ref="J937">IF(_xlfn.XLOOKUP(F937,Customers!A936:$A$1001,Customers!C936:$C$1001,"Not Found",0)=0,"",_xlfn.XLOOKUP(F937,Customers!A936:$A$1001,Customers!C936:$C$1001,"Not Found",0))</f>
        <v>mdelvespz@nature.com</v>
      </c>
      <c r="K937" s="2" t="str" cm="1">
        <f t="array" ref="K937">_xlfn.XLOOKUP(F937,Customers!A936:$A$1001,Customers!G936:$G$1001,"Not Found",0)</f>
        <v>United States</v>
      </c>
      <c r="L937" t="str">
        <f>INDEX(Products!$A$1:$G$49,MATCH(Orders!$G937,Products!$A$1:$A$49,0),MATCH(Orders!L$1,Products!$A$1:$G$1,0))</f>
        <v>Ara</v>
      </c>
      <c r="M937" t="str">
        <f>INDEX(Products!$A$1:$G$49,MATCH(Orders!$G937,Products!$A$1:$A$49,0),MATCH(Orders!M$1,Products!$A$1:$G$1,0))</f>
        <v>M</v>
      </c>
      <c r="N937" s="4">
        <f>INDEX(Products!$A$1:$G$49,MATCH(Orders!$G937,Products!$A$1:$A$49,0),MATCH(Orders!N$1,Products!$A$1:$G$1,0))</f>
        <v>2.5</v>
      </c>
      <c r="O937" s="7">
        <f>INDEX(Products!$A$1:$G$49,MATCH(Orders!$G937,Products!$A$1:$A$49,0),MATCH(Orders!O$1,Products!$A$1:$G$1,0))</f>
        <v>25.874999999999996</v>
      </c>
      <c r="P937" s="7">
        <f t="shared" si="14"/>
        <v>155.24999999999997</v>
      </c>
      <c r="Q937" t="str" cm="1">
        <f t="array" ref="Q937">_xlfn.IFS(L937="Rob","Robusta",L937="Exc", "Excelsa",L937="Ara", "Arabica",L937="Lib", "Liberica")</f>
        <v>Arabica</v>
      </c>
      <c r="R937" t="str" cm="1">
        <f t="array" ref="R937">_xlfn.IFS(M937="M","Medium",M937="L","Light",M937="D","Dark")</f>
        <v>Medium</v>
      </c>
    </row>
    <row r="938" spans="1:18">
      <c r="A938" s="2" t="s">
        <v>1853</v>
      </c>
      <c r="B938" s="3">
        <v>44493</v>
      </c>
      <c r="C938" s="9">
        <f>YEAR(Orders_Table[[#This Row],[Order Date]])</f>
        <v>2021</v>
      </c>
      <c r="D938" s="9">
        <f>MONTH(Orders_Table[[#This Row],[Order Date]])</f>
        <v>10</v>
      </c>
      <c r="E938" s="9" t="str" cm="1">
        <f t="array" ref="E93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938" s="2" t="s">
        <v>1854</v>
      </c>
      <c r="G938" t="s">
        <v>170</v>
      </c>
      <c r="H938" s="2">
        <v>3</v>
      </c>
      <c r="I938" s="2" t="str" cm="1">
        <f t="array" ref="I938">_xlfn.XLOOKUP(F938,Customers!A937:$A$1001,Customers!B937:$B$1001,"Not Found",0)</f>
        <v>Devland Gritton</v>
      </c>
      <c r="J938" s="2" t="str" cm="1">
        <f t="array" ref="J938">IF(_xlfn.XLOOKUP(F938,Customers!A937:$A$1001,Customers!C937:$C$1001,"Not Found",0)=0,"",_xlfn.XLOOKUP(F938,Customers!A937:$A$1001,Customers!C937:$C$1001,"Not Found",0))</f>
        <v>dgrittonq0@nydailynews.com</v>
      </c>
      <c r="K938" s="2" t="str" cm="1">
        <f t="array" ref="K938">_xlfn.XLOOKUP(F938,Customers!A937:$A$1001,Customers!G937:$G$1001,"Not Found",0)</f>
        <v>United States</v>
      </c>
      <c r="L938" t="str">
        <f>INDEX(Products!$A$1:$G$49,MATCH(Orders!$G938,Products!$A$1:$A$49,0),MATCH(Orders!L$1,Products!$A$1:$G$1,0))</f>
        <v>Lib</v>
      </c>
      <c r="M938" t="str">
        <f>INDEX(Products!$A$1:$G$49,MATCH(Orders!$G938,Products!$A$1:$A$49,0),MATCH(Orders!M$1,Products!$A$1:$G$1,0))</f>
        <v>D</v>
      </c>
      <c r="N938" s="4">
        <f>INDEX(Products!$A$1:$G$49,MATCH(Orders!$G938,Products!$A$1:$A$49,0),MATCH(Orders!N$1,Products!$A$1:$G$1,0))</f>
        <v>0.5</v>
      </c>
      <c r="O938" s="7">
        <f>INDEX(Products!$A$1:$G$49,MATCH(Orders!$G938,Products!$A$1:$A$49,0),MATCH(Orders!O$1,Products!$A$1:$G$1,0))</f>
        <v>7.77</v>
      </c>
      <c r="P938" s="7">
        <f t="shared" si="14"/>
        <v>23.31</v>
      </c>
      <c r="Q938" t="str" cm="1">
        <f t="array" ref="Q938">_xlfn.IFS(L938="Rob","Robusta",L938="Exc", "Excelsa",L938="Ara", "Arabica",L938="Lib", "Liberica")</f>
        <v>Liberica</v>
      </c>
      <c r="R938" t="str" cm="1">
        <f t="array" ref="R938">_xlfn.IFS(M938="M","Medium",M938="L","Light",M938="D","Dark")</f>
        <v>Dark</v>
      </c>
    </row>
    <row r="939" spans="1:18">
      <c r="A939" s="2" t="s">
        <v>1853</v>
      </c>
      <c r="B939" s="3">
        <v>44493</v>
      </c>
      <c r="C939" s="9">
        <f>YEAR(Orders_Table[[#This Row],[Order Date]])</f>
        <v>2021</v>
      </c>
      <c r="D939" s="9">
        <f>MONTH(Orders_Table[[#This Row],[Order Date]])</f>
        <v>10</v>
      </c>
      <c r="E939" s="9" t="str" cm="1">
        <f t="array" ref="E93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939" s="2" t="s">
        <v>1854</v>
      </c>
      <c r="G939" t="s">
        <v>88</v>
      </c>
      <c r="H939" s="2">
        <v>4</v>
      </c>
      <c r="I939" s="2" t="str" cm="1">
        <f t="array" ref="I939">_xlfn.XLOOKUP(F939,Customers!A938:$A$1001,Customers!B938:$B$1001,"Not Found",0)</f>
        <v>Devland Gritton</v>
      </c>
      <c r="J939" s="2" t="str" cm="1">
        <f t="array" ref="J939">IF(_xlfn.XLOOKUP(F939,Customers!A938:$A$1001,Customers!C938:$C$1001,"Not Found",0)=0,"",_xlfn.XLOOKUP(F939,Customers!A938:$A$1001,Customers!C938:$C$1001,"Not Found",0))</f>
        <v>dgrittonq0@nydailynews.com</v>
      </c>
      <c r="K939" s="2" t="str" cm="1">
        <f t="array" ref="K939">_xlfn.XLOOKUP(F939,Customers!A938:$A$1001,Customers!G938:$G$1001,"Not Found",0)</f>
        <v>United States</v>
      </c>
      <c r="L939" t="str">
        <f>INDEX(Products!$A$1:$G$49,MATCH(Orders!$G939,Products!$A$1:$A$49,0),MATCH(Orders!L$1,Products!$A$1:$G$1,0))</f>
        <v>Rob</v>
      </c>
      <c r="M939" t="str">
        <f>INDEX(Products!$A$1:$G$49,MATCH(Orders!$G939,Products!$A$1:$A$49,0),MATCH(Orders!M$1,Products!$A$1:$G$1,0))</f>
        <v>M</v>
      </c>
      <c r="N939" s="4">
        <f>INDEX(Products!$A$1:$G$49,MATCH(Orders!$G939,Products!$A$1:$A$49,0),MATCH(Orders!N$1,Products!$A$1:$G$1,0))</f>
        <v>2.5</v>
      </c>
      <c r="O939" s="7">
        <f>INDEX(Products!$A$1:$G$49,MATCH(Orders!$G939,Products!$A$1:$A$49,0),MATCH(Orders!O$1,Products!$A$1:$G$1,0))</f>
        <v>22.884999999999998</v>
      </c>
      <c r="P939" s="7">
        <f t="shared" si="14"/>
        <v>91.539999999999992</v>
      </c>
      <c r="Q939" t="str" cm="1">
        <f t="array" ref="Q939">_xlfn.IFS(L939="Rob","Robusta",L939="Exc", "Excelsa",L939="Ara", "Arabica",L939="Lib", "Liberica")</f>
        <v>Robusta</v>
      </c>
      <c r="R939" t="str" cm="1">
        <f t="array" ref="R939">_xlfn.IFS(M939="M","Medium",M939="L","Light",M939="D","Dark")</f>
        <v>Medium</v>
      </c>
    </row>
    <row r="940" spans="1:18">
      <c r="A940" s="2" t="s">
        <v>1855</v>
      </c>
      <c r="B940" s="3">
        <v>43829</v>
      </c>
      <c r="C940" s="9">
        <f>YEAR(Orders_Table[[#This Row],[Order Date]])</f>
        <v>2019</v>
      </c>
      <c r="D940" s="9">
        <f>MONTH(Orders_Table[[#This Row],[Order Date]])</f>
        <v>12</v>
      </c>
      <c r="E940" s="9" t="str" cm="1">
        <f t="array" ref="E94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40" s="2" t="s">
        <v>1856</v>
      </c>
      <c r="G940" t="s">
        <v>184</v>
      </c>
      <c r="H940" s="2">
        <v>5</v>
      </c>
      <c r="I940" s="2" t="str" cm="1">
        <f t="array" ref="I940">_xlfn.XLOOKUP(F940,Customers!A939:$A$1001,Customers!B939:$B$1001,"Not Found",0)</f>
        <v>Dell Gut</v>
      </c>
      <c r="J940" s="2" t="str" cm="1">
        <f t="array" ref="J940">IF(_xlfn.XLOOKUP(F940,Customers!A939:$A$1001,Customers!C939:$C$1001,"Not Found",0)=0,"",_xlfn.XLOOKUP(F940,Customers!A939:$A$1001,Customers!C939:$C$1001,"Not Found",0))</f>
        <v>dgutq2@umich.edu</v>
      </c>
      <c r="K940" s="2" t="str" cm="1">
        <f t="array" ref="K940">_xlfn.XLOOKUP(F940,Customers!A939:$A$1001,Customers!G939:$G$1001,"Not Found",0)</f>
        <v>United States</v>
      </c>
      <c r="L940" t="str">
        <f>INDEX(Products!$A$1:$G$49,MATCH(Orders!$G940,Products!$A$1:$A$49,0),MATCH(Orders!L$1,Products!$A$1:$G$1,0))</f>
        <v>Exc</v>
      </c>
      <c r="M940" t="str">
        <f>INDEX(Products!$A$1:$G$49,MATCH(Orders!$G940,Products!$A$1:$A$49,0),MATCH(Orders!M$1,Products!$A$1:$G$1,0))</f>
        <v>L</v>
      </c>
      <c r="N940" s="4">
        <f>INDEX(Products!$A$1:$G$49,MATCH(Orders!$G940,Products!$A$1:$A$49,0),MATCH(Orders!N$1,Products!$A$1:$G$1,0))</f>
        <v>1</v>
      </c>
      <c r="O940" s="7">
        <f>INDEX(Products!$A$1:$G$49,MATCH(Orders!$G940,Products!$A$1:$A$49,0),MATCH(Orders!O$1,Products!$A$1:$G$1,0))</f>
        <v>14.85</v>
      </c>
      <c r="P940" s="7">
        <f t="shared" si="14"/>
        <v>74.25</v>
      </c>
      <c r="Q940" t="str" cm="1">
        <f t="array" ref="Q940">_xlfn.IFS(L940="Rob","Robusta",L940="Exc", "Excelsa",L940="Ara", "Arabica",L940="Lib", "Liberica")</f>
        <v>Excelsa</v>
      </c>
      <c r="R940" t="str" cm="1">
        <f t="array" ref="R940">_xlfn.IFS(M940="M","Medium",M940="L","Light",M940="D","Dark")</f>
        <v>Light</v>
      </c>
    </row>
    <row r="941" spans="1:18">
      <c r="A941" s="2" t="s">
        <v>1857</v>
      </c>
      <c r="B941" s="3">
        <v>44229</v>
      </c>
      <c r="C941" s="9">
        <f>YEAR(Orders_Table[[#This Row],[Order Date]])</f>
        <v>2021</v>
      </c>
      <c r="D941" s="9">
        <f>MONTH(Orders_Table[[#This Row],[Order Date]])</f>
        <v>2</v>
      </c>
      <c r="E941" s="9" t="str" cm="1">
        <f t="array" ref="E94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41" s="2" t="s">
        <v>1858</v>
      </c>
      <c r="G941" t="s">
        <v>66</v>
      </c>
      <c r="H941" s="2">
        <v>6</v>
      </c>
      <c r="I941" s="2" t="str" cm="1">
        <f t="array" ref="I941">_xlfn.XLOOKUP(F941,Customers!A940:$A$1001,Customers!B940:$B$1001,"Not Found",0)</f>
        <v>Willy Pummery</v>
      </c>
      <c r="J941" s="2" t="str" cm="1">
        <f t="array" ref="J941">IF(_xlfn.XLOOKUP(F941,Customers!A940:$A$1001,Customers!C940:$C$1001,"Not Found",0)=0,"",_xlfn.XLOOKUP(F941,Customers!A940:$A$1001,Customers!C940:$C$1001,"Not Found",0))</f>
        <v>wpummeryq3@topsy.com</v>
      </c>
      <c r="K941" s="2" t="str" cm="1">
        <f t="array" ref="K941">_xlfn.XLOOKUP(F941,Customers!A940:$A$1001,Customers!G940:$G$1001,"Not Found",0)</f>
        <v>United States</v>
      </c>
      <c r="L941" t="str">
        <f>INDEX(Products!$A$1:$G$49,MATCH(Orders!$G941,Products!$A$1:$A$49,0),MATCH(Orders!L$1,Products!$A$1:$G$1,0))</f>
        <v>Lib</v>
      </c>
      <c r="M941" t="str">
        <f>INDEX(Products!$A$1:$G$49,MATCH(Orders!$G941,Products!$A$1:$A$49,0),MATCH(Orders!M$1,Products!$A$1:$G$1,0))</f>
        <v>L</v>
      </c>
      <c r="N941" s="4">
        <f>INDEX(Products!$A$1:$G$49,MATCH(Orders!$G941,Products!$A$1:$A$49,0),MATCH(Orders!N$1,Products!$A$1:$G$1,0))</f>
        <v>0.2</v>
      </c>
      <c r="O941" s="7">
        <f>INDEX(Products!$A$1:$G$49,MATCH(Orders!$G941,Products!$A$1:$A$49,0),MATCH(Orders!O$1,Products!$A$1:$G$1,0))</f>
        <v>4.7549999999999999</v>
      </c>
      <c r="P941" s="7">
        <f t="shared" si="14"/>
        <v>28.53</v>
      </c>
      <c r="Q941" t="str" cm="1">
        <f t="array" ref="Q941">_xlfn.IFS(L941="Rob","Robusta",L941="Exc", "Excelsa",L941="Ara", "Arabica",L941="Lib", "Liberica")</f>
        <v>Liberica</v>
      </c>
      <c r="R941" t="str" cm="1">
        <f t="array" ref="R941">_xlfn.IFS(M941="M","Medium",M941="L","Light",M941="D","Dark")</f>
        <v>Light</v>
      </c>
    </row>
    <row r="942" spans="1:18">
      <c r="A942" s="2" t="s">
        <v>1859</v>
      </c>
      <c r="B942" s="3">
        <v>44332</v>
      </c>
      <c r="C942" s="9">
        <f>YEAR(Orders_Table[[#This Row],[Order Date]])</f>
        <v>2021</v>
      </c>
      <c r="D942" s="9">
        <f>MONTH(Orders_Table[[#This Row],[Order Date]])</f>
        <v>5</v>
      </c>
      <c r="E942" s="9" t="str" cm="1">
        <f t="array" ref="E94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42" s="2" t="s">
        <v>1860</v>
      </c>
      <c r="G942" t="s">
        <v>204</v>
      </c>
      <c r="H942" s="2">
        <v>2</v>
      </c>
      <c r="I942" s="2" t="str" cm="1">
        <f t="array" ref="I942">_xlfn.XLOOKUP(F942,Customers!A941:$A$1001,Customers!B941:$B$1001,"Not Found",0)</f>
        <v>Geoffrey Siuda</v>
      </c>
      <c r="J942" s="2" t="str" cm="1">
        <f t="array" ref="J942">IF(_xlfn.XLOOKUP(F942,Customers!A941:$A$1001,Customers!C941:$C$1001,"Not Found",0)=0,"",_xlfn.XLOOKUP(F942,Customers!A941:$A$1001,Customers!C941:$C$1001,"Not Found",0))</f>
        <v>gsiudaq4@nytimes.com</v>
      </c>
      <c r="K942" s="2" t="str" cm="1">
        <f t="array" ref="K942">_xlfn.XLOOKUP(F942,Customers!A941:$A$1001,Customers!G941:$G$1001,"Not Found",0)</f>
        <v>United States</v>
      </c>
      <c r="L942" t="str">
        <f>INDEX(Products!$A$1:$G$49,MATCH(Orders!$G942,Products!$A$1:$A$49,0),MATCH(Orders!L$1,Products!$A$1:$G$1,0))</f>
        <v>Rob</v>
      </c>
      <c r="M942" t="str">
        <f>INDEX(Products!$A$1:$G$49,MATCH(Orders!$G942,Products!$A$1:$A$49,0),MATCH(Orders!M$1,Products!$A$1:$G$1,0))</f>
        <v>L</v>
      </c>
      <c r="N942" s="4">
        <f>INDEX(Products!$A$1:$G$49,MATCH(Orders!$G942,Products!$A$1:$A$49,0),MATCH(Orders!N$1,Products!$A$1:$G$1,0))</f>
        <v>0.5</v>
      </c>
      <c r="O942" s="7">
        <f>INDEX(Products!$A$1:$G$49,MATCH(Orders!$G942,Products!$A$1:$A$49,0),MATCH(Orders!O$1,Products!$A$1:$G$1,0))</f>
        <v>7.169999999999999</v>
      </c>
      <c r="P942" s="7">
        <f t="shared" si="14"/>
        <v>14.339999999999998</v>
      </c>
      <c r="Q942" t="str" cm="1">
        <f t="array" ref="Q942">_xlfn.IFS(L942="Rob","Robusta",L942="Exc", "Excelsa",L942="Ara", "Arabica",L942="Lib", "Liberica")</f>
        <v>Robusta</v>
      </c>
      <c r="R942" t="str" cm="1">
        <f t="array" ref="R942">_xlfn.IFS(M942="M","Medium",M942="L","Light",M942="D","Dark")</f>
        <v>Light</v>
      </c>
    </row>
    <row r="943" spans="1:18">
      <c r="A943" s="2" t="s">
        <v>1861</v>
      </c>
      <c r="B943" s="3">
        <v>44674</v>
      </c>
      <c r="C943" s="9">
        <f>YEAR(Orders_Table[[#This Row],[Order Date]])</f>
        <v>2022</v>
      </c>
      <c r="D943" s="9">
        <f>MONTH(Orders_Table[[#This Row],[Order Date]])</f>
        <v>4</v>
      </c>
      <c r="E943" s="9" t="str" cm="1">
        <f t="array" ref="E94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43" s="2" t="s">
        <v>1862</v>
      </c>
      <c r="G943" t="s">
        <v>239</v>
      </c>
      <c r="H943" s="2">
        <v>2</v>
      </c>
      <c r="I943" s="2" t="str" cm="1">
        <f t="array" ref="I943">_xlfn.XLOOKUP(F943,Customers!A942:$A$1001,Customers!B942:$B$1001,"Not Found",0)</f>
        <v>Henderson Crowne</v>
      </c>
      <c r="J943" s="2" t="str" cm="1">
        <f t="array" ref="J943">IF(_xlfn.XLOOKUP(F943,Customers!A942:$A$1001,Customers!C942:$C$1001,"Not Found",0)=0,"",_xlfn.XLOOKUP(F943,Customers!A942:$A$1001,Customers!C942:$C$1001,"Not Found",0))</f>
        <v>hcrowneq5@wufoo.com</v>
      </c>
      <c r="K943" s="2" t="str" cm="1">
        <f t="array" ref="K943">_xlfn.XLOOKUP(F943,Customers!A942:$A$1001,Customers!G942:$G$1001,"Not Found",0)</f>
        <v>Ireland</v>
      </c>
      <c r="L943" t="str">
        <f>INDEX(Products!$A$1:$G$49,MATCH(Orders!$G943,Products!$A$1:$A$49,0),MATCH(Orders!L$1,Products!$A$1:$G$1,0))</f>
        <v>Ara</v>
      </c>
      <c r="M943" t="str">
        <f>INDEX(Products!$A$1:$G$49,MATCH(Orders!$G943,Products!$A$1:$A$49,0),MATCH(Orders!M$1,Products!$A$1:$G$1,0))</f>
        <v>L</v>
      </c>
      <c r="N943" s="4">
        <f>INDEX(Products!$A$1:$G$49,MATCH(Orders!$G943,Products!$A$1:$A$49,0),MATCH(Orders!N$1,Products!$A$1:$G$1,0))</f>
        <v>0.5</v>
      </c>
      <c r="O943" s="7">
        <f>INDEX(Products!$A$1:$G$49,MATCH(Orders!$G943,Products!$A$1:$A$49,0),MATCH(Orders!O$1,Products!$A$1:$G$1,0))</f>
        <v>7.77</v>
      </c>
      <c r="P943" s="7">
        <f t="shared" si="14"/>
        <v>15.54</v>
      </c>
      <c r="Q943" t="str" cm="1">
        <f t="array" ref="Q943">_xlfn.IFS(L943="Rob","Robusta",L943="Exc", "Excelsa",L943="Ara", "Arabica",L943="Lib", "Liberica")</f>
        <v>Arabica</v>
      </c>
      <c r="R943" t="str" cm="1">
        <f t="array" ref="R943">_xlfn.IFS(M943="M","Medium",M943="L","Light",M943="D","Dark")</f>
        <v>Light</v>
      </c>
    </row>
    <row r="944" spans="1:18">
      <c r="A944" s="2" t="s">
        <v>1863</v>
      </c>
      <c r="B944" s="3">
        <v>44464</v>
      </c>
      <c r="C944" s="9">
        <f>YEAR(Orders_Table[[#This Row],[Order Date]])</f>
        <v>2021</v>
      </c>
      <c r="D944" s="9">
        <f>MONTH(Orders_Table[[#This Row],[Order Date]])</f>
        <v>9</v>
      </c>
      <c r="E944" s="9" t="str" cm="1">
        <f t="array" ref="E94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44" s="2" t="s">
        <v>1864</v>
      </c>
      <c r="G944" t="s">
        <v>236</v>
      </c>
      <c r="H944" s="2">
        <v>3</v>
      </c>
      <c r="I944" s="2" t="str" cm="1">
        <f t="array" ref="I944">_xlfn.XLOOKUP(F944,Customers!A943:$A$1001,Customers!B943:$B$1001,"Not Found",0)</f>
        <v>Vernor Pawsey</v>
      </c>
      <c r="J944" s="2" t="str" cm="1">
        <f t="array" ref="J944">IF(_xlfn.XLOOKUP(F944,Customers!A943:$A$1001,Customers!C943:$C$1001,"Not Found",0)=0,"",_xlfn.XLOOKUP(F944,Customers!A943:$A$1001,Customers!C943:$C$1001,"Not Found",0))</f>
        <v>vpawseyq6@tiny.cc</v>
      </c>
      <c r="K944" s="2" t="str" cm="1">
        <f t="array" ref="K944">_xlfn.XLOOKUP(F944,Customers!A943:$A$1001,Customers!G943:$G$1001,"Not Found",0)</f>
        <v>United States</v>
      </c>
      <c r="L944" t="str">
        <f>INDEX(Products!$A$1:$G$49,MATCH(Orders!$G944,Products!$A$1:$A$49,0),MATCH(Orders!L$1,Products!$A$1:$G$1,0))</f>
        <v>Rob</v>
      </c>
      <c r="M944" t="str">
        <f>INDEX(Products!$A$1:$G$49,MATCH(Orders!$G944,Products!$A$1:$A$49,0),MATCH(Orders!M$1,Products!$A$1:$G$1,0))</f>
        <v>L</v>
      </c>
      <c r="N944" s="4">
        <f>INDEX(Products!$A$1:$G$49,MATCH(Orders!$G944,Products!$A$1:$A$49,0),MATCH(Orders!N$1,Products!$A$1:$G$1,0))</f>
        <v>1</v>
      </c>
      <c r="O944" s="7">
        <f>INDEX(Products!$A$1:$G$49,MATCH(Orders!$G944,Products!$A$1:$A$49,0),MATCH(Orders!O$1,Products!$A$1:$G$1,0))</f>
        <v>11.95</v>
      </c>
      <c r="P944" s="7">
        <f t="shared" si="14"/>
        <v>35.849999999999994</v>
      </c>
      <c r="Q944" t="str" cm="1">
        <f t="array" ref="Q944">_xlfn.IFS(L944="Rob","Robusta",L944="Exc", "Excelsa",L944="Ara", "Arabica",L944="Lib", "Liberica")</f>
        <v>Robusta</v>
      </c>
      <c r="R944" t="str" cm="1">
        <f t="array" ref="R944">_xlfn.IFS(M944="M","Medium",M944="L","Light",M944="D","Dark")</f>
        <v>Light</v>
      </c>
    </row>
    <row r="945" spans="1:18">
      <c r="A945" s="2" t="s">
        <v>1865</v>
      </c>
      <c r="B945" s="3">
        <v>44719</v>
      </c>
      <c r="C945" s="9">
        <f>YEAR(Orders_Table[[#This Row],[Order Date]])</f>
        <v>2022</v>
      </c>
      <c r="D945" s="9">
        <f>MONTH(Orders_Table[[#This Row],[Order Date]])</f>
        <v>6</v>
      </c>
      <c r="E945" s="9" t="str" cm="1">
        <f t="array" ref="E94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45" s="2" t="s">
        <v>1866</v>
      </c>
      <c r="G945" t="s">
        <v>239</v>
      </c>
      <c r="H945" s="2">
        <v>6</v>
      </c>
      <c r="I945" s="2" t="str" cm="1">
        <f t="array" ref="I945">_xlfn.XLOOKUP(F945,Customers!A944:$A$1001,Customers!B944:$B$1001,"Not Found",0)</f>
        <v>Augustin Waterhouse</v>
      </c>
      <c r="J945" s="2" t="str" cm="1">
        <f t="array" ref="J945">IF(_xlfn.XLOOKUP(F945,Customers!A944:$A$1001,Customers!C944:$C$1001,"Not Found",0)=0,"",_xlfn.XLOOKUP(F945,Customers!A944:$A$1001,Customers!C944:$C$1001,"Not Found",0))</f>
        <v>awaterhouseq7@istockphoto.com</v>
      </c>
      <c r="K945" s="2" t="str" cm="1">
        <f t="array" ref="K945">_xlfn.XLOOKUP(F945,Customers!A944:$A$1001,Customers!G944:$G$1001,"Not Found",0)</f>
        <v>United States</v>
      </c>
      <c r="L945" t="str">
        <f>INDEX(Products!$A$1:$G$49,MATCH(Orders!$G945,Products!$A$1:$A$49,0),MATCH(Orders!L$1,Products!$A$1:$G$1,0))</f>
        <v>Ara</v>
      </c>
      <c r="M945" t="str">
        <f>INDEX(Products!$A$1:$G$49,MATCH(Orders!$G945,Products!$A$1:$A$49,0),MATCH(Orders!M$1,Products!$A$1:$G$1,0))</f>
        <v>L</v>
      </c>
      <c r="N945" s="4">
        <f>INDEX(Products!$A$1:$G$49,MATCH(Orders!$G945,Products!$A$1:$A$49,0),MATCH(Orders!N$1,Products!$A$1:$G$1,0))</f>
        <v>0.5</v>
      </c>
      <c r="O945" s="7">
        <f>INDEX(Products!$A$1:$G$49,MATCH(Orders!$G945,Products!$A$1:$A$49,0),MATCH(Orders!O$1,Products!$A$1:$G$1,0))</f>
        <v>7.77</v>
      </c>
      <c r="P945" s="7">
        <f t="shared" si="14"/>
        <v>46.62</v>
      </c>
      <c r="Q945" t="str" cm="1">
        <f t="array" ref="Q945">_xlfn.IFS(L945="Rob","Robusta",L945="Exc", "Excelsa",L945="Ara", "Arabica",L945="Lib", "Liberica")</f>
        <v>Arabica</v>
      </c>
      <c r="R945" t="str" cm="1">
        <f t="array" ref="R945">_xlfn.IFS(M945="M","Medium",M945="L","Light",M945="D","Dark")</f>
        <v>Light</v>
      </c>
    </row>
    <row r="946" spans="1:18">
      <c r="A946" s="2" t="s">
        <v>1867</v>
      </c>
      <c r="B946" s="3">
        <v>44054</v>
      </c>
      <c r="C946" s="9">
        <f>YEAR(Orders_Table[[#This Row],[Order Date]])</f>
        <v>2020</v>
      </c>
      <c r="D946" s="9">
        <f>MONTH(Orders_Table[[#This Row],[Order Date]])</f>
        <v>8</v>
      </c>
      <c r="E946" s="9" t="str" cm="1">
        <f t="array" ref="E94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946" s="2" t="s">
        <v>1868</v>
      </c>
      <c r="G946" t="s">
        <v>204</v>
      </c>
      <c r="H946" s="2">
        <v>5</v>
      </c>
      <c r="I946" s="2" t="str" cm="1">
        <f t="array" ref="I946">_xlfn.XLOOKUP(F946,Customers!A945:$A$1001,Customers!B945:$B$1001,"Not Found",0)</f>
        <v>Fanchon Haughian</v>
      </c>
      <c r="J946" s="2" t="str" cm="1">
        <f t="array" ref="J946">IF(_xlfn.XLOOKUP(F946,Customers!A945:$A$1001,Customers!C945:$C$1001,"Not Found",0)=0,"",_xlfn.XLOOKUP(F946,Customers!A945:$A$1001,Customers!C945:$C$1001,"Not Found",0))</f>
        <v>fhaughianq8@1688.com</v>
      </c>
      <c r="K946" s="2" t="str" cm="1">
        <f t="array" ref="K946">_xlfn.XLOOKUP(F946,Customers!A945:$A$1001,Customers!G945:$G$1001,"Not Found",0)</f>
        <v>United States</v>
      </c>
      <c r="L946" t="str">
        <f>INDEX(Products!$A$1:$G$49,MATCH(Orders!$G946,Products!$A$1:$A$49,0),MATCH(Orders!L$1,Products!$A$1:$G$1,0))</f>
        <v>Rob</v>
      </c>
      <c r="M946" t="str">
        <f>INDEX(Products!$A$1:$G$49,MATCH(Orders!$G946,Products!$A$1:$A$49,0),MATCH(Orders!M$1,Products!$A$1:$G$1,0))</f>
        <v>L</v>
      </c>
      <c r="N946" s="4">
        <f>INDEX(Products!$A$1:$G$49,MATCH(Orders!$G946,Products!$A$1:$A$49,0),MATCH(Orders!N$1,Products!$A$1:$G$1,0))</f>
        <v>0.5</v>
      </c>
      <c r="O946" s="7">
        <f>INDEX(Products!$A$1:$G$49,MATCH(Orders!$G946,Products!$A$1:$A$49,0),MATCH(Orders!O$1,Products!$A$1:$G$1,0))</f>
        <v>7.169999999999999</v>
      </c>
      <c r="P946" s="7">
        <f t="shared" si="14"/>
        <v>35.849999999999994</v>
      </c>
      <c r="Q946" t="str" cm="1">
        <f t="array" ref="Q946">_xlfn.IFS(L946="Rob","Robusta",L946="Exc", "Excelsa",L946="Ara", "Arabica",L946="Lib", "Liberica")</f>
        <v>Robusta</v>
      </c>
      <c r="R946" t="str" cm="1">
        <f t="array" ref="R946">_xlfn.IFS(M946="M","Medium",M946="L","Light",M946="D","Dark")</f>
        <v>Light</v>
      </c>
    </row>
    <row r="947" spans="1:18">
      <c r="A947" s="2" t="s">
        <v>1869</v>
      </c>
      <c r="B947" s="3">
        <v>43524</v>
      </c>
      <c r="C947" s="9">
        <f>YEAR(Orders_Table[[#This Row],[Order Date]])</f>
        <v>2019</v>
      </c>
      <c r="D947" s="9">
        <f>MONTH(Orders_Table[[#This Row],[Order Date]])</f>
        <v>2</v>
      </c>
      <c r="E947" s="9" t="str" cm="1">
        <f t="array" ref="E94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47" s="2" t="s">
        <v>1870</v>
      </c>
      <c r="G947" t="s">
        <v>156</v>
      </c>
      <c r="H947" s="2">
        <v>4</v>
      </c>
      <c r="I947" s="2" t="str" cm="1">
        <f t="array" ref="I947">_xlfn.XLOOKUP(F947,Customers!A946:$A$1001,Customers!B946:$B$1001,"Not Found",0)</f>
        <v>Jaimie Hatz</v>
      </c>
      <c r="J947" s="2" t="str" cm="1">
        <f t="array" ref="J947">IF(_xlfn.XLOOKUP(F947,Customers!A946:$A$1001,Customers!C946:$C$1001,"Not Found",0)=0,"",_xlfn.XLOOKUP(F947,Customers!A946:$A$1001,Customers!C946:$C$1001,"Not Found",0))</f>
        <v/>
      </c>
      <c r="K947" s="2" t="str" cm="1">
        <f t="array" ref="K947">_xlfn.XLOOKUP(F947,Customers!A946:$A$1001,Customers!G946:$G$1001,"Not Found",0)</f>
        <v>United States</v>
      </c>
      <c r="L947" t="str">
        <f>INDEX(Products!$A$1:$G$49,MATCH(Orders!$G947,Products!$A$1:$A$49,0),MATCH(Orders!L$1,Products!$A$1:$G$1,0))</f>
        <v>Lib</v>
      </c>
      <c r="M947" t="str">
        <f>INDEX(Products!$A$1:$G$49,MATCH(Orders!$G947,Products!$A$1:$A$49,0),MATCH(Orders!M$1,Products!$A$1:$G$1,0))</f>
        <v>D</v>
      </c>
      <c r="N947" s="4">
        <f>INDEX(Products!$A$1:$G$49,MATCH(Orders!$G947,Products!$A$1:$A$49,0),MATCH(Orders!N$1,Products!$A$1:$G$1,0))</f>
        <v>2.5</v>
      </c>
      <c r="O947" s="7">
        <f>INDEX(Products!$A$1:$G$49,MATCH(Orders!$G947,Products!$A$1:$A$49,0),MATCH(Orders!O$1,Products!$A$1:$G$1,0))</f>
        <v>29.784999999999997</v>
      </c>
      <c r="P947" s="7">
        <f t="shared" si="14"/>
        <v>119.13999999999999</v>
      </c>
      <c r="Q947" t="str" cm="1">
        <f t="array" ref="Q947">_xlfn.IFS(L947="Rob","Robusta",L947="Exc", "Excelsa",L947="Ara", "Arabica",L947="Lib", "Liberica")</f>
        <v>Liberica</v>
      </c>
      <c r="R947" t="str" cm="1">
        <f t="array" ref="R947">_xlfn.IFS(M947="M","Medium",M947="L","Light",M947="D","Dark")</f>
        <v>Dark</v>
      </c>
    </row>
    <row r="948" spans="1:18">
      <c r="A948" s="2" t="s">
        <v>1871</v>
      </c>
      <c r="B948" s="3">
        <v>43719</v>
      </c>
      <c r="C948" s="9">
        <f>YEAR(Orders_Table[[#This Row],[Order Date]])</f>
        <v>2019</v>
      </c>
      <c r="D948" s="9">
        <f>MONTH(Orders_Table[[#This Row],[Order Date]])</f>
        <v>9</v>
      </c>
      <c r="E948" s="9" t="str" cm="1">
        <f t="array" ref="E94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48" s="2" t="s">
        <v>1872</v>
      </c>
      <c r="G948" t="s">
        <v>170</v>
      </c>
      <c r="H948" s="2">
        <v>3</v>
      </c>
      <c r="I948" s="2" t="str" cm="1">
        <f t="array" ref="I948">_xlfn.XLOOKUP(F948,Customers!A947:$A$1001,Customers!B947:$B$1001,"Not Found",0)</f>
        <v>Edeline Edney</v>
      </c>
      <c r="J948" s="2" t="str" cm="1">
        <f t="array" ref="J948">IF(_xlfn.XLOOKUP(F948,Customers!A947:$A$1001,Customers!C947:$C$1001,"Not Found",0)=0,"",_xlfn.XLOOKUP(F948,Customers!A947:$A$1001,Customers!C947:$C$1001,"Not Found",0))</f>
        <v/>
      </c>
      <c r="K948" s="2" t="str" cm="1">
        <f t="array" ref="K948">_xlfn.XLOOKUP(F948,Customers!A947:$A$1001,Customers!G947:$G$1001,"Not Found",0)</f>
        <v>United States</v>
      </c>
      <c r="L948" t="str">
        <f>INDEX(Products!$A$1:$G$49,MATCH(Orders!$G948,Products!$A$1:$A$49,0),MATCH(Orders!L$1,Products!$A$1:$G$1,0))</f>
        <v>Lib</v>
      </c>
      <c r="M948" t="str">
        <f>INDEX(Products!$A$1:$G$49,MATCH(Orders!$G948,Products!$A$1:$A$49,0),MATCH(Orders!M$1,Products!$A$1:$G$1,0))</f>
        <v>D</v>
      </c>
      <c r="N948" s="4">
        <f>INDEX(Products!$A$1:$G$49,MATCH(Orders!$G948,Products!$A$1:$A$49,0),MATCH(Orders!N$1,Products!$A$1:$G$1,0))</f>
        <v>0.5</v>
      </c>
      <c r="O948" s="7">
        <f>INDEX(Products!$A$1:$G$49,MATCH(Orders!$G948,Products!$A$1:$A$49,0),MATCH(Orders!O$1,Products!$A$1:$G$1,0))</f>
        <v>7.77</v>
      </c>
      <c r="P948" s="7">
        <f t="shared" si="14"/>
        <v>23.31</v>
      </c>
      <c r="Q948" t="str" cm="1">
        <f t="array" ref="Q948">_xlfn.IFS(L948="Rob","Robusta",L948="Exc", "Excelsa",L948="Ara", "Arabica",L948="Lib", "Liberica")</f>
        <v>Liberica</v>
      </c>
      <c r="R948" t="str" cm="1">
        <f t="array" ref="R948">_xlfn.IFS(M948="M","Medium",M948="L","Light",M948="D","Dark")</f>
        <v>Dark</v>
      </c>
    </row>
    <row r="949" spans="1:18">
      <c r="A949" s="2" t="s">
        <v>1873</v>
      </c>
      <c r="B949" s="3">
        <v>44294</v>
      </c>
      <c r="C949" s="9">
        <f>YEAR(Orders_Table[[#This Row],[Order Date]])</f>
        <v>2021</v>
      </c>
      <c r="D949" s="9">
        <f>MONTH(Orders_Table[[#This Row],[Order Date]])</f>
        <v>4</v>
      </c>
      <c r="E949" s="9" t="str" cm="1">
        <f t="array" ref="E94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49" s="2" t="s">
        <v>1874</v>
      </c>
      <c r="G949" t="s">
        <v>108</v>
      </c>
      <c r="H949" s="2">
        <v>1</v>
      </c>
      <c r="I949" s="2" t="str" cm="1">
        <f t="array" ref="I949">_xlfn.XLOOKUP(F949,Customers!A948:$A$1001,Customers!B948:$B$1001,"Not Found",0)</f>
        <v>Rickie Faltin</v>
      </c>
      <c r="J949" s="2" t="str" cm="1">
        <f t="array" ref="J949">IF(_xlfn.XLOOKUP(F949,Customers!A948:$A$1001,Customers!C948:$C$1001,"Not Found",0)=0,"",_xlfn.XLOOKUP(F949,Customers!A948:$A$1001,Customers!C948:$C$1001,"Not Found",0))</f>
        <v>rfaltinqb@topsy.com</v>
      </c>
      <c r="K949" s="2" t="str" cm="1">
        <f t="array" ref="K949">_xlfn.XLOOKUP(F949,Customers!A948:$A$1001,Customers!G948:$G$1001,"Not Found",0)</f>
        <v>Ireland</v>
      </c>
      <c r="L949" t="str">
        <f>INDEX(Products!$A$1:$G$49,MATCH(Orders!$G949,Products!$A$1:$A$49,0),MATCH(Orders!L$1,Products!$A$1:$G$1,0))</f>
        <v>Ara</v>
      </c>
      <c r="M949" t="str">
        <f>INDEX(Products!$A$1:$G$49,MATCH(Orders!$G949,Products!$A$1:$A$49,0),MATCH(Orders!M$1,Products!$A$1:$G$1,0))</f>
        <v>M</v>
      </c>
      <c r="N949" s="4">
        <f>INDEX(Products!$A$1:$G$49,MATCH(Orders!$G949,Products!$A$1:$A$49,0),MATCH(Orders!N$1,Products!$A$1:$G$1,0))</f>
        <v>1</v>
      </c>
      <c r="O949" s="7">
        <f>INDEX(Products!$A$1:$G$49,MATCH(Orders!$G949,Products!$A$1:$A$49,0),MATCH(Orders!O$1,Products!$A$1:$G$1,0))</f>
        <v>11.25</v>
      </c>
      <c r="P949" s="7">
        <f t="shared" si="14"/>
        <v>11.25</v>
      </c>
      <c r="Q949" t="str" cm="1">
        <f t="array" ref="Q949">_xlfn.IFS(L949="Rob","Robusta",L949="Exc", "Excelsa",L949="Ara", "Arabica",L949="Lib", "Liberica")</f>
        <v>Arabica</v>
      </c>
      <c r="R949" t="str" cm="1">
        <f t="array" ref="R949">_xlfn.IFS(M949="M","Medium",M949="L","Light",M949="D","Dark")</f>
        <v>Medium</v>
      </c>
    </row>
    <row r="950" spans="1:18">
      <c r="A950" s="2" t="s">
        <v>1875</v>
      </c>
      <c r="B950" s="3">
        <v>44445</v>
      </c>
      <c r="C950" s="9">
        <f>YEAR(Orders_Table[[#This Row],[Order Date]])</f>
        <v>2021</v>
      </c>
      <c r="D950" s="9">
        <f>MONTH(Orders_Table[[#This Row],[Order Date]])</f>
        <v>9</v>
      </c>
      <c r="E950" s="9" t="str" cm="1">
        <f t="array" ref="E95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50" s="2" t="s">
        <v>1876</v>
      </c>
      <c r="G950" t="s">
        <v>577</v>
      </c>
      <c r="H950" s="2">
        <v>3</v>
      </c>
      <c r="I950" s="2" t="str" cm="1">
        <f t="array" ref="I950">_xlfn.XLOOKUP(F950,Customers!A949:$A$1001,Customers!B949:$B$1001,"Not Found",0)</f>
        <v>Gnni Cheeke</v>
      </c>
      <c r="J950" s="2" t="str" cm="1">
        <f t="array" ref="J950">IF(_xlfn.XLOOKUP(F950,Customers!A949:$A$1001,Customers!C949:$C$1001,"Not Found",0)=0,"",_xlfn.XLOOKUP(F950,Customers!A949:$A$1001,Customers!C949:$C$1001,"Not Found",0))</f>
        <v>gcheekeqc@sitemeter.com</v>
      </c>
      <c r="K950" s="2" t="str" cm="1">
        <f t="array" ref="K950">_xlfn.XLOOKUP(F950,Customers!A949:$A$1001,Customers!G949:$G$1001,"Not Found",0)</f>
        <v>United Kingdom</v>
      </c>
      <c r="L950" t="str">
        <f>INDEX(Products!$A$1:$G$49,MATCH(Orders!$G950,Products!$A$1:$A$49,0),MATCH(Orders!L$1,Products!$A$1:$G$1,0))</f>
        <v>Exc</v>
      </c>
      <c r="M950" t="str">
        <f>INDEX(Products!$A$1:$G$49,MATCH(Orders!$G950,Products!$A$1:$A$49,0),MATCH(Orders!M$1,Products!$A$1:$G$1,0))</f>
        <v>D</v>
      </c>
      <c r="N950" s="4">
        <f>INDEX(Products!$A$1:$G$49,MATCH(Orders!$G950,Products!$A$1:$A$49,0),MATCH(Orders!N$1,Products!$A$1:$G$1,0))</f>
        <v>2.5</v>
      </c>
      <c r="O950" s="7">
        <f>INDEX(Products!$A$1:$G$49,MATCH(Orders!$G950,Products!$A$1:$A$49,0),MATCH(Orders!O$1,Products!$A$1:$G$1,0))</f>
        <v>27.945</v>
      </c>
      <c r="P950" s="7">
        <f t="shared" si="14"/>
        <v>83.835000000000008</v>
      </c>
      <c r="Q950" t="str" cm="1">
        <f t="array" ref="Q950">_xlfn.IFS(L950="Rob","Robusta",L950="Exc", "Excelsa",L950="Ara", "Arabica",L950="Lib", "Liberica")</f>
        <v>Excelsa</v>
      </c>
      <c r="R950" t="str" cm="1">
        <f t="array" ref="R950">_xlfn.IFS(M950="M","Medium",M950="L","Light",M950="D","Dark")</f>
        <v>Dark</v>
      </c>
    </row>
    <row r="951" spans="1:18">
      <c r="A951" s="2" t="s">
        <v>1877</v>
      </c>
      <c r="B951" s="3">
        <v>44449</v>
      </c>
      <c r="C951" s="9">
        <f>YEAR(Orders_Table[[#This Row],[Order Date]])</f>
        <v>2021</v>
      </c>
      <c r="D951" s="9">
        <f>MONTH(Orders_Table[[#This Row],[Order Date]])</f>
        <v>9</v>
      </c>
      <c r="E951" s="9" t="str" cm="1">
        <f t="array" ref="E95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51" s="2" t="s">
        <v>1878</v>
      </c>
      <c r="G951" t="s">
        <v>57</v>
      </c>
      <c r="H951" s="2">
        <v>4</v>
      </c>
      <c r="I951" s="2" t="str" cm="1">
        <f t="array" ref="I951">_xlfn.XLOOKUP(F951,Customers!A950:$A$1001,Customers!B950:$B$1001,"Not Found",0)</f>
        <v>Gwenni Ratt</v>
      </c>
      <c r="J951" s="2" t="str" cm="1">
        <f t="array" ref="J951">IF(_xlfn.XLOOKUP(F951,Customers!A950:$A$1001,Customers!C950:$C$1001,"Not Found",0)=0,"",_xlfn.XLOOKUP(F951,Customers!A950:$A$1001,Customers!C950:$C$1001,"Not Found",0))</f>
        <v>grattqd@phpbb.com</v>
      </c>
      <c r="K951" s="2" t="str" cm="1">
        <f t="array" ref="K951">_xlfn.XLOOKUP(F951,Customers!A950:$A$1001,Customers!G950:$G$1001,"Not Found",0)</f>
        <v>Ireland</v>
      </c>
      <c r="L951" t="str">
        <f>INDEX(Products!$A$1:$G$49,MATCH(Orders!$G951,Products!$A$1:$A$49,0),MATCH(Orders!L$1,Products!$A$1:$G$1,0))</f>
        <v>Rob</v>
      </c>
      <c r="M951" t="str">
        <f>INDEX(Products!$A$1:$G$49,MATCH(Orders!$G951,Products!$A$1:$A$49,0),MATCH(Orders!M$1,Products!$A$1:$G$1,0))</f>
        <v>L</v>
      </c>
      <c r="N951" s="4">
        <f>INDEX(Products!$A$1:$G$49,MATCH(Orders!$G951,Products!$A$1:$A$49,0),MATCH(Orders!N$1,Products!$A$1:$G$1,0))</f>
        <v>2.5</v>
      </c>
      <c r="O951" s="7">
        <f>INDEX(Products!$A$1:$G$49,MATCH(Orders!$G951,Products!$A$1:$A$49,0),MATCH(Orders!O$1,Products!$A$1:$G$1,0))</f>
        <v>27.484999999999996</v>
      </c>
      <c r="P951" s="7">
        <f t="shared" si="14"/>
        <v>109.93999999999998</v>
      </c>
      <c r="Q951" t="str" cm="1">
        <f t="array" ref="Q951">_xlfn.IFS(L951="Rob","Robusta",L951="Exc", "Excelsa",L951="Ara", "Arabica",L951="Lib", "Liberica")</f>
        <v>Robusta</v>
      </c>
      <c r="R951" t="str" cm="1">
        <f t="array" ref="R951">_xlfn.IFS(M951="M","Medium",M951="L","Light",M951="D","Dark")</f>
        <v>Light</v>
      </c>
    </row>
    <row r="952" spans="1:18">
      <c r="A952" s="2" t="s">
        <v>1879</v>
      </c>
      <c r="B952" s="3">
        <v>44703</v>
      </c>
      <c r="C952" s="9">
        <f>YEAR(Orders_Table[[#This Row],[Order Date]])</f>
        <v>2022</v>
      </c>
      <c r="D952" s="9">
        <f>MONTH(Orders_Table[[#This Row],[Order Date]])</f>
        <v>5</v>
      </c>
      <c r="E952" s="9" t="str" cm="1">
        <f t="array" ref="E95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52" s="2" t="s">
        <v>1880</v>
      </c>
      <c r="G952" t="s">
        <v>229</v>
      </c>
      <c r="H952" s="2">
        <v>4</v>
      </c>
      <c r="I952" s="2" t="str" cm="1">
        <f t="array" ref="I952">_xlfn.XLOOKUP(F952,Customers!A951:$A$1001,Customers!B951:$B$1001,"Not Found",0)</f>
        <v>Johnath Fairebrother</v>
      </c>
      <c r="J952" s="2" t="str" cm="1">
        <f t="array" ref="J952">IF(_xlfn.XLOOKUP(F952,Customers!A951:$A$1001,Customers!C951:$C$1001,"Not Found",0)=0,"",_xlfn.XLOOKUP(F952,Customers!A951:$A$1001,Customers!C951:$C$1001,"Not Found",0))</f>
        <v/>
      </c>
      <c r="K952" s="2" t="str" cm="1">
        <f t="array" ref="K952">_xlfn.XLOOKUP(F952,Customers!A951:$A$1001,Customers!G951:$G$1001,"Not Found",0)</f>
        <v>United States</v>
      </c>
      <c r="L952" t="str">
        <f>INDEX(Products!$A$1:$G$49,MATCH(Orders!$G952,Products!$A$1:$A$49,0),MATCH(Orders!L$1,Products!$A$1:$G$1,0))</f>
        <v>Rob</v>
      </c>
      <c r="M952" t="str">
        <f>INDEX(Products!$A$1:$G$49,MATCH(Orders!$G952,Products!$A$1:$A$49,0),MATCH(Orders!M$1,Products!$A$1:$G$1,0))</f>
        <v>L</v>
      </c>
      <c r="N952" s="4">
        <f>INDEX(Products!$A$1:$G$49,MATCH(Orders!$G952,Products!$A$1:$A$49,0),MATCH(Orders!N$1,Products!$A$1:$G$1,0))</f>
        <v>0.2</v>
      </c>
      <c r="O952" s="7">
        <f>INDEX(Products!$A$1:$G$49,MATCH(Orders!$G952,Products!$A$1:$A$49,0),MATCH(Orders!O$1,Products!$A$1:$G$1,0))</f>
        <v>3.5849999999999995</v>
      </c>
      <c r="P952" s="7">
        <f t="shared" si="14"/>
        <v>14.339999999999998</v>
      </c>
      <c r="Q952" t="str" cm="1">
        <f t="array" ref="Q952">_xlfn.IFS(L952="Rob","Robusta",L952="Exc", "Excelsa",L952="Ara", "Arabica",L952="Lib", "Liberica")</f>
        <v>Robusta</v>
      </c>
      <c r="R952" t="str" cm="1">
        <f t="array" ref="R952">_xlfn.IFS(M952="M","Medium",M952="L","Light",M952="D","Dark")</f>
        <v>Light</v>
      </c>
    </row>
    <row r="953" spans="1:18">
      <c r="A953" s="2" t="s">
        <v>1881</v>
      </c>
      <c r="B953" s="3">
        <v>44092</v>
      </c>
      <c r="C953" s="9">
        <f>YEAR(Orders_Table[[#This Row],[Order Date]])</f>
        <v>2020</v>
      </c>
      <c r="D953" s="9">
        <f>MONTH(Orders_Table[[#This Row],[Order Date]])</f>
        <v>9</v>
      </c>
      <c r="E953" s="9" t="str" cm="1">
        <f t="array" ref="E95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53" s="2" t="s">
        <v>1882</v>
      </c>
      <c r="G953" t="s">
        <v>229</v>
      </c>
      <c r="H953" s="2">
        <v>6</v>
      </c>
      <c r="I953" s="2" t="str" cm="1">
        <f t="array" ref="I953">_xlfn.XLOOKUP(F953,Customers!A952:$A$1001,Customers!B952:$B$1001,"Not Found",0)</f>
        <v>Ingamar Eberlein</v>
      </c>
      <c r="J953" s="2" t="str" cm="1">
        <f t="array" ref="J953">IF(_xlfn.XLOOKUP(F953,Customers!A952:$A$1001,Customers!C952:$C$1001,"Not Found",0)=0,"",_xlfn.XLOOKUP(F953,Customers!A952:$A$1001,Customers!C952:$C$1001,"Not Found",0))</f>
        <v>ieberleinqf@hc360.com</v>
      </c>
      <c r="K953" s="2" t="str" cm="1">
        <f t="array" ref="K953">_xlfn.XLOOKUP(F953,Customers!A952:$A$1001,Customers!G952:$G$1001,"Not Found",0)</f>
        <v>United States</v>
      </c>
      <c r="L953" t="str">
        <f>INDEX(Products!$A$1:$G$49,MATCH(Orders!$G953,Products!$A$1:$A$49,0),MATCH(Orders!L$1,Products!$A$1:$G$1,0))</f>
        <v>Rob</v>
      </c>
      <c r="M953" t="str">
        <f>INDEX(Products!$A$1:$G$49,MATCH(Orders!$G953,Products!$A$1:$A$49,0),MATCH(Orders!M$1,Products!$A$1:$G$1,0))</f>
        <v>L</v>
      </c>
      <c r="N953" s="4">
        <f>INDEX(Products!$A$1:$G$49,MATCH(Orders!$G953,Products!$A$1:$A$49,0),MATCH(Orders!N$1,Products!$A$1:$G$1,0))</f>
        <v>0.2</v>
      </c>
      <c r="O953" s="7">
        <f>INDEX(Products!$A$1:$G$49,MATCH(Orders!$G953,Products!$A$1:$A$49,0),MATCH(Orders!O$1,Products!$A$1:$G$1,0))</f>
        <v>3.5849999999999995</v>
      </c>
      <c r="P953" s="7">
        <f t="shared" si="14"/>
        <v>21.509999999999998</v>
      </c>
      <c r="Q953" t="str" cm="1">
        <f t="array" ref="Q953">_xlfn.IFS(L953="Rob","Robusta",L953="Exc", "Excelsa",L953="Ara", "Arabica",L953="Lib", "Liberica")</f>
        <v>Robusta</v>
      </c>
      <c r="R953" t="str" cm="1">
        <f t="array" ref="R953">_xlfn.IFS(M953="M","Medium",M953="L","Light",M953="D","Dark")</f>
        <v>Light</v>
      </c>
    </row>
    <row r="954" spans="1:18">
      <c r="A954" s="2" t="s">
        <v>1883</v>
      </c>
      <c r="B954" s="3">
        <v>44439</v>
      </c>
      <c r="C954" s="9">
        <f>YEAR(Orders_Table[[#This Row],[Order Date]])</f>
        <v>2021</v>
      </c>
      <c r="D954" s="9">
        <f>MONTH(Orders_Table[[#This Row],[Order Date]])</f>
        <v>8</v>
      </c>
      <c r="E954" s="9" t="str" cm="1">
        <f t="array" ref="E95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954" s="2" t="s">
        <v>1884</v>
      </c>
      <c r="G954" t="s">
        <v>108</v>
      </c>
      <c r="H954" s="2">
        <v>2</v>
      </c>
      <c r="I954" s="2" t="str" cm="1">
        <f t="array" ref="I954">_xlfn.XLOOKUP(F954,Customers!A953:$A$1001,Customers!B953:$B$1001,"Not Found",0)</f>
        <v>Jilly Dreng</v>
      </c>
      <c r="J954" s="2" t="str" cm="1">
        <f t="array" ref="J954">IF(_xlfn.XLOOKUP(F954,Customers!A953:$A$1001,Customers!C953:$C$1001,"Not Found",0)=0,"",_xlfn.XLOOKUP(F954,Customers!A953:$A$1001,Customers!C953:$C$1001,"Not Found",0))</f>
        <v>jdrengqg@uiuc.edu</v>
      </c>
      <c r="K954" s="2" t="str" cm="1">
        <f t="array" ref="K954">_xlfn.XLOOKUP(F954,Customers!A953:$A$1001,Customers!G953:$G$1001,"Not Found",0)</f>
        <v>Ireland</v>
      </c>
      <c r="L954" t="str">
        <f>INDEX(Products!$A$1:$G$49,MATCH(Orders!$G954,Products!$A$1:$A$49,0),MATCH(Orders!L$1,Products!$A$1:$G$1,0))</f>
        <v>Ara</v>
      </c>
      <c r="M954" t="str">
        <f>INDEX(Products!$A$1:$G$49,MATCH(Orders!$G954,Products!$A$1:$A$49,0),MATCH(Orders!M$1,Products!$A$1:$G$1,0))</f>
        <v>M</v>
      </c>
      <c r="N954" s="4">
        <f>INDEX(Products!$A$1:$G$49,MATCH(Orders!$G954,Products!$A$1:$A$49,0),MATCH(Orders!N$1,Products!$A$1:$G$1,0))</f>
        <v>1</v>
      </c>
      <c r="O954" s="7">
        <f>INDEX(Products!$A$1:$G$49,MATCH(Orders!$G954,Products!$A$1:$A$49,0),MATCH(Orders!O$1,Products!$A$1:$G$1,0))</f>
        <v>11.25</v>
      </c>
      <c r="P954" s="7">
        <f t="shared" si="14"/>
        <v>22.5</v>
      </c>
      <c r="Q954" t="str" cm="1">
        <f t="array" ref="Q954">_xlfn.IFS(L954="Rob","Robusta",L954="Exc", "Excelsa",L954="Ara", "Arabica",L954="Lib", "Liberica")</f>
        <v>Arabica</v>
      </c>
      <c r="R954" t="str" cm="1">
        <f t="array" ref="R954">_xlfn.IFS(M954="M","Medium",M954="L","Light",M954="D","Dark")</f>
        <v>Medium</v>
      </c>
    </row>
    <row r="955" spans="1:18">
      <c r="A955" s="2" t="s">
        <v>1885</v>
      </c>
      <c r="B955" s="3">
        <v>44582</v>
      </c>
      <c r="C955" s="9">
        <f>YEAR(Orders_Table[[#This Row],[Order Date]])</f>
        <v>2022</v>
      </c>
      <c r="D955" s="9">
        <f>MONTH(Orders_Table[[#This Row],[Order Date]])</f>
        <v>1</v>
      </c>
      <c r="E955" s="9" t="str" cm="1">
        <f t="array" ref="E95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55" s="2" t="s">
        <v>1848</v>
      </c>
      <c r="G955" t="s">
        <v>162</v>
      </c>
      <c r="H955" s="2">
        <v>1</v>
      </c>
      <c r="I955" s="2" t="str" cm="1">
        <f t="array" ref="I955">_xlfn.XLOOKUP(F955,Customers!A954:$A$1001,Customers!B954:$B$1001,"Not Found",0)</f>
        <v>Not Found</v>
      </c>
      <c r="J955" s="2" t="str" cm="1">
        <f t="array" ref="J955">IF(_xlfn.XLOOKUP(F955,Customers!A954:$A$1001,Customers!C954:$C$1001,"Not Found",0)=0,"",_xlfn.XLOOKUP(F955,Customers!A954:$A$1001,Customers!C954:$C$1001,"Not Found",0))</f>
        <v>Not Found</v>
      </c>
      <c r="K955" s="2" t="str" cm="1">
        <f t="array" ref="K955">_xlfn.XLOOKUP(F955,Customers!A954:$A$1001,Customers!G954:$G$1001,"Not Found",0)</f>
        <v>Not Found</v>
      </c>
      <c r="L955" t="str">
        <f>INDEX(Products!$A$1:$G$49,MATCH(Orders!$G955,Products!$A$1:$A$49,0),MATCH(Orders!L$1,Products!$A$1:$G$1,0))</f>
        <v>Ara</v>
      </c>
      <c r="M955" t="str">
        <f>INDEX(Products!$A$1:$G$49,MATCH(Orders!$G955,Products!$A$1:$A$49,0),MATCH(Orders!M$1,Products!$A$1:$G$1,0))</f>
        <v>L</v>
      </c>
      <c r="N955" s="4">
        <f>INDEX(Products!$A$1:$G$49,MATCH(Orders!$G955,Products!$A$1:$A$49,0),MATCH(Orders!N$1,Products!$A$1:$G$1,0))</f>
        <v>0.2</v>
      </c>
      <c r="O955" s="7">
        <f>INDEX(Products!$A$1:$G$49,MATCH(Orders!$G955,Products!$A$1:$A$49,0),MATCH(Orders!O$1,Products!$A$1:$G$1,0))</f>
        <v>3.8849999999999998</v>
      </c>
      <c r="P955" s="7">
        <f t="shared" si="14"/>
        <v>3.8849999999999998</v>
      </c>
      <c r="Q955" t="str" cm="1">
        <f t="array" ref="Q955">_xlfn.IFS(L955="Rob","Robusta",L955="Exc", "Excelsa",L955="Ara", "Arabica",L955="Lib", "Liberica")</f>
        <v>Arabica</v>
      </c>
      <c r="R955" t="str" cm="1">
        <f t="array" ref="R955">_xlfn.IFS(M955="M","Medium",M955="L","Light",M955="D","Dark")</f>
        <v>Light</v>
      </c>
    </row>
    <row r="956" spans="1:18">
      <c r="A956" s="2" t="s">
        <v>1886</v>
      </c>
      <c r="B956" s="3">
        <v>44722</v>
      </c>
      <c r="C956" s="9">
        <f>YEAR(Orders_Table[[#This Row],[Order Date]])</f>
        <v>2022</v>
      </c>
      <c r="D956" s="9">
        <f>MONTH(Orders_Table[[#This Row],[Order Date]])</f>
        <v>6</v>
      </c>
      <c r="E956" s="9" t="str" cm="1">
        <f t="array" ref="E95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56" s="2" t="s">
        <v>1848</v>
      </c>
      <c r="G956" t="s">
        <v>577</v>
      </c>
      <c r="H956" s="2">
        <v>1</v>
      </c>
      <c r="I956" s="2" t="str" cm="1">
        <f t="array" ref="I956">_xlfn.XLOOKUP(F956,Customers!A955:$A$1001,Customers!B955:$B$1001,"Not Found",0)</f>
        <v>Not Found</v>
      </c>
      <c r="J956" s="2" t="str" cm="1">
        <f t="array" ref="J956">IF(_xlfn.XLOOKUP(F956,Customers!A955:$A$1001,Customers!C955:$C$1001,"Not Found",0)=0,"",_xlfn.XLOOKUP(F956,Customers!A955:$A$1001,Customers!C955:$C$1001,"Not Found",0))</f>
        <v>Not Found</v>
      </c>
      <c r="K956" s="2" t="str" cm="1">
        <f t="array" ref="K956">_xlfn.XLOOKUP(F956,Customers!A955:$A$1001,Customers!G955:$G$1001,"Not Found",0)</f>
        <v>Not Found</v>
      </c>
      <c r="L956" t="str">
        <f>INDEX(Products!$A$1:$G$49,MATCH(Orders!$G956,Products!$A$1:$A$49,0),MATCH(Orders!L$1,Products!$A$1:$G$1,0))</f>
        <v>Exc</v>
      </c>
      <c r="M956" t="str">
        <f>INDEX(Products!$A$1:$G$49,MATCH(Orders!$G956,Products!$A$1:$A$49,0),MATCH(Orders!M$1,Products!$A$1:$G$1,0))</f>
        <v>D</v>
      </c>
      <c r="N956" s="4">
        <f>INDEX(Products!$A$1:$G$49,MATCH(Orders!$G956,Products!$A$1:$A$49,0),MATCH(Orders!N$1,Products!$A$1:$G$1,0))</f>
        <v>2.5</v>
      </c>
      <c r="O956" s="7">
        <f>INDEX(Products!$A$1:$G$49,MATCH(Orders!$G956,Products!$A$1:$A$49,0),MATCH(Orders!O$1,Products!$A$1:$G$1,0))</f>
        <v>27.945</v>
      </c>
      <c r="P956" s="7">
        <f t="shared" si="14"/>
        <v>27.945</v>
      </c>
      <c r="Q956" t="str" cm="1">
        <f t="array" ref="Q956">_xlfn.IFS(L956="Rob","Robusta",L956="Exc", "Excelsa",L956="Ara", "Arabica",L956="Lib", "Liberica")</f>
        <v>Excelsa</v>
      </c>
      <c r="R956" t="str" cm="1">
        <f t="array" ref="R956">_xlfn.IFS(M956="M","Medium",M956="L","Light",M956="D","Dark")</f>
        <v>Dark</v>
      </c>
    </row>
    <row r="957" spans="1:18">
      <c r="A957" s="2" t="s">
        <v>1887</v>
      </c>
      <c r="B957" s="3">
        <v>43582</v>
      </c>
      <c r="C957" s="9">
        <f>YEAR(Orders_Table[[#This Row],[Order Date]])</f>
        <v>2019</v>
      </c>
      <c r="D957" s="9">
        <f>MONTH(Orders_Table[[#This Row],[Order Date]])</f>
        <v>4</v>
      </c>
      <c r="E957" s="9" t="str" cm="1">
        <f t="array" ref="E95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57" s="2" t="s">
        <v>1848</v>
      </c>
      <c r="G957" t="s">
        <v>77</v>
      </c>
      <c r="H957" s="2">
        <v>5</v>
      </c>
      <c r="I957" s="2" t="str" cm="1">
        <f t="array" ref="I957">_xlfn.XLOOKUP(F957,Customers!A956:$A$1001,Customers!B956:$B$1001,"Not Found",0)</f>
        <v>Not Found</v>
      </c>
      <c r="J957" s="2" t="str" cm="1">
        <f t="array" ref="J957">IF(_xlfn.XLOOKUP(F957,Customers!A956:$A$1001,Customers!C956:$C$1001,"Not Found",0)=0,"",_xlfn.XLOOKUP(F957,Customers!A956:$A$1001,Customers!C956:$C$1001,"Not Found",0))</f>
        <v>Not Found</v>
      </c>
      <c r="K957" s="2" t="str" cm="1">
        <f t="array" ref="K957">_xlfn.XLOOKUP(F957,Customers!A956:$A$1001,Customers!G956:$G$1001,"Not Found",0)</f>
        <v>Not Found</v>
      </c>
      <c r="L957" t="str">
        <f>INDEX(Products!$A$1:$G$49,MATCH(Orders!$G957,Products!$A$1:$A$49,0),MATCH(Orders!L$1,Products!$A$1:$G$1,0))</f>
        <v>Exc</v>
      </c>
      <c r="M957" t="str">
        <f>INDEX(Products!$A$1:$G$49,MATCH(Orders!$G957,Products!$A$1:$A$49,0),MATCH(Orders!M$1,Products!$A$1:$G$1,0))</f>
        <v>L</v>
      </c>
      <c r="N957" s="4">
        <f>INDEX(Products!$A$1:$G$49,MATCH(Orders!$G957,Products!$A$1:$A$49,0),MATCH(Orders!N$1,Products!$A$1:$G$1,0))</f>
        <v>2.5</v>
      </c>
      <c r="O957" s="7">
        <f>INDEX(Products!$A$1:$G$49,MATCH(Orders!$G957,Products!$A$1:$A$49,0),MATCH(Orders!O$1,Products!$A$1:$G$1,0))</f>
        <v>34.154999999999994</v>
      </c>
      <c r="P957" s="7">
        <f t="shared" si="14"/>
        <v>170.77499999999998</v>
      </c>
      <c r="Q957" t="str" cm="1">
        <f t="array" ref="Q957">_xlfn.IFS(L957="Rob","Robusta",L957="Exc", "Excelsa",L957="Ara", "Arabica",L957="Lib", "Liberica")</f>
        <v>Excelsa</v>
      </c>
      <c r="R957" t="str" cm="1">
        <f t="array" ref="R957">_xlfn.IFS(M957="M","Medium",M957="L","Light",M957="D","Dark")</f>
        <v>Light</v>
      </c>
    </row>
    <row r="958" spans="1:18">
      <c r="A958" s="2" t="s">
        <v>1887</v>
      </c>
      <c r="B958" s="3">
        <v>43582</v>
      </c>
      <c r="C958" s="9">
        <f>YEAR(Orders_Table[[#This Row],[Order Date]])</f>
        <v>2019</v>
      </c>
      <c r="D958" s="9">
        <f>MONTH(Orders_Table[[#This Row],[Order Date]])</f>
        <v>4</v>
      </c>
      <c r="E958" s="9" t="str" cm="1">
        <f t="array" ref="E95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58" s="2" t="s">
        <v>1848</v>
      </c>
      <c r="G958" t="s">
        <v>57</v>
      </c>
      <c r="H958" s="2">
        <v>2</v>
      </c>
      <c r="I958" s="2" t="str" cm="1">
        <f t="array" ref="I958">_xlfn.XLOOKUP(F958,Customers!A957:$A$1001,Customers!B957:$B$1001,"Not Found",0)</f>
        <v>Not Found</v>
      </c>
      <c r="J958" s="2" t="str" cm="1">
        <f t="array" ref="J958">IF(_xlfn.XLOOKUP(F958,Customers!A957:$A$1001,Customers!C957:$C$1001,"Not Found",0)=0,"",_xlfn.XLOOKUP(F958,Customers!A957:$A$1001,Customers!C957:$C$1001,"Not Found",0))</f>
        <v>Not Found</v>
      </c>
      <c r="K958" s="2" t="str" cm="1">
        <f t="array" ref="K958">_xlfn.XLOOKUP(F958,Customers!A957:$A$1001,Customers!G957:$G$1001,"Not Found",0)</f>
        <v>Not Found</v>
      </c>
      <c r="L958" t="str">
        <f>INDEX(Products!$A$1:$G$49,MATCH(Orders!$G958,Products!$A$1:$A$49,0),MATCH(Orders!L$1,Products!$A$1:$G$1,0))</f>
        <v>Rob</v>
      </c>
      <c r="M958" t="str">
        <f>INDEX(Products!$A$1:$G$49,MATCH(Orders!$G958,Products!$A$1:$A$49,0),MATCH(Orders!M$1,Products!$A$1:$G$1,0))</f>
        <v>L</v>
      </c>
      <c r="N958" s="4">
        <f>INDEX(Products!$A$1:$G$49,MATCH(Orders!$G958,Products!$A$1:$A$49,0),MATCH(Orders!N$1,Products!$A$1:$G$1,0))</f>
        <v>2.5</v>
      </c>
      <c r="O958" s="7">
        <f>INDEX(Products!$A$1:$G$49,MATCH(Orders!$G958,Products!$A$1:$A$49,0),MATCH(Orders!O$1,Products!$A$1:$G$1,0))</f>
        <v>27.484999999999996</v>
      </c>
      <c r="P958" s="7">
        <f t="shared" si="14"/>
        <v>54.969999999999992</v>
      </c>
      <c r="Q958" t="str" cm="1">
        <f t="array" ref="Q958">_xlfn.IFS(L958="Rob","Robusta",L958="Exc", "Excelsa",L958="Ara", "Arabica",L958="Lib", "Liberica")</f>
        <v>Robusta</v>
      </c>
      <c r="R958" t="str" cm="1">
        <f t="array" ref="R958">_xlfn.IFS(M958="M","Medium",M958="L","Light",M958="D","Dark")</f>
        <v>Light</v>
      </c>
    </row>
    <row r="959" spans="1:18">
      <c r="A959" s="2" t="s">
        <v>1887</v>
      </c>
      <c r="B959" s="3">
        <v>43582</v>
      </c>
      <c r="C959" s="9">
        <f>YEAR(Orders_Table[[#This Row],[Order Date]])</f>
        <v>2019</v>
      </c>
      <c r="D959" s="9">
        <f>MONTH(Orders_Table[[#This Row],[Order Date]])</f>
        <v>4</v>
      </c>
      <c r="E959" s="9" t="str" cm="1">
        <f t="array" ref="E95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59" s="2" t="s">
        <v>1848</v>
      </c>
      <c r="G959" t="s">
        <v>184</v>
      </c>
      <c r="H959" s="2">
        <v>1</v>
      </c>
      <c r="I959" s="2" t="str" cm="1">
        <f t="array" ref="I959">_xlfn.XLOOKUP(F959,Customers!A958:$A$1001,Customers!B958:$B$1001,"Not Found",0)</f>
        <v>Not Found</v>
      </c>
      <c r="J959" s="2" t="str" cm="1">
        <f t="array" ref="J959">IF(_xlfn.XLOOKUP(F959,Customers!A958:$A$1001,Customers!C958:$C$1001,"Not Found",0)=0,"",_xlfn.XLOOKUP(F959,Customers!A958:$A$1001,Customers!C958:$C$1001,"Not Found",0))</f>
        <v>Not Found</v>
      </c>
      <c r="K959" s="2" t="str" cm="1">
        <f t="array" ref="K959">_xlfn.XLOOKUP(F959,Customers!A958:$A$1001,Customers!G958:$G$1001,"Not Found",0)</f>
        <v>Not Found</v>
      </c>
      <c r="L959" t="str">
        <f>INDEX(Products!$A$1:$G$49,MATCH(Orders!$G959,Products!$A$1:$A$49,0),MATCH(Orders!L$1,Products!$A$1:$G$1,0))</f>
        <v>Exc</v>
      </c>
      <c r="M959" t="str">
        <f>INDEX(Products!$A$1:$G$49,MATCH(Orders!$G959,Products!$A$1:$A$49,0),MATCH(Orders!M$1,Products!$A$1:$G$1,0))</f>
        <v>L</v>
      </c>
      <c r="N959" s="4">
        <f>INDEX(Products!$A$1:$G$49,MATCH(Orders!$G959,Products!$A$1:$A$49,0),MATCH(Orders!N$1,Products!$A$1:$G$1,0))</f>
        <v>1</v>
      </c>
      <c r="O959" s="7">
        <f>INDEX(Products!$A$1:$G$49,MATCH(Orders!$G959,Products!$A$1:$A$49,0),MATCH(Orders!O$1,Products!$A$1:$G$1,0))</f>
        <v>14.85</v>
      </c>
      <c r="P959" s="7">
        <f t="shared" si="14"/>
        <v>14.85</v>
      </c>
      <c r="Q959" t="str" cm="1">
        <f t="array" ref="Q959">_xlfn.IFS(L959="Rob","Robusta",L959="Exc", "Excelsa",L959="Ara", "Arabica",L959="Lib", "Liberica")</f>
        <v>Excelsa</v>
      </c>
      <c r="R959" t="str" cm="1">
        <f t="array" ref="R959">_xlfn.IFS(M959="M","Medium",M959="L","Light",M959="D","Dark")</f>
        <v>Light</v>
      </c>
    </row>
    <row r="960" spans="1:18">
      <c r="A960" s="2" t="s">
        <v>1887</v>
      </c>
      <c r="B960" s="3">
        <v>43582</v>
      </c>
      <c r="C960" s="9">
        <f>YEAR(Orders_Table[[#This Row],[Order Date]])</f>
        <v>2019</v>
      </c>
      <c r="D960" s="9">
        <f>MONTH(Orders_Table[[#This Row],[Order Date]])</f>
        <v>4</v>
      </c>
      <c r="E960" s="9" t="str" cm="1">
        <f t="array" ref="E96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60" s="2" t="s">
        <v>1848</v>
      </c>
      <c r="G960" t="s">
        <v>162</v>
      </c>
      <c r="H960" s="2">
        <v>2</v>
      </c>
      <c r="I960" s="2" t="str" cm="1">
        <f t="array" ref="I960">_xlfn.XLOOKUP(F960,Customers!A959:$A$1001,Customers!B959:$B$1001,"Not Found",0)</f>
        <v>Not Found</v>
      </c>
      <c r="J960" s="2" t="str" cm="1">
        <f t="array" ref="J960">IF(_xlfn.XLOOKUP(F960,Customers!A959:$A$1001,Customers!C959:$C$1001,"Not Found",0)=0,"",_xlfn.XLOOKUP(F960,Customers!A959:$A$1001,Customers!C959:$C$1001,"Not Found",0))</f>
        <v>Not Found</v>
      </c>
      <c r="K960" s="2" t="str" cm="1">
        <f t="array" ref="K960">_xlfn.XLOOKUP(F960,Customers!A959:$A$1001,Customers!G959:$G$1001,"Not Found",0)</f>
        <v>Not Found</v>
      </c>
      <c r="L960" t="str">
        <f>INDEX(Products!$A$1:$G$49,MATCH(Orders!$G960,Products!$A$1:$A$49,0),MATCH(Orders!L$1,Products!$A$1:$G$1,0))</f>
        <v>Ara</v>
      </c>
      <c r="M960" t="str">
        <f>INDEX(Products!$A$1:$G$49,MATCH(Orders!$G960,Products!$A$1:$A$49,0),MATCH(Orders!M$1,Products!$A$1:$G$1,0))</f>
        <v>L</v>
      </c>
      <c r="N960" s="4">
        <f>INDEX(Products!$A$1:$G$49,MATCH(Orders!$G960,Products!$A$1:$A$49,0),MATCH(Orders!N$1,Products!$A$1:$G$1,0))</f>
        <v>0.2</v>
      </c>
      <c r="O960" s="7">
        <f>INDEX(Products!$A$1:$G$49,MATCH(Orders!$G960,Products!$A$1:$A$49,0),MATCH(Orders!O$1,Products!$A$1:$G$1,0))</f>
        <v>3.8849999999999998</v>
      </c>
      <c r="P960" s="7">
        <f t="shared" si="14"/>
        <v>7.77</v>
      </c>
      <c r="Q960" t="str" cm="1">
        <f t="array" ref="Q960">_xlfn.IFS(L960="Rob","Robusta",L960="Exc", "Excelsa",L960="Ara", "Arabica",L960="Lib", "Liberica")</f>
        <v>Arabica</v>
      </c>
      <c r="R960" t="str" cm="1">
        <f t="array" ref="R960">_xlfn.IFS(M960="M","Medium",M960="L","Light",M960="D","Dark")</f>
        <v>Light</v>
      </c>
    </row>
    <row r="961" spans="1:18">
      <c r="A961" s="2" t="s">
        <v>1888</v>
      </c>
      <c r="B961" s="3">
        <v>44598</v>
      </c>
      <c r="C961" s="9">
        <f>YEAR(Orders_Table[[#This Row],[Order Date]])</f>
        <v>2022</v>
      </c>
      <c r="D961" s="9">
        <f>MONTH(Orders_Table[[#This Row],[Order Date]])</f>
        <v>2</v>
      </c>
      <c r="E961" s="9" t="str" cm="1">
        <f t="array" ref="E96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61" s="2" t="s">
        <v>1889</v>
      </c>
      <c r="G961" t="s">
        <v>66</v>
      </c>
      <c r="H961" s="2">
        <v>5</v>
      </c>
      <c r="I961" s="2" t="str" cm="1">
        <f t="array" ref="I961">_xlfn.XLOOKUP(F961,Customers!A960:$A$1001,Customers!B960:$B$1001,"Not Found",0)</f>
        <v>Rhodie Strathern</v>
      </c>
      <c r="J961" s="2" t="str" cm="1">
        <f t="array" ref="J961">IF(_xlfn.XLOOKUP(F961,Customers!A960:$A$1001,Customers!C960:$C$1001,"Not Found",0)=0,"",_xlfn.XLOOKUP(F961,Customers!A960:$A$1001,Customers!C960:$C$1001,"Not Found",0))</f>
        <v>rstrathernqn@devhub.com</v>
      </c>
      <c r="K961" s="2" t="str" cm="1">
        <f t="array" ref="K961">_xlfn.XLOOKUP(F961,Customers!A960:$A$1001,Customers!G960:$G$1001,"Not Found",0)</f>
        <v>United States</v>
      </c>
      <c r="L961" t="str">
        <f>INDEX(Products!$A$1:$G$49,MATCH(Orders!$G961,Products!$A$1:$A$49,0),MATCH(Orders!L$1,Products!$A$1:$G$1,0))</f>
        <v>Lib</v>
      </c>
      <c r="M961" t="str">
        <f>INDEX(Products!$A$1:$G$49,MATCH(Orders!$G961,Products!$A$1:$A$49,0),MATCH(Orders!M$1,Products!$A$1:$G$1,0))</f>
        <v>L</v>
      </c>
      <c r="N961" s="4">
        <f>INDEX(Products!$A$1:$G$49,MATCH(Orders!$G961,Products!$A$1:$A$49,0),MATCH(Orders!N$1,Products!$A$1:$G$1,0))</f>
        <v>0.2</v>
      </c>
      <c r="O961" s="7">
        <f>INDEX(Products!$A$1:$G$49,MATCH(Orders!$G961,Products!$A$1:$A$49,0),MATCH(Orders!O$1,Products!$A$1:$G$1,0))</f>
        <v>4.7549999999999999</v>
      </c>
      <c r="P961" s="7">
        <f t="shared" si="14"/>
        <v>23.774999999999999</v>
      </c>
      <c r="Q961" t="str" cm="1">
        <f t="array" ref="Q961">_xlfn.IFS(L961="Rob","Robusta",L961="Exc", "Excelsa",L961="Ara", "Arabica",L961="Lib", "Liberica")</f>
        <v>Liberica</v>
      </c>
      <c r="R961" t="str" cm="1">
        <f t="array" ref="R961">_xlfn.IFS(M961="M","Medium",M961="L","Light",M961="D","Dark")</f>
        <v>Light</v>
      </c>
    </row>
    <row r="962" spans="1:18">
      <c r="A962" s="2" t="s">
        <v>1890</v>
      </c>
      <c r="B962" s="3">
        <v>44591</v>
      </c>
      <c r="C962" s="9">
        <f>YEAR(Orders_Table[[#This Row],[Order Date]])</f>
        <v>2022</v>
      </c>
      <c r="D962" s="9">
        <f>MONTH(Orders_Table[[#This Row],[Order Date]])</f>
        <v>1</v>
      </c>
      <c r="E962" s="9" t="str" cm="1">
        <f t="array" ref="E96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62" s="2" t="s">
        <v>1891</v>
      </c>
      <c r="G962" t="s">
        <v>179</v>
      </c>
      <c r="H962" s="2">
        <v>5</v>
      </c>
      <c r="I962" s="2" t="str" cm="1">
        <f t="array" ref="I962">_xlfn.XLOOKUP(F962,Customers!A961:$A$1001,Customers!B961:$B$1001,"Not Found",0)</f>
        <v>Chad Miguel</v>
      </c>
      <c r="J962" s="2" t="str" cm="1">
        <f t="array" ref="J962">IF(_xlfn.XLOOKUP(F962,Customers!A961:$A$1001,Customers!C961:$C$1001,"Not Found",0)=0,"",_xlfn.XLOOKUP(F962,Customers!A961:$A$1001,Customers!C961:$C$1001,"Not Found",0))</f>
        <v>cmiguelqo@exblog.jp</v>
      </c>
      <c r="K962" s="2" t="str" cm="1">
        <f t="array" ref="K962">_xlfn.XLOOKUP(F962,Customers!A961:$A$1001,Customers!G961:$G$1001,"Not Found",0)</f>
        <v>United States</v>
      </c>
      <c r="L962" t="str">
        <f>INDEX(Products!$A$1:$G$49,MATCH(Orders!$G962,Products!$A$1:$A$49,0),MATCH(Orders!L$1,Products!$A$1:$G$1,0))</f>
        <v>Lib</v>
      </c>
      <c r="M962" t="str">
        <f>INDEX(Products!$A$1:$G$49,MATCH(Orders!$G962,Products!$A$1:$A$49,0),MATCH(Orders!M$1,Products!$A$1:$G$1,0))</f>
        <v>L</v>
      </c>
      <c r="N962" s="4">
        <f>INDEX(Products!$A$1:$G$49,MATCH(Orders!$G962,Products!$A$1:$A$49,0),MATCH(Orders!N$1,Products!$A$1:$G$1,0))</f>
        <v>1</v>
      </c>
      <c r="O962" s="7">
        <f>INDEX(Products!$A$1:$G$49,MATCH(Orders!$G962,Products!$A$1:$A$49,0),MATCH(Orders!O$1,Products!$A$1:$G$1,0))</f>
        <v>15.85</v>
      </c>
      <c r="P962" s="7">
        <f t="shared" si="14"/>
        <v>79.25</v>
      </c>
      <c r="Q962" t="str" cm="1">
        <f t="array" ref="Q962">_xlfn.IFS(L962="Rob","Robusta",L962="Exc", "Excelsa",L962="Ara", "Arabica",L962="Lib", "Liberica")</f>
        <v>Liberica</v>
      </c>
      <c r="R962" t="str" cm="1">
        <f t="array" ref="R962">_xlfn.IFS(M962="M","Medium",M962="L","Light",M962="D","Dark")</f>
        <v>Light</v>
      </c>
    </row>
    <row r="963" spans="1:18">
      <c r="A963" s="2" t="s">
        <v>1892</v>
      </c>
      <c r="B963" s="3">
        <v>44158</v>
      </c>
      <c r="C963" s="9">
        <f>YEAR(Orders_Table[[#This Row],[Order Date]])</f>
        <v>2020</v>
      </c>
      <c r="D963" s="9">
        <f>MONTH(Orders_Table[[#This Row],[Order Date]])</f>
        <v>11</v>
      </c>
      <c r="E963" s="9" t="str" cm="1">
        <f t="array" ref="E96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Nov</v>
      </c>
      <c r="F963" s="2" t="s">
        <v>1893</v>
      </c>
      <c r="G963" t="s">
        <v>165</v>
      </c>
      <c r="H963" s="2">
        <v>2</v>
      </c>
      <c r="I963" s="2" t="str" cm="1">
        <f t="array" ref="I963">_xlfn.XLOOKUP(F963,Customers!A962:$A$1001,Customers!B962:$B$1001,"Not Found",0)</f>
        <v>Florinda Matusovsky</v>
      </c>
      <c r="J963" s="2" t="str" cm="1">
        <f t="array" ref="J963">IF(_xlfn.XLOOKUP(F963,Customers!A962:$A$1001,Customers!C962:$C$1001,"Not Found",0)=0,"",_xlfn.XLOOKUP(F963,Customers!A962:$A$1001,Customers!C962:$C$1001,"Not Found",0))</f>
        <v/>
      </c>
      <c r="K963" s="2" t="str" cm="1">
        <f t="array" ref="K963">_xlfn.XLOOKUP(F963,Customers!A962:$A$1001,Customers!G962:$G$1001,"Not Found",0)</f>
        <v>United States</v>
      </c>
      <c r="L963" t="str">
        <f>INDEX(Products!$A$1:$G$49,MATCH(Orders!$G963,Products!$A$1:$A$49,0),MATCH(Orders!L$1,Products!$A$1:$G$1,0))</f>
        <v>Ara</v>
      </c>
      <c r="M963" t="str">
        <f>INDEX(Products!$A$1:$G$49,MATCH(Orders!$G963,Products!$A$1:$A$49,0),MATCH(Orders!M$1,Products!$A$1:$G$1,0))</f>
        <v>D</v>
      </c>
      <c r="N963" s="4">
        <f>INDEX(Products!$A$1:$G$49,MATCH(Orders!$G963,Products!$A$1:$A$49,0),MATCH(Orders!N$1,Products!$A$1:$G$1,0))</f>
        <v>2.5</v>
      </c>
      <c r="O963" s="7">
        <f>INDEX(Products!$A$1:$G$49,MATCH(Orders!$G963,Products!$A$1:$A$49,0),MATCH(Orders!O$1,Products!$A$1:$G$1,0))</f>
        <v>22.884999999999998</v>
      </c>
      <c r="P963" s="7">
        <f t="shared" ref="P963:P1001" si="15">O963*H963</f>
        <v>45.769999999999996</v>
      </c>
      <c r="Q963" t="str" cm="1">
        <f t="array" ref="Q963">_xlfn.IFS(L963="Rob","Robusta",L963="Exc", "Excelsa",L963="Ara", "Arabica",L963="Lib", "Liberica")</f>
        <v>Arabica</v>
      </c>
      <c r="R963" t="str" cm="1">
        <f t="array" ref="R963">_xlfn.IFS(M963="M","Medium",M963="L","Light",M963="D","Dark")</f>
        <v>Dark</v>
      </c>
    </row>
    <row r="964" spans="1:18">
      <c r="A964" s="2" t="s">
        <v>1894</v>
      </c>
      <c r="B964" s="3">
        <v>44664</v>
      </c>
      <c r="C964" s="9">
        <f>YEAR(Orders_Table[[#This Row],[Order Date]])</f>
        <v>2022</v>
      </c>
      <c r="D964" s="9">
        <f>MONTH(Orders_Table[[#This Row],[Order Date]])</f>
        <v>4</v>
      </c>
      <c r="E964" s="9" t="str" cm="1">
        <f t="array" ref="E96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64" s="2" t="s">
        <v>1895</v>
      </c>
      <c r="G964" t="s">
        <v>226</v>
      </c>
      <c r="H964" s="2">
        <v>1</v>
      </c>
      <c r="I964" s="2" t="str" cm="1">
        <f t="array" ref="I964">_xlfn.XLOOKUP(F964,Customers!A963:$A$1001,Customers!B963:$B$1001,"Not Found",0)</f>
        <v>Morly Rocks</v>
      </c>
      <c r="J964" s="2" t="str" cm="1">
        <f t="array" ref="J964">IF(_xlfn.XLOOKUP(F964,Customers!A963:$A$1001,Customers!C963:$C$1001,"Not Found",0)=0,"",_xlfn.XLOOKUP(F964,Customers!A963:$A$1001,Customers!C963:$C$1001,"Not Found",0))</f>
        <v>mrocksqq@exblog.jp</v>
      </c>
      <c r="K964" s="2" t="str" cm="1">
        <f t="array" ref="K964">_xlfn.XLOOKUP(F964,Customers!A963:$A$1001,Customers!G963:$G$1001,"Not Found",0)</f>
        <v>Ireland</v>
      </c>
      <c r="L964" t="str">
        <f>INDEX(Products!$A$1:$G$49,MATCH(Orders!$G964,Products!$A$1:$A$49,0),MATCH(Orders!L$1,Products!$A$1:$G$1,0))</f>
        <v>Rob</v>
      </c>
      <c r="M964" t="str">
        <f>INDEX(Products!$A$1:$G$49,MATCH(Orders!$G964,Products!$A$1:$A$49,0),MATCH(Orders!M$1,Products!$A$1:$G$1,0))</f>
        <v>D</v>
      </c>
      <c r="N964" s="4">
        <f>INDEX(Products!$A$1:$G$49,MATCH(Orders!$G964,Products!$A$1:$A$49,0),MATCH(Orders!N$1,Products!$A$1:$G$1,0))</f>
        <v>1</v>
      </c>
      <c r="O964" s="7">
        <f>INDEX(Products!$A$1:$G$49,MATCH(Orders!$G964,Products!$A$1:$A$49,0),MATCH(Orders!O$1,Products!$A$1:$G$1,0))</f>
        <v>8.9499999999999993</v>
      </c>
      <c r="P964" s="7">
        <f t="shared" si="15"/>
        <v>8.9499999999999993</v>
      </c>
      <c r="Q964" t="str" cm="1">
        <f t="array" ref="Q964">_xlfn.IFS(L964="Rob","Robusta",L964="Exc", "Excelsa",L964="Ara", "Arabica",L964="Lib", "Liberica")</f>
        <v>Robusta</v>
      </c>
      <c r="R964" t="str" cm="1">
        <f t="array" ref="R964">_xlfn.IFS(M964="M","Medium",M964="L","Light",M964="D","Dark")</f>
        <v>Dark</v>
      </c>
    </row>
    <row r="965" spans="1:18">
      <c r="A965" s="2" t="s">
        <v>1896</v>
      </c>
      <c r="B965" s="3">
        <v>44203</v>
      </c>
      <c r="C965" s="9">
        <f>YEAR(Orders_Table[[#This Row],[Order Date]])</f>
        <v>2021</v>
      </c>
      <c r="D965" s="9">
        <f>MONTH(Orders_Table[[#This Row],[Order Date]])</f>
        <v>1</v>
      </c>
      <c r="E965" s="9" t="str" cm="1">
        <f t="array" ref="E96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65" s="2" t="s">
        <v>1897</v>
      </c>
      <c r="G965" t="s">
        <v>69</v>
      </c>
      <c r="H965" s="2">
        <v>4</v>
      </c>
      <c r="I965" s="2" t="str" cm="1">
        <f t="array" ref="I965">_xlfn.XLOOKUP(F965,Customers!A964:$A$1001,Customers!B964:$B$1001,"Not Found",0)</f>
        <v>Yuri Burrells</v>
      </c>
      <c r="J965" s="2" t="str" cm="1">
        <f t="array" ref="J965">IF(_xlfn.XLOOKUP(F965,Customers!A964:$A$1001,Customers!C964:$C$1001,"Not Found",0)=0,"",_xlfn.XLOOKUP(F965,Customers!A964:$A$1001,Customers!C964:$C$1001,"Not Found",0))</f>
        <v>yburrellsqr@vinaora.com</v>
      </c>
      <c r="K965" s="2" t="str" cm="1">
        <f t="array" ref="K965">_xlfn.XLOOKUP(F965,Customers!A964:$A$1001,Customers!G964:$G$1001,"Not Found",0)</f>
        <v>United States</v>
      </c>
      <c r="L965" t="str">
        <f>INDEX(Products!$A$1:$G$49,MATCH(Orders!$G965,Products!$A$1:$A$49,0),MATCH(Orders!L$1,Products!$A$1:$G$1,0))</f>
        <v>Rob</v>
      </c>
      <c r="M965" t="str">
        <f>INDEX(Products!$A$1:$G$49,MATCH(Orders!$G965,Products!$A$1:$A$49,0),MATCH(Orders!M$1,Products!$A$1:$G$1,0))</f>
        <v>M</v>
      </c>
      <c r="N965" s="4">
        <f>INDEX(Products!$A$1:$G$49,MATCH(Orders!$G965,Products!$A$1:$A$49,0),MATCH(Orders!N$1,Products!$A$1:$G$1,0))</f>
        <v>0.5</v>
      </c>
      <c r="O965" s="7">
        <f>INDEX(Products!$A$1:$G$49,MATCH(Orders!$G965,Products!$A$1:$A$49,0),MATCH(Orders!O$1,Products!$A$1:$G$1,0))</f>
        <v>5.97</v>
      </c>
      <c r="P965" s="7">
        <f t="shared" si="15"/>
        <v>23.88</v>
      </c>
      <c r="Q965" t="str" cm="1">
        <f t="array" ref="Q965">_xlfn.IFS(L965="Rob","Robusta",L965="Exc", "Excelsa",L965="Ara", "Arabica",L965="Lib", "Liberica")</f>
        <v>Robusta</v>
      </c>
      <c r="R965" t="str" cm="1">
        <f t="array" ref="R965">_xlfn.IFS(M965="M","Medium",M965="L","Light",M965="D","Dark")</f>
        <v>Medium</v>
      </c>
    </row>
    <row r="966" spans="1:18">
      <c r="A966" s="2" t="s">
        <v>1898</v>
      </c>
      <c r="B966" s="3">
        <v>43865</v>
      </c>
      <c r="C966" s="9">
        <f>YEAR(Orders_Table[[#This Row],[Order Date]])</f>
        <v>2020</v>
      </c>
      <c r="D966" s="9">
        <f>MONTH(Orders_Table[[#This Row],[Order Date]])</f>
        <v>2</v>
      </c>
      <c r="E966" s="9" t="str" cm="1">
        <f t="array" ref="E96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66" s="2" t="s">
        <v>1899</v>
      </c>
      <c r="G966" t="s">
        <v>301</v>
      </c>
      <c r="H966" s="2">
        <v>5</v>
      </c>
      <c r="I966" s="2" t="str" cm="1">
        <f t="array" ref="I966">_xlfn.XLOOKUP(F966,Customers!A965:$A$1001,Customers!B965:$B$1001,"Not Found",0)</f>
        <v>Cleopatra Goodrum</v>
      </c>
      <c r="J966" s="2" t="str" cm="1">
        <f t="array" ref="J966">IF(_xlfn.XLOOKUP(F966,Customers!A965:$A$1001,Customers!C965:$C$1001,"Not Found",0)=0,"",_xlfn.XLOOKUP(F966,Customers!A965:$A$1001,Customers!C965:$C$1001,"Not Found",0))</f>
        <v>cgoodrumqs@goodreads.com</v>
      </c>
      <c r="K966" s="2" t="str" cm="1">
        <f t="array" ref="K966">_xlfn.XLOOKUP(F966,Customers!A965:$A$1001,Customers!G965:$G$1001,"Not Found",0)</f>
        <v>United States</v>
      </c>
      <c r="L966" t="str">
        <f>INDEX(Products!$A$1:$G$49,MATCH(Orders!$G966,Products!$A$1:$A$49,0),MATCH(Orders!L$1,Products!$A$1:$G$1,0))</f>
        <v>Exc</v>
      </c>
      <c r="M966" t="str">
        <f>INDEX(Products!$A$1:$G$49,MATCH(Orders!$G966,Products!$A$1:$A$49,0),MATCH(Orders!M$1,Products!$A$1:$G$1,0))</f>
        <v>L</v>
      </c>
      <c r="N966" s="4">
        <f>INDEX(Products!$A$1:$G$49,MATCH(Orders!$G966,Products!$A$1:$A$49,0),MATCH(Orders!N$1,Products!$A$1:$G$1,0))</f>
        <v>0.2</v>
      </c>
      <c r="O966" s="7">
        <f>INDEX(Products!$A$1:$G$49,MATCH(Orders!$G966,Products!$A$1:$A$49,0),MATCH(Orders!O$1,Products!$A$1:$G$1,0))</f>
        <v>4.4550000000000001</v>
      </c>
      <c r="P966" s="7">
        <f t="shared" si="15"/>
        <v>22.274999999999999</v>
      </c>
      <c r="Q966" t="str" cm="1">
        <f t="array" ref="Q966">_xlfn.IFS(L966="Rob","Robusta",L966="Exc", "Excelsa",L966="Ara", "Arabica",L966="Lib", "Liberica")</f>
        <v>Excelsa</v>
      </c>
      <c r="R966" t="str" cm="1">
        <f t="array" ref="R966">_xlfn.IFS(M966="M","Medium",M966="L","Light",M966="D","Dark")</f>
        <v>Light</v>
      </c>
    </row>
    <row r="967" spans="1:18">
      <c r="A967" s="2" t="s">
        <v>1900</v>
      </c>
      <c r="B967" s="3">
        <v>43724</v>
      </c>
      <c r="C967" s="9">
        <f>YEAR(Orders_Table[[#This Row],[Order Date]])</f>
        <v>2019</v>
      </c>
      <c r="D967" s="9">
        <f>MONTH(Orders_Table[[#This Row],[Order Date]])</f>
        <v>9</v>
      </c>
      <c r="E967" s="9" t="str" cm="1">
        <f t="array" ref="E96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67" s="2" t="s">
        <v>1901</v>
      </c>
      <c r="G967" t="s">
        <v>49</v>
      </c>
      <c r="H967" s="2">
        <v>3</v>
      </c>
      <c r="I967" s="2" t="str" cm="1">
        <f t="array" ref="I967">_xlfn.XLOOKUP(F967,Customers!A966:$A$1001,Customers!B966:$B$1001,"Not Found",0)</f>
        <v>Joey Jefferys</v>
      </c>
      <c r="J967" s="2" t="str" cm="1">
        <f t="array" ref="J967">IF(_xlfn.XLOOKUP(F967,Customers!A966:$A$1001,Customers!C966:$C$1001,"Not Found",0)=0,"",_xlfn.XLOOKUP(F967,Customers!A966:$A$1001,Customers!C966:$C$1001,"Not Found",0))</f>
        <v>jjefferysqt@blog.com</v>
      </c>
      <c r="K967" s="2" t="str" cm="1">
        <f t="array" ref="K967">_xlfn.XLOOKUP(F967,Customers!A966:$A$1001,Customers!G966:$G$1001,"Not Found",0)</f>
        <v>United States</v>
      </c>
      <c r="L967" t="str">
        <f>INDEX(Products!$A$1:$G$49,MATCH(Orders!$G967,Products!$A$1:$A$49,0),MATCH(Orders!L$1,Products!$A$1:$G$1,0))</f>
        <v>Rob</v>
      </c>
      <c r="M967" t="str">
        <f>INDEX(Products!$A$1:$G$49,MATCH(Orders!$G967,Products!$A$1:$A$49,0),MATCH(Orders!M$1,Products!$A$1:$G$1,0))</f>
        <v>M</v>
      </c>
      <c r="N967" s="4">
        <f>INDEX(Products!$A$1:$G$49,MATCH(Orders!$G967,Products!$A$1:$A$49,0),MATCH(Orders!N$1,Products!$A$1:$G$1,0))</f>
        <v>1</v>
      </c>
      <c r="O967" s="7">
        <f>INDEX(Products!$A$1:$G$49,MATCH(Orders!$G967,Products!$A$1:$A$49,0),MATCH(Orders!O$1,Products!$A$1:$G$1,0))</f>
        <v>9.9499999999999993</v>
      </c>
      <c r="P967" s="7">
        <f t="shared" si="15"/>
        <v>29.849999999999998</v>
      </c>
      <c r="Q967" t="str" cm="1">
        <f t="array" ref="Q967">_xlfn.IFS(L967="Rob","Robusta",L967="Exc", "Excelsa",L967="Ara", "Arabica",L967="Lib", "Liberica")</f>
        <v>Robusta</v>
      </c>
      <c r="R967" t="str" cm="1">
        <f t="array" ref="R967">_xlfn.IFS(M967="M","Medium",M967="L","Light",M967="D","Dark")</f>
        <v>Medium</v>
      </c>
    </row>
    <row r="968" spans="1:18">
      <c r="A968" s="2" t="s">
        <v>1902</v>
      </c>
      <c r="B968" s="3">
        <v>43491</v>
      </c>
      <c r="C968" s="9">
        <f>YEAR(Orders_Table[[#This Row],[Order Date]])</f>
        <v>2019</v>
      </c>
      <c r="D968" s="9">
        <f>MONTH(Orders_Table[[#This Row],[Order Date]])</f>
        <v>1</v>
      </c>
      <c r="E968" s="9" t="str" cm="1">
        <f t="array" ref="E96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68" s="2" t="s">
        <v>1903</v>
      </c>
      <c r="G968" t="s">
        <v>223</v>
      </c>
      <c r="H968" s="2">
        <v>6</v>
      </c>
      <c r="I968" s="2" t="str" cm="1">
        <f t="array" ref="I968">_xlfn.XLOOKUP(F968,Customers!A967:$A$1001,Customers!B967:$B$1001,"Not Found",0)</f>
        <v>Bearnard Wardell</v>
      </c>
      <c r="J968" s="2" t="str" cm="1">
        <f t="array" ref="J968">IF(_xlfn.XLOOKUP(F968,Customers!A967:$A$1001,Customers!C967:$C$1001,"Not Found",0)=0,"",_xlfn.XLOOKUP(F968,Customers!A967:$A$1001,Customers!C967:$C$1001,"Not Found",0))</f>
        <v>bwardellqu@adobe.com</v>
      </c>
      <c r="K968" s="2" t="str" cm="1">
        <f t="array" ref="K968">_xlfn.XLOOKUP(F968,Customers!A967:$A$1001,Customers!G967:$G$1001,"Not Found",0)</f>
        <v>United States</v>
      </c>
      <c r="L968" t="str">
        <f>INDEX(Products!$A$1:$G$49,MATCH(Orders!$G968,Products!$A$1:$A$49,0),MATCH(Orders!L$1,Products!$A$1:$G$1,0))</f>
        <v>Exc</v>
      </c>
      <c r="M968" t="str">
        <f>INDEX(Products!$A$1:$G$49,MATCH(Orders!$G968,Products!$A$1:$A$49,0),MATCH(Orders!M$1,Products!$A$1:$G$1,0))</f>
        <v>L</v>
      </c>
      <c r="N968" s="4">
        <f>INDEX(Products!$A$1:$G$49,MATCH(Orders!$G968,Products!$A$1:$A$49,0),MATCH(Orders!N$1,Products!$A$1:$G$1,0))</f>
        <v>0.5</v>
      </c>
      <c r="O968" s="7">
        <f>INDEX(Products!$A$1:$G$49,MATCH(Orders!$G968,Products!$A$1:$A$49,0),MATCH(Orders!O$1,Products!$A$1:$G$1,0))</f>
        <v>8.91</v>
      </c>
      <c r="P968" s="7">
        <f t="shared" si="15"/>
        <v>53.46</v>
      </c>
      <c r="Q968" t="str" cm="1">
        <f t="array" ref="Q968">_xlfn.IFS(L968="Rob","Robusta",L968="Exc", "Excelsa",L968="Ara", "Arabica",L968="Lib", "Liberica")</f>
        <v>Excelsa</v>
      </c>
      <c r="R968" t="str" cm="1">
        <f t="array" ref="R968">_xlfn.IFS(M968="M","Medium",M968="L","Light",M968="D","Dark")</f>
        <v>Light</v>
      </c>
    </row>
    <row r="969" spans="1:18">
      <c r="A969" s="2" t="s">
        <v>1904</v>
      </c>
      <c r="B969" s="3">
        <v>44246</v>
      </c>
      <c r="C969" s="9">
        <f>YEAR(Orders_Table[[#This Row],[Order Date]])</f>
        <v>2021</v>
      </c>
      <c r="D969" s="9">
        <f>MONTH(Orders_Table[[#This Row],[Order Date]])</f>
        <v>2</v>
      </c>
      <c r="E969" s="9" t="str" cm="1">
        <f t="array" ref="E96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69" s="2" t="s">
        <v>1905</v>
      </c>
      <c r="G969" t="s">
        <v>148</v>
      </c>
      <c r="H969" s="2">
        <v>1</v>
      </c>
      <c r="I969" s="2" t="str" cm="1">
        <f t="array" ref="I969">_xlfn.XLOOKUP(F969,Customers!A968:$A$1001,Customers!B968:$B$1001,"Not Found",0)</f>
        <v>Zeke Walisiak</v>
      </c>
      <c r="J969" s="2" t="str" cm="1">
        <f t="array" ref="J969">IF(_xlfn.XLOOKUP(F969,Customers!A968:$A$1001,Customers!C968:$C$1001,"Not Found",0)=0,"",_xlfn.XLOOKUP(F969,Customers!A968:$A$1001,Customers!C968:$C$1001,"Not Found",0))</f>
        <v>zwalisiakqv@ucsd.edu</v>
      </c>
      <c r="K969" s="2" t="str" cm="1">
        <f t="array" ref="K969">_xlfn.XLOOKUP(F969,Customers!A968:$A$1001,Customers!G968:$G$1001,"Not Found",0)</f>
        <v>Ireland</v>
      </c>
      <c r="L969" t="str">
        <f>INDEX(Products!$A$1:$G$49,MATCH(Orders!$G969,Products!$A$1:$A$49,0),MATCH(Orders!L$1,Products!$A$1:$G$1,0))</f>
        <v>Rob</v>
      </c>
      <c r="M969" t="str">
        <f>INDEX(Products!$A$1:$G$49,MATCH(Orders!$G969,Products!$A$1:$A$49,0),MATCH(Orders!M$1,Products!$A$1:$G$1,0))</f>
        <v>D</v>
      </c>
      <c r="N969" s="4">
        <f>INDEX(Products!$A$1:$G$49,MATCH(Orders!$G969,Products!$A$1:$A$49,0),MATCH(Orders!N$1,Products!$A$1:$G$1,0))</f>
        <v>0.2</v>
      </c>
      <c r="O969" s="7">
        <f>INDEX(Products!$A$1:$G$49,MATCH(Orders!$G969,Products!$A$1:$A$49,0),MATCH(Orders!O$1,Products!$A$1:$G$1,0))</f>
        <v>2.6849999999999996</v>
      </c>
      <c r="P969" s="7">
        <f t="shared" si="15"/>
        <v>2.6849999999999996</v>
      </c>
      <c r="Q969" t="str" cm="1">
        <f t="array" ref="Q969">_xlfn.IFS(L969="Rob","Robusta",L969="Exc", "Excelsa",L969="Ara", "Arabica",L969="Lib", "Liberica")</f>
        <v>Robusta</v>
      </c>
      <c r="R969" t="str" cm="1">
        <f t="array" ref="R969">_xlfn.IFS(M969="M","Medium",M969="L","Light",M969="D","Dark")</f>
        <v>Dark</v>
      </c>
    </row>
    <row r="970" spans="1:18">
      <c r="A970" s="2" t="s">
        <v>1906</v>
      </c>
      <c r="B970" s="3">
        <v>44642</v>
      </c>
      <c r="C970" s="9">
        <f>YEAR(Orders_Table[[#This Row],[Order Date]])</f>
        <v>2022</v>
      </c>
      <c r="D970" s="9">
        <f>MONTH(Orders_Table[[#This Row],[Order Date]])</f>
        <v>3</v>
      </c>
      <c r="E970" s="9" t="str" cm="1">
        <f t="array" ref="E97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70" s="2" t="s">
        <v>1907</v>
      </c>
      <c r="G970" t="s">
        <v>209</v>
      </c>
      <c r="H970" s="2">
        <v>2</v>
      </c>
      <c r="I970" s="2" t="str" cm="1">
        <f t="array" ref="I970">_xlfn.XLOOKUP(F970,Customers!A969:$A$1001,Customers!B969:$B$1001,"Not Found",0)</f>
        <v>Wiley Leopold</v>
      </c>
      <c r="J970" s="2" t="str" cm="1">
        <f t="array" ref="J970">IF(_xlfn.XLOOKUP(F970,Customers!A969:$A$1001,Customers!C969:$C$1001,"Not Found",0)=0,"",_xlfn.XLOOKUP(F970,Customers!A969:$A$1001,Customers!C969:$C$1001,"Not Found",0))</f>
        <v>wleopoldqw@blogspot.com</v>
      </c>
      <c r="K970" s="2" t="str" cm="1">
        <f t="array" ref="K970">_xlfn.XLOOKUP(F970,Customers!A969:$A$1001,Customers!G969:$G$1001,"Not Found",0)</f>
        <v>United States</v>
      </c>
      <c r="L970" t="str">
        <f>INDEX(Products!$A$1:$G$49,MATCH(Orders!$G970,Products!$A$1:$A$49,0),MATCH(Orders!L$1,Products!$A$1:$G$1,0))</f>
        <v>Rob</v>
      </c>
      <c r="M970" t="str">
        <f>INDEX(Products!$A$1:$G$49,MATCH(Orders!$G970,Products!$A$1:$A$49,0),MATCH(Orders!M$1,Products!$A$1:$G$1,0))</f>
        <v>M</v>
      </c>
      <c r="N970" s="4">
        <f>INDEX(Products!$A$1:$G$49,MATCH(Orders!$G970,Products!$A$1:$A$49,0),MATCH(Orders!N$1,Products!$A$1:$G$1,0))</f>
        <v>0.2</v>
      </c>
      <c r="O970" s="7">
        <f>INDEX(Products!$A$1:$G$49,MATCH(Orders!$G970,Products!$A$1:$A$49,0),MATCH(Orders!O$1,Products!$A$1:$G$1,0))</f>
        <v>2.9849999999999999</v>
      </c>
      <c r="P970" s="7">
        <f t="shared" si="15"/>
        <v>5.97</v>
      </c>
      <c r="Q970" t="str" cm="1">
        <f t="array" ref="Q970">_xlfn.IFS(L970="Rob","Robusta",L970="Exc", "Excelsa",L970="Ara", "Arabica",L970="Lib", "Liberica")</f>
        <v>Robusta</v>
      </c>
      <c r="R970" t="str" cm="1">
        <f t="array" ref="R970">_xlfn.IFS(M970="M","Medium",M970="L","Light",M970="D","Dark")</f>
        <v>Medium</v>
      </c>
    </row>
    <row r="971" spans="1:18">
      <c r="A971" s="2" t="s">
        <v>1908</v>
      </c>
      <c r="B971" s="3">
        <v>43649</v>
      </c>
      <c r="C971" s="9">
        <f>YEAR(Orders_Table[[#This Row],[Order Date]])</f>
        <v>2019</v>
      </c>
      <c r="D971" s="9">
        <f>MONTH(Orders_Table[[#This Row],[Order Date]])</f>
        <v>7</v>
      </c>
      <c r="E971" s="9" t="str" cm="1">
        <f t="array" ref="E97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71" s="2" t="s">
        <v>1909</v>
      </c>
      <c r="G971" t="s">
        <v>60</v>
      </c>
      <c r="H971" s="2">
        <v>1</v>
      </c>
      <c r="I971" s="2" t="str" cm="1">
        <f t="array" ref="I971">_xlfn.XLOOKUP(F971,Customers!A970:$A$1001,Customers!B970:$B$1001,"Not Found",0)</f>
        <v>Chiarra Shalders</v>
      </c>
      <c r="J971" s="2" t="str" cm="1">
        <f t="array" ref="J971">IF(_xlfn.XLOOKUP(F971,Customers!A970:$A$1001,Customers!C970:$C$1001,"Not Found",0)=0,"",_xlfn.XLOOKUP(F971,Customers!A970:$A$1001,Customers!C970:$C$1001,"Not Found",0))</f>
        <v>cshaldersqx@cisco.com</v>
      </c>
      <c r="K971" s="2" t="str" cm="1">
        <f t="array" ref="K971">_xlfn.XLOOKUP(F971,Customers!A970:$A$1001,Customers!G970:$G$1001,"Not Found",0)</f>
        <v>United States</v>
      </c>
      <c r="L971" t="str">
        <f>INDEX(Products!$A$1:$G$49,MATCH(Orders!$G971,Products!$A$1:$A$49,0),MATCH(Orders!L$1,Products!$A$1:$G$1,0))</f>
        <v>Lib</v>
      </c>
      <c r="M971" t="str">
        <f>INDEX(Products!$A$1:$G$49,MATCH(Orders!$G971,Products!$A$1:$A$49,0),MATCH(Orders!M$1,Products!$A$1:$G$1,0))</f>
        <v>D</v>
      </c>
      <c r="N971" s="4">
        <f>INDEX(Products!$A$1:$G$49,MATCH(Orders!$G971,Products!$A$1:$A$49,0),MATCH(Orders!N$1,Products!$A$1:$G$1,0))</f>
        <v>1</v>
      </c>
      <c r="O971" s="7">
        <f>INDEX(Products!$A$1:$G$49,MATCH(Orders!$G971,Products!$A$1:$A$49,0),MATCH(Orders!O$1,Products!$A$1:$G$1,0))</f>
        <v>12.95</v>
      </c>
      <c r="P971" s="7">
        <f t="shared" si="15"/>
        <v>12.95</v>
      </c>
      <c r="Q971" t="str" cm="1">
        <f t="array" ref="Q971">_xlfn.IFS(L971="Rob","Robusta",L971="Exc", "Excelsa",L971="Ara", "Arabica",L971="Lib", "Liberica")</f>
        <v>Liberica</v>
      </c>
      <c r="R971" t="str" cm="1">
        <f t="array" ref="R971">_xlfn.IFS(M971="M","Medium",M971="L","Light",M971="D","Dark")</f>
        <v>Dark</v>
      </c>
    </row>
    <row r="972" spans="1:18">
      <c r="A972" s="2" t="s">
        <v>1910</v>
      </c>
      <c r="B972" s="3">
        <v>43729</v>
      </c>
      <c r="C972" s="9">
        <f>YEAR(Orders_Table[[#This Row],[Order Date]])</f>
        <v>2019</v>
      </c>
      <c r="D972" s="9">
        <f>MONTH(Orders_Table[[#This Row],[Order Date]])</f>
        <v>9</v>
      </c>
      <c r="E972" s="9" t="str" cm="1">
        <f t="array" ref="E97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Sep</v>
      </c>
      <c r="F972" s="2" t="s">
        <v>1911</v>
      </c>
      <c r="G972" t="s">
        <v>50</v>
      </c>
      <c r="H972" s="2">
        <v>1</v>
      </c>
      <c r="I972" s="2" t="str" cm="1">
        <f t="array" ref="I972">_xlfn.XLOOKUP(F972,Customers!A971:$A$1001,Customers!B971:$B$1001,"Not Found",0)</f>
        <v>Sharl Southerill</v>
      </c>
      <c r="J972" s="2" t="str" cm="1">
        <f t="array" ref="J972">IF(_xlfn.XLOOKUP(F972,Customers!A971:$A$1001,Customers!C971:$C$1001,"Not Found",0)=0,"",_xlfn.XLOOKUP(F972,Customers!A971:$A$1001,Customers!C971:$C$1001,"Not Found",0))</f>
        <v/>
      </c>
      <c r="K972" s="2" t="str" cm="1">
        <f t="array" ref="K972">_xlfn.XLOOKUP(F972,Customers!A971:$A$1001,Customers!G971:$G$1001,"Not Found",0)</f>
        <v>United States</v>
      </c>
      <c r="L972" t="str">
        <f>INDEX(Products!$A$1:$G$49,MATCH(Orders!$G972,Products!$A$1:$A$49,0),MATCH(Orders!L$1,Products!$A$1:$G$1,0))</f>
        <v>Exc</v>
      </c>
      <c r="M972" t="str">
        <f>INDEX(Products!$A$1:$G$49,MATCH(Orders!$G972,Products!$A$1:$A$49,0),MATCH(Orders!M$1,Products!$A$1:$G$1,0))</f>
        <v>M</v>
      </c>
      <c r="N972" s="4">
        <f>INDEX(Products!$A$1:$G$49,MATCH(Orders!$G972,Products!$A$1:$A$49,0),MATCH(Orders!N$1,Products!$A$1:$G$1,0))</f>
        <v>0.5</v>
      </c>
      <c r="O972" s="7">
        <f>INDEX(Products!$A$1:$G$49,MATCH(Orders!$G972,Products!$A$1:$A$49,0),MATCH(Orders!O$1,Products!$A$1:$G$1,0))</f>
        <v>8.25</v>
      </c>
      <c r="P972" s="7">
        <f t="shared" si="15"/>
        <v>8.25</v>
      </c>
      <c r="Q972" t="str" cm="1">
        <f t="array" ref="Q972">_xlfn.IFS(L972="Rob","Robusta",L972="Exc", "Excelsa",L972="Ara", "Arabica",L972="Lib", "Liberica")</f>
        <v>Excelsa</v>
      </c>
      <c r="R972" t="str" cm="1">
        <f t="array" ref="R972">_xlfn.IFS(M972="M","Medium",M972="L","Light",M972="D","Dark")</f>
        <v>Medium</v>
      </c>
    </row>
    <row r="973" spans="1:18">
      <c r="A973" s="2" t="s">
        <v>1912</v>
      </c>
      <c r="B973" s="3">
        <v>43703</v>
      </c>
      <c r="C973" s="9">
        <f>YEAR(Orders_Table[[#This Row],[Order Date]])</f>
        <v>2019</v>
      </c>
      <c r="D973" s="9">
        <f>MONTH(Orders_Table[[#This Row],[Order Date]])</f>
        <v>8</v>
      </c>
      <c r="E973" s="9" t="str" cm="1">
        <f t="array" ref="E97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973" s="2" t="s">
        <v>1913</v>
      </c>
      <c r="G973" t="s">
        <v>251</v>
      </c>
      <c r="H973" s="2">
        <v>5</v>
      </c>
      <c r="I973" s="2" t="str" cm="1">
        <f t="array" ref="I973">_xlfn.XLOOKUP(F973,Customers!A972:$A$1001,Customers!B972:$B$1001,"Not Found",0)</f>
        <v>Noni Furber</v>
      </c>
      <c r="J973" s="2" t="str" cm="1">
        <f t="array" ref="J973">IF(_xlfn.XLOOKUP(F973,Customers!A972:$A$1001,Customers!C972:$C$1001,"Not Found",0)=0,"",_xlfn.XLOOKUP(F973,Customers!A972:$A$1001,Customers!C972:$C$1001,"Not Found",0))</f>
        <v>nfurberqz@jugem.jp</v>
      </c>
      <c r="K973" s="2" t="str" cm="1">
        <f t="array" ref="K973">_xlfn.XLOOKUP(F973,Customers!A972:$A$1001,Customers!G972:$G$1001,"Not Found",0)</f>
        <v>United States</v>
      </c>
      <c r="L973" t="str">
        <f>INDEX(Products!$A$1:$G$49,MATCH(Orders!$G973,Products!$A$1:$A$49,0),MATCH(Orders!L$1,Products!$A$1:$G$1,0))</f>
        <v>Ara</v>
      </c>
      <c r="M973" t="str">
        <f>INDEX(Products!$A$1:$G$49,MATCH(Orders!$G973,Products!$A$1:$A$49,0),MATCH(Orders!M$1,Products!$A$1:$G$1,0))</f>
        <v>L</v>
      </c>
      <c r="N973" s="4">
        <f>INDEX(Products!$A$1:$G$49,MATCH(Orders!$G973,Products!$A$1:$A$49,0),MATCH(Orders!N$1,Products!$A$1:$G$1,0))</f>
        <v>2.5</v>
      </c>
      <c r="O973" s="7">
        <f>INDEX(Products!$A$1:$G$49,MATCH(Orders!$G973,Products!$A$1:$A$49,0),MATCH(Orders!O$1,Products!$A$1:$G$1,0))</f>
        <v>29.784999999999997</v>
      </c>
      <c r="P973" s="7">
        <f t="shared" si="15"/>
        <v>148.92499999999998</v>
      </c>
      <c r="Q973" t="str" cm="1">
        <f t="array" ref="Q973">_xlfn.IFS(L973="Rob","Robusta",L973="Exc", "Excelsa",L973="Ara", "Arabica",L973="Lib", "Liberica")</f>
        <v>Arabica</v>
      </c>
      <c r="R973" t="str" cm="1">
        <f t="array" ref="R973">_xlfn.IFS(M973="M","Medium",M973="L","Light",M973="D","Dark")</f>
        <v>Light</v>
      </c>
    </row>
    <row r="974" spans="1:18">
      <c r="A974" s="2" t="s">
        <v>1914</v>
      </c>
      <c r="B974" s="3">
        <v>44411</v>
      </c>
      <c r="C974" s="9">
        <f>YEAR(Orders_Table[[#This Row],[Order Date]])</f>
        <v>2021</v>
      </c>
      <c r="D974" s="9">
        <f>MONTH(Orders_Table[[#This Row],[Order Date]])</f>
        <v>8</v>
      </c>
      <c r="E974" s="9" t="str" cm="1">
        <f t="array" ref="E97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974" s="2" t="s">
        <v>1915</v>
      </c>
      <c r="G974" t="s">
        <v>251</v>
      </c>
      <c r="H974" s="2">
        <v>3</v>
      </c>
      <c r="I974" s="2" t="str" cm="1">
        <f t="array" ref="I974">_xlfn.XLOOKUP(F974,Customers!A973:$A$1001,Customers!B973:$B$1001,"Not Found",0)</f>
        <v>Dinah Crutcher</v>
      </c>
      <c r="J974" s="2" t="str" cm="1">
        <f t="array" ref="J974">IF(_xlfn.XLOOKUP(F974,Customers!A973:$A$1001,Customers!C973:$C$1001,"Not Found",0)=0,"",_xlfn.XLOOKUP(F974,Customers!A973:$A$1001,Customers!C973:$C$1001,"Not Found",0))</f>
        <v/>
      </c>
      <c r="K974" s="2" t="str" cm="1">
        <f t="array" ref="K974">_xlfn.XLOOKUP(F974,Customers!A973:$A$1001,Customers!G973:$G$1001,"Not Found",0)</f>
        <v>Ireland</v>
      </c>
      <c r="L974" t="str">
        <f>INDEX(Products!$A$1:$G$49,MATCH(Orders!$G974,Products!$A$1:$A$49,0),MATCH(Orders!L$1,Products!$A$1:$G$1,0))</f>
        <v>Ara</v>
      </c>
      <c r="M974" t="str">
        <f>INDEX(Products!$A$1:$G$49,MATCH(Orders!$G974,Products!$A$1:$A$49,0),MATCH(Orders!M$1,Products!$A$1:$G$1,0))</f>
        <v>L</v>
      </c>
      <c r="N974" s="4">
        <f>INDEX(Products!$A$1:$G$49,MATCH(Orders!$G974,Products!$A$1:$A$49,0),MATCH(Orders!N$1,Products!$A$1:$G$1,0))</f>
        <v>2.5</v>
      </c>
      <c r="O974" s="7">
        <f>INDEX(Products!$A$1:$G$49,MATCH(Orders!$G974,Products!$A$1:$A$49,0),MATCH(Orders!O$1,Products!$A$1:$G$1,0))</f>
        <v>29.784999999999997</v>
      </c>
      <c r="P974" s="7">
        <f t="shared" si="15"/>
        <v>89.35499999999999</v>
      </c>
      <c r="Q974" t="str" cm="1">
        <f t="array" ref="Q974">_xlfn.IFS(L974="Rob","Robusta",L974="Exc", "Excelsa",L974="Ara", "Arabica",L974="Lib", "Liberica")</f>
        <v>Arabica</v>
      </c>
      <c r="R974" t="str" cm="1">
        <f t="array" ref="R974">_xlfn.IFS(M974="M","Medium",M974="L","Light",M974="D","Dark")</f>
        <v>Light</v>
      </c>
    </row>
    <row r="975" spans="1:18">
      <c r="A975" s="2" t="s">
        <v>1916</v>
      </c>
      <c r="B975" s="3">
        <v>44493</v>
      </c>
      <c r="C975" s="9">
        <f>YEAR(Orders_Table[[#This Row],[Order Date]])</f>
        <v>2021</v>
      </c>
      <c r="D975" s="9">
        <f>MONTH(Orders_Table[[#This Row],[Order Date]])</f>
        <v>10</v>
      </c>
      <c r="E975" s="9" t="str" cm="1">
        <f t="array" ref="E97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975" s="2" t="s">
        <v>1917</v>
      </c>
      <c r="G975" t="s">
        <v>143</v>
      </c>
      <c r="H975" s="2">
        <v>6</v>
      </c>
      <c r="I975" s="2" t="str" cm="1">
        <f t="array" ref="I975">_xlfn.XLOOKUP(F975,Customers!A974:$A$1001,Customers!B974:$B$1001,"Not Found",0)</f>
        <v>Charlean Keave</v>
      </c>
      <c r="J975" s="2" t="str" cm="1">
        <f t="array" ref="J975">IF(_xlfn.XLOOKUP(F975,Customers!A974:$A$1001,Customers!C974:$C$1001,"Not Found",0)=0,"",_xlfn.XLOOKUP(F975,Customers!A974:$A$1001,Customers!C974:$C$1001,"Not Found",0))</f>
        <v>ckeaver1@ucoz.com</v>
      </c>
      <c r="K975" s="2" t="str" cm="1">
        <f t="array" ref="K975">_xlfn.XLOOKUP(F975,Customers!A974:$A$1001,Customers!G974:$G$1001,"Not Found",0)</f>
        <v>United States</v>
      </c>
      <c r="L975" t="str">
        <f>INDEX(Products!$A$1:$G$49,MATCH(Orders!$G975,Products!$A$1:$A$49,0),MATCH(Orders!L$1,Products!$A$1:$G$1,0))</f>
        <v>Lib</v>
      </c>
      <c r="M975" t="str">
        <f>INDEX(Products!$A$1:$G$49,MATCH(Orders!$G975,Products!$A$1:$A$49,0),MATCH(Orders!M$1,Products!$A$1:$G$1,0))</f>
        <v>M</v>
      </c>
      <c r="N975" s="4">
        <f>INDEX(Products!$A$1:$G$49,MATCH(Orders!$G975,Products!$A$1:$A$49,0),MATCH(Orders!N$1,Products!$A$1:$G$1,0))</f>
        <v>1</v>
      </c>
      <c r="O975" s="7">
        <f>INDEX(Products!$A$1:$G$49,MATCH(Orders!$G975,Products!$A$1:$A$49,0),MATCH(Orders!O$1,Products!$A$1:$G$1,0))</f>
        <v>14.55</v>
      </c>
      <c r="P975" s="7">
        <f t="shared" si="15"/>
        <v>87.300000000000011</v>
      </c>
      <c r="Q975" t="str" cm="1">
        <f t="array" ref="Q975">_xlfn.IFS(L975="Rob","Robusta",L975="Exc", "Excelsa",L975="Ara", "Arabica",L975="Lib", "Liberica")</f>
        <v>Liberica</v>
      </c>
      <c r="R975" t="str" cm="1">
        <f t="array" ref="R975">_xlfn.IFS(M975="M","Medium",M975="L","Light",M975="D","Dark")</f>
        <v>Medium</v>
      </c>
    </row>
    <row r="976" spans="1:18">
      <c r="A976" s="2" t="s">
        <v>1918</v>
      </c>
      <c r="B976" s="3">
        <v>43556</v>
      </c>
      <c r="C976" s="9">
        <f>YEAR(Orders_Table[[#This Row],[Order Date]])</f>
        <v>2019</v>
      </c>
      <c r="D976" s="9">
        <f>MONTH(Orders_Table[[#This Row],[Order Date]])</f>
        <v>4</v>
      </c>
      <c r="E976" s="9" t="str" cm="1">
        <f t="array" ref="E97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76" s="2" t="s">
        <v>1919</v>
      </c>
      <c r="G976" t="s">
        <v>193</v>
      </c>
      <c r="H976" s="2">
        <v>1</v>
      </c>
      <c r="I976" s="2" t="str" cm="1">
        <f t="array" ref="I976">_xlfn.XLOOKUP(F976,Customers!A975:$A$1001,Customers!B975:$B$1001,"Not Found",0)</f>
        <v>Sada Roseborough</v>
      </c>
      <c r="J976" s="2" t="str" cm="1">
        <f t="array" ref="J976">IF(_xlfn.XLOOKUP(F976,Customers!A975:$A$1001,Customers!C975:$C$1001,"Not Found",0)=0,"",_xlfn.XLOOKUP(F976,Customers!A975:$A$1001,Customers!C975:$C$1001,"Not Found",0))</f>
        <v>sroseboroughr2@virginia.edu</v>
      </c>
      <c r="K976" s="2" t="str" cm="1">
        <f t="array" ref="K976">_xlfn.XLOOKUP(F976,Customers!A975:$A$1001,Customers!G975:$G$1001,"Not Found",0)</f>
        <v>United States</v>
      </c>
      <c r="L976" t="str">
        <f>INDEX(Products!$A$1:$G$49,MATCH(Orders!$G976,Products!$A$1:$A$49,0),MATCH(Orders!L$1,Products!$A$1:$G$1,0))</f>
        <v>Rob</v>
      </c>
      <c r="M976" t="str">
        <f>INDEX(Products!$A$1:$G$49,MATCH(Orders!$G976,Products!$A$1:$A$49,0),MATCH(Orders!M$1,Products!$A$1:$G$1,0))</f>
        <v>D</v>
      </c>
      <c r="N976" s="4">
        <f>INDEX(Products!$A$1:$G$49,MATCH(Orders!$G976,Products!$A$1:$A$49,0),MATCH(Orders!N$1,Products!$A$1:$G$1,0))</f>
        <v>0.5</v>
      </c>
      <c r="O976" s="7">
        <f>INDEX(Products!$A$1:$G$49,MATCH(Orders!$G976,Products!$A$1:$A$49,0),MATCH(Orders!O$1,Products!$A$1:$G$1,0))</f>
        <v>5.3699999999999992</v>
      </c>
      <c r="P976" s="7">
        <f t="shared" si="15"/>
        <v>5.3699999999999992</v>
      </c>
      <c r="Q976" t="str" cm="1">
        <f t="array" ref="Q976">_xlfn.IFS(L976="Rob","Robusta",L976="Exc", "Excelsa",L976="Ara", "Arabica",L976="Lib", "Liberica")</f>
        <v>Robusta</v>
      </c>
      <c r="R976" t="str" cm="1">
        <f t="array" ref="R976">_xlfn.IFS(M976="M","Medium",M976="L","Light",M976="D","Dark")</f>
        <v>Dark</v>
      </c>
    </row>
    <row r="977" spans="1:18">
      <c r="A977" s="2" t="s">
        <v>1920</v>
      </c>
      <c r="B977" s="3">
        <v>44538</v>
      </c>
      <c r="C977" s="9">
        <f>YEAR(Orders_Table[[#This Row],[Order Date]])</f>
        <v>2021</v>
      </c>
      <c r="D977" s="9">
        <f>MONTH(Orders_Table[[#This Row],[Order Date]])</f>
        <v>12</v>
      </c>
      <c r="E977" s="9" t="str" cm="1">
        <f t="array" ref="E97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77" s="2" t="s">
        <v>1921</v>
      </c>
      <c r="G977" t="s">
        <v>101</v>
      </c>
      <c r="H977" s="2">
        <v>3</v>
      </c>
      <c r="I977" s="2" t="str" cm="1">
        <f t="array" ref="I977">_xlfn.XLOOKUP(F977,Customers!A976:$A$1001,Customers!B976:$B$1001,"Not Found",0)</f>
        <v>Clayton Kingwell</v>
      </c>
      <c r="J977" s="2" t="str" cm="1">
        <f t="array" ref="J977">IF(_xlfn.XLOOKUP(F977,Customers!A976:$A$1001,Customers!C976:$C$1001,"Not Found",0)=0,"",_xlfn.XLOOKUP(F977,Customers!A976:$A$1001,Customers!C976:$C$1001,"Not Found",0))</f>
        <v>ckingwellr3@squarespace.com</v>
      </c>
      <c r="K977" s="2" t="str" cm="1">
        <f t="array" ref="K977">_xlfn.XLOOKUP(F977,Customers!A976:$A$1001,Customers!G976:$G$1001,"Not Found",0)</f>
        <v>Ireland</v>
      </c>
      <c r="L977" t="str">
        <f>INDEX(Products!$A$1:$G$49,MATCH(Orders!$G977,Products!$A$1:$A$49,0),MATCH(Orders!L$1,Products!$A$1:$G$1,0))</f>
        <v>Ara</v>
      </c>
      <c r="M977" t="str">
        <f>INDEX(Products!$A$1:$G$49,MATCH(Orders!$G977,Products!$A$1:$A$49,0),MATCH(Orders!M$1,Products!$A$1:$G$1,0))</f>
        <v>D</v>
      </c>
      <c r="N977" s="4">
        <f>INDEX(Products!$A$1:$G$49,MATCH(Orders!$G977,Products!$A$1:$A$49,0),MATCH(Orders!N$1,Products!$A$1:$G$1,0))</f>
        <v>0.2</v>
      </c>
      <c r="O977" s="7">
        <f>INDEX(Products!$A$1:$G$49,MATCH(Orders!$G977,Products!$A$1:$A$49,0),MATCH(Orders!O$1,Products!$A$1:$G$1,0))</f>
        <v>2.9849999999999999</v>
      </c>
      <c r="P977" s="7">
        <f t="shared" si="15"/>
        <v>8.9550000000000001</v>
      </c>
      <c r="Q977" t="str" cm="1">
        <f t="array" ref="Q977">_xlfn.IFS(L977="Rob","Robusta",L977="Exc", "Excelsa",L977="Ara", "Arabica",L977="Lib", "Liberica")</f>
        <v>Arabica</v>
      </c>
      <c r="R977" t="str" cm="1">
        <f t="array" ref="R977">_xlfn.IFS(M977="M","Medium",M977="L","Light",M977="D","Dark")</f>
        <v>Dark</v>
      </c>
    </row>
    <row r="978" spans="1:18">
      <c r="A978" s="2" t="s">
        <v>1922</v>
      </c>
      <c r="B978" s="3">
        <v>43643</v>
      </c>
      <c r="C978" s="9">
        <f>YEAR(Orders_Table[[#This Row],[Order Date]])</f>
        <v>2019</v>
      </c>
      <c r="D978" s="9">
        <f>MONTH(Orders_Table[[#This Row],[Order Date]])</f>
        <v>6</v>
      </c>
      <c r="E978" s="9" t="str" cm="1">
        <f t="array" ref="E97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78" s="2" t="s">
        <v>1923</v>
      </c>
      <c r="G978" t="s">
        <v>57</v>
      </c>
      <c r="H978" s="2">
        <v>5</v>
      </c>
      <c r="I978" s="2" t="str" cm="1">
        <f t="array" ref="I978">_xlfn.XLOOKUP(F978,Customers!A977:$A$1001,Customers!B977:$B$1001,"Not Found",0)</f>
        <v>Kacy Canto</v>
      </c>
      <c r="J978" s="2" t="str" cm="1">
        <f t="array" ref="J978">IF(_xlfn.XLOOKUP(F978,Customers!A977:$A$1001,Customers!C977:$C$1001,"Not Found",0)=0,"",_xlfn.XLOOKUP(F978,Customers!A977:$A$1001,Customers!C977:$C$1001,"Not Found",0))</f>
        <v>kcantor4@gmpg.org</v>
      </c>
      <c r="K978" s="2" t="str" cm="1">
        <f t="array" ref="K978">_xlfn.XLOOKUP(F978,Customers!A977:$A$1001,Customers!G977:$G$1001,"Not Found",0)</f>
        <v>United States</v>
      </c>
      <c r="L978" t="str">
        <f>INDEX(Products!$A$1:$G$49,MATCH(Orders!$G978,Products!$A$1:$A$49,0),MATCH(Orders!L$1,Products!$A$1:$G$1,0))</f>
        <v>Rob</v>
      </c>
      <c r="M978" t="str">
        <f>INDEX(Products!$A$1:$G$49,MATCH(Orders!$G978,Products!$A$1:$A$49,0),MATCH(Orders!M$1,Products!$A$1:$G$1,0))</f>
        <v>L</v>
      </c>
      <c r="N978" s="4">
        <f>INDEX(Products!$A$1:$G$49,MATCH(Orders!$G978,Products!$A$1:$A$49,0),MATCH(Orders!N$1,Products!$A$1:$G$1,0))</f>
        <v>2.5</v>
      </c>
      <c r="O978" s="7">
        <f>INDEX(Products!$A$1:$G$49,MATCH(Orders!$G978,Products!$A$1:$A$49,0),MATCH(Orders!O$1,Products!$A$1:$G$1,0))</f>
        <v>27.484999999999996</v>
      </c>
      <c r="P978" s="7">
        <f t="shared" si="15"/>
        <v>137.42499999999998</v>
      </c>
      <c r="Q978" t="str" cm="1">
        <f t="array" ref="Q978">_xlfn.IFS(L978="Rob","Robusta",L978="Exc", "Excelsa",L978="Ara", "Arabica",L978="Lib", "Liberica")</f>
        <v>Robusta</v>
      </c>
      <c r="R978" t="str" cm="1">
        <f t="array" ref="R978">_xlfn.IFS(M978="M","Medium",M978="L","Light",M978="D","Dark")</f>
        <v>Light</v>
      </c>
    </row>
    <row r="979" spans="1:18">
      <c r="A979" s="2" t="s">
        <v>1924</v>
      </c>
      <c r="B979" s="3">
        <v>44026</v>
      </c>
      <c r="C979" s="9">
        <f>YEAR(Orders_Table[[#This Row],[Order Date]])</f>
        <v>2020</v>
      </c>
      <c r="D979" s="9">
        <f>MONTH(Orders_Table[[#This Row],[Order Date]])</f>
        <v>7</v>
      </c>
      <c r="E979" s="9" t="str" cm="1">
        <f t="array" ref="E97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79" s="2" t="s">
        <v>1925</v>
      </c>
      <c r="G979" t="s">
        <v>236</v>
      </c>
      <c r="H979" s="2">
        <v>5</v>
      </c>
      <c r="I979" s="2" t="str" cm="1">
        <f t="array" ref="I979">_xlfn.XLOOKUP(F979,Customers!A978:$A$1001,Customers!B978:$B$1001,"Not Found",0)</f>
        <v>Mab Blakemore</v>
      </c>
      <c r="J979" s="2" t="str" cm="1">
        <f t="array" ref="J979">IF(_xlfn.XLOOKUP(F979,Customers!A978:$A$1001,Customers!C978:$C$1001,"Not Found",0)=0,"",_xlfn.XLOOKUP(F979,Customers!A978:$A$1001,Customers!C978:$C$1001,"Not Found",0))</f>
        <v>mblakemorer5@nsw.gov.au</v>
      </c>
      <c r="K979" s="2" t="str" cm="1">
        <f t="array" ref="K979">_xlfn.XLOOKUP(F979,Customers!A978:$A$1001,Customers!G978:$G$1001,"Not Found",0)</f>
        <v>United States</v>
      </c>
      <c r="L979" t="str">
        <f>INDEX(Products!$A$1:$G$49,MATCH(Orders!$G979,Products!$A$1:$A$49,0),MATCH(Orders!L$1,Products!$A$1:$G$1,0))</f>
        <v>Rob</v>
      </c>
      <c r="M979" t="str">
        <f>INDEX(Products!$A$1:$G$49,MATCH(Orders!$G979,Products!$A$1:$A$49,0),MATCH(Orders!M$1,Products!$A$1:$G$1,0))</f>
        <v>L</v>
      </c>
      <c r="N979" s="4">
        <f>INDEX(Products!$A$1:$G$49,MATCH(Orders!$G979,Products!$A$1:$A$49,0),MATCH(Orders!N$1,Products!$A$1:$G$1,0))</f>
        <v>1</v>
      </c>
      <c r="O979" s="7">
        <f>INDEX(Products!$A$1:$G$49,MATCH(Orders!$G979,Products!$A$1:$A$49,0),MATCH(Orders!O$1,Products!$A$1:$G$1,0))</f>
        <v>11.95</v>
      </c>
      <c r="P979" s="7">
        <f t="shared" si="15"/>
        <v>59.75</v>
      </c>
      <c r="Q979" t="str" cm="1">
        <f t="array" ref="Q979">_xlfn.IFS(L979="Rob","Robusta",L979="Exc", "Excelsa",L979="Ara", "Arabica",L979="Lib", "Liberica")</f>
        <v>Robusta</v>
      </c>
      <c r="R979" t="str" cm="1">
        <f t="array" ref="R979">_xlfn.IFS(M979="M","Medium",M979="L","Light",M979="D","Dark")</f>
        <v>Light</v>
      </c>
    </row>
    <row r="980" spans="1:18">
      <c r="A980" s="2" t="s">
        <v>1926</v>
      </c>
      <c r="B980" s="3">
        <v>43913</v>
      </c>
      <c r="C980" s="9">
        <f>YEAR(Orders_Table[[#This Row],[Order Date]])</f>
        <v>2020</v>
      </c>
      <c r="D980" s="9">
        <f>MONTH(Orders_Table[[#This Row],[Order Date]])</f>
        <v>3</v>
      </c>
      <c r="E980" s="9" t="str" cm="1">
        <f t="array" ref="E98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80" s="2" t="s">
        <v>1917</v>
      </c>
      <c r="G980" t="s">
        <v>239</v>
      </c>
      <c r="H980" s="2">
        <v>3</v>
      </c>
      <c r="I980" s="2" t="str" cm="1">
        <f t="array" ref="I980">_xlfn.XLOOKUP(F980,Customers!A979:$A$1001,Customers!B979:$B$1001,"Not Found",0)</f>
        <v>Not Found</v>
      </c>
      <c r="J980" s="2" t="str" cm="1">
        <f t="array" ref="J980">IF(_xlfn.XLOOKUP(F980,Customers!A979:$A$1001,Customers!C979:$C$1001,"Not Found",0)=0,"",_xlfn.XLOOKUP(F980,Customers!A979:$A$1001,Customers!C979:$C$1001,"Not Found",0))</f>
        <v>Not Found</v>
      </c>
      <c r="K980" s="2" t="str" cm="1">
        <f t="array" ref="K980">_xlfn.XLOOKUP(F980,Customers!A979:$A$1001,Customers!G979:$G$1001,"Not Found",0)</f>
        <v>Not Found</v>
      </c>
      <c r="L980" t="str">
        <f>INDEX(Products!$A$1:$G$49,MATCH(Orders!$G980,Products!$A$1:$A$49,0),MATCH(Orders!L$1,Products!$A$1:$G$1,0))</f>
        <v>Ara</v>
      </c>
      <c r="M980" t="str">
        <f>INDEX(Products!$A$1:$G$49,MATCH(Orders!$G980,Products!$A$1:$A$49,0),MATCH(Orders!M$1,Products!$A$1:$G$1,0))</f>
        <v>L</v>
      </c>
      <c r="N980" s="4">
        <f>INDEX(Products!$A$1:$G$49,MATCH(Orders!$G980,Products!$A$1:$A$49,0),MATCH(Orders!N$1,Products!$A$1:$G$1,0))</f>
        <v>0.5</v>
      </c>
      <c r="O980" s="7">
        <f>INDEX(Products!$A$1:$G$49,MATCH(Orders!$G980,Products!$A$1:$A$49,0),MATCH(Orders!O$1,Products!$A$1:$G$1,0))</f>
        <v>7.77</v>
      </c>
      <c r="P980" s="7">
        <f t="shared" si="15"/>
        <v>23.31</v>
      </c>
      <c r="Q980" t="str" cm="1">
        <f t="array" ref="Q980">_xlfn.IFS(L980="Rob","Robusta",L980="Exc", "Excelsa",L980="Ara", "Arabica",L980="Lib", "Liberica")</f>
        <v>Arabica</v>
      </c>
      <c r="R980" t="str" cm="1">
        <f t="array" ref="R980">_xlfn.IFS(M980="M","Medium",M980="L","Light",M980="D","Dark")</f>
        <v>Light</v>
      </c>
    </row>
    <row r="981" spans="1:18">
      <c r="A981" s="2" t="s">
        <v>1927</v>
      </c>
      <c r="B981" s="3">
        <v>43856</v>
      </c>
      <c r="C981" s="9">
        <f>YEAR(Orders_Table[[#This Row],[Order Date]])</f>
        <v>2020</v>
      </c>
      <c r="D981" s="9">
        <f>MONTH(Orders_Table[[#This Row],[Order Date]])</f>
        <v>1</v>
      </c>
      <c r="E981" s="9" t="str" cm="1">
        <f t="array" ref="E98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81" s="2" t="s">
        <v>1928</v>
      </c>
      <c r="G981" t="s">
        <v>193</v>
      </c>
      <c r="H981" s="2">
        <v>2</v>
      </c>
      <c r="I981" s="2" t="str" cm="1">
        <f t="array" ref="I981">_xlfn.XLOOKUP(F981,Customers!A980:$A$1001,Customers!B980:$B$1001,"Not Found",0)</f>
        <v>Javier Causnett</v>
      </c>
      <c r="J981" s="2" t="str" cm="1">
        <f t="array" ref="J981">IF(_xlfn.XLOOKUP(F981,Customers!A980:$A$1001,Customers!C980:$C$1001,"Not Found",0)=0,"",_xlfn.XLOOKUP(F981,Customers!A980:$A$1001,Customers!C980:$C$1001,"Not Found",0))</f>
        <v/>
      </c>
      <c r="K981" s="2" t="str" cm="1">
        <f t="array" ref="K981">_xlfn.XLOOKUP(F981,Customers!A980:$A$1001,Customers!G980:$G$1001,"Not Found",0)</f>
        <v>United States</v>
      </c>
      <c r="L981" t="str">
        <f>INDEX(Products!$A$1:$G$49,MATCH(Orders!$G981,Products!$A$1:$A$49,0),MATCH(Orders!L$1,Products!$A$1:$G$1,0))</f>
        <v>Rob</v>
      </c>
      <c r="M981" t="str">
        <f>INDEX(Products!$A$1:$G$49,MATCH(Orders!$G981,Products!$A$1:$A$49,0),MATCH(Orders!M$1,Products!$A$1:$G$1,0))</f>
        <v>D</v>
      </c>
      <c r="N981" s="4">
        <f>INDEX(Products!$A$1:$G$49,MATCH(Orders!$G981,Products!$A$1:$A$49,0),MATCH(Orders!N$1,Products!$A$1:$G$1,0))</f>
        <v>0.5</v>
      </c>
      <c r="O981" s="7">
        <f>INDEX(Products!$A$1:$G$49,MATCH(Orders!$G981,Products!$A$1:$A$49,0),MATCH(Orders!O$1,Products!$A$1:$G$1,0))</f>
        <v>5.3699999999999992</v>
      </c>
      <c r="P981" s="7">
        <f t="shared" si="15"/>
        <v>10.739999999999998</v>
      </c>
      <c r="Q981" t="str" cm="1">
        <f t="array" ref="Q981">_xlfn.IFS(L981="Rob","Robusta",L981="Exc", "Excelsa",L981="Ara", "Arabica",L981="Lib", "Liberica")</f>
        <v>Robusta</v>
      </c>
      <c r="R981" t="str" cm="1">
        <f t="array" ref="R981">_xlfn.IFS(M981="M","Medium",M981="L","Light",M981="D","Dark")</f>
        <v>Dark</v>
      </c>
    </row>
    <row r="982" spans="1:18">
      <c r="A982" s="2" t="s">
        <v>1929</v>
      </c>
      <c r="B982" s="3">
        <v>43982</v>
      </c>
      <c r="C982" s="9">
        <f>YEAR(Orders_Table[[#This Row],[Order Date]])</f>
        <v>2020</v>
      </c>
      <c r="D982" s="9">
        <f>MONTH(Orders_Table[[#This Row],[Order Date]])</f>
        <v>5</v>
      </c>
      <c r="E982" s="9" t="str" cm="1">
        <f t="array" ref="E98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82" s="2" t="s">
        <v>1930</v>
      </c>
      <c r="G982" t="s">
        <v>577</v>
      </c>
      <c r="H982" s="2">
        <v>6</v>
      </c>
      <c r="I982" s="2" t="str" cm="1">
        <f t="array" ref="I982">_xlfn.XLOOKUP(F982,Customers!A981:$A$1001,Customers!B981:$B$1001,"Not Found",0)</f>
        <v>Demetris Micheli</v>
      </c>
      <c r="J982" s="2" t="str" cm="1">
        <f t="array" ref="J982">IF(_xlfn.XLOOKUP(F982,Customers!A981:$A$1001,Customers!C981:$C$1001,"Not Found",0)=0,"",_xlfn.XLOOKUP(F982,Customers!A981:$A$1001,Customers!C981:$C$1001,"Not Found",0))</f>
        <v/>
      </c>
      <c r="K982" s="2" t="str" cm="1">
        <f t="array" ref="K982">_xlfn.XLOOKUP(F982,Customers!A981:$A$1001,Customers!G981:$G$1001,"Not Found",0)</f>
        <v>United States</v>
      </c>
      <c r="L982" t="str">
        <f>INDEX(Products!$A$1:$G$49,MATCH(Orders!$G982,Products!$A$1:$A$49,0),MATCH(Orders!L$1,Products!$A$1:$G$1,0))</f>
        <v>Exc</v>
      </c>
      <c r="M982" t="str">
        <f>INDEX(Products!$A$1:$G$49,MATCH(Orders!$G982,Products!$A$1:$A$49,0),MATCH(Orders!M$1,Products!$A$1:$G$1,0))</f>
        <v>D</v>
      </c>
      <c r="N982" s="4">
        <f>INDEX(Products!$A$1:$G$49,MATCH(Orders!$G982,Products!$A$1:$A$49,0),MATCH(Orders!N$1,Products!$A$1:$G$1,0))</f>
        <v>2.5</v>
      </c>
      <c r="O982" s="7">
        <f>INDEX(Products!$A$1:$G$49,MATCH(Orders!$G982,Products!$A$1:$A$49,0),MATCH(Orders!O$1,Products!$A$1:$G$1,0))</f>
        <v>27.945</v>
      </c>
      <c r="P982" s="7">
        <f t="shared" si="15"/>
        <v>167.67000000000002</v>
      </c>
      <c r="Q982" t="str" cm="1">
        <f t="array" ref="Q982">_xlfn.IFS(L982="Rob","Robusta",L982="Exc", "Excelsa",L982="Ara", "Arabica",L982="Lib", "Liberica")</f>
        <v>Excelsa</v>
      </c>
      <c r="R982" t="str" cm="1">
        <f t="array" ref="R982">_xlfn.IFS(M982="M","Medium",M982="L","Light",M982="D","Dark")</f>
        <v>Dark</v>
      </c>
    </row>
    <row r="983" spans="1:18">
      <c r="A983" s="2" t="s">
        <v>1931</v>
      </c>
      <c r="B983" s="3">
        <v>44397</v>
      </c>
      <c r="C983" s="9">
        <f>YEAR(Orders_Table[[#This Row],[Order Date]])</f>
        <v>2021</v>
      </c>
      <c r="D983" s="9">
        <f>MONTH(Orders_Table[[#This Row],[Order Date]])</f>
        <v>7</v>
      </c>
      <c r="E983" s="9" t="str" cm="1">
        <f t="array" ref="E98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Jul</v>
      </c>
      <c r="F983" s="2" t="s">
        <v>1932</v>
      </c>
      <c r="G983" t="s">
        <v>98</v>
      </c>
      <c r="H983" s="2">
        <v>6</v>
      </c>
      <c r="I983" s="2" t="str" cm="1">
        <f t="array" ref="I983">_xlfn.XLOOKUP(F983,Customers!A982:$A$1001,Customers!B982:$B$1001,"Not Found",0)</f>
        <v>Chloette Bernardot</v>
      </c>
      <c r="J983" s="2" t="str" cm="1">
        <f t="array" ref="J983">IF(_xlfn.XLOOKUP(F983,Customers!A982:$A$1001,Customers!C982:$C$1001,"Not Found",0)=0,"",_xlfn.XLOOKUP(F983,Customers!A982:$A$1001,Customers!C982:$C$1001,"Not Found",0))</f>
        <v>cbernardotr9@wix.com</v>
      </c>
      <c r="K983" s="2" t="str" cm="1">
        <f t="array" ref="K983">_xlfn.XLOOKUP(F983,Customers!A982:$A$1001,Customers!G982:$G$1001,"Not Found",0)</f>
        <v>United States</v>
      </c>
      <c r="L983" t="str">
        <f>INDEX(Products!$A$1:$G$49,MATCH(Orders!$G983,Products!$A$1:$A$49,0),MATCH(Orders!L$1,Products!$A$1:$G$1,0))</f>
        <v>Exc</v>
      </c>
      <c r="M983" t="str">
        <f>INDEX(Products!$A$1:$G$49,MATCH(Orders!$G983,Products!$A$1:$A$49,0),MATCH(Orders!M$1,Products!$A$1:$G$1,0))</f>
        <v>D</v>
      </c>
      <c r="N983" s="4">
        <f>INDEX(Products!$A$1:$G$49,MATCH(Orders!$G983,Products!$A$1:$A$49,0),MATCH(Orders!N$1,Products!$A$1:$G$1,0))</f>
        <v>0.2</v>
      </c>
      <c r="O983" s="7">
        <f>INDEX(Products!$A$1:$G$49,MATCH(Orders!$G983,Products!$A$1:$A$49,0),MATCH(Orders!O$1,Products!$A$1:$G$1,0))</f>
        <v>3.645</v>
      </c>
      <c r="P983" s="7">
        <f t="shared" si="15"/>
        <v>21.87</v>
      </c>
      <c r="Q983" t="str" cm="1">
        <f t="array" ref="Q983">_xlfn.IFS(L983="Rob","Robusta",L983="Exc", "Excelsa",L983="Ara", "Arabica",L983="Lib", "Liberica")</f>
        <v>Excelsa</v>
      </c>
      <c r="R983" t="str" cm="1">
        <f t="array" ref="R983">_xlfn.IFS(M983="M","Medium",M983="L","Light",M983="D","Dark")</f>
        <v>Dark</v>
      </c>
    </row>
    <row r="984" spans="1:18">
      <c r="A984" s="2" t="s">
        <v>1933</v>
      </c>
      <c r="B984" s="3">
        <v>44785</v>
      </c>
      <c r="C984" s="9">
        <f>YEAR(Orders_Table[[#This Row],[Order Date]])</f>
        <v>2022</v>
      </c>
      <c r="D984" s="9">
        <f>MONTH(Orders_Table[[#This Row],[Order Date]])</f>
        <v>8</v>
      </c>
      <c r="E984" s="9" t="str" cm="1">
        <f t="array" ref="E98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984" s="2" t="s">
        <v>1934</v>
      </c>
      <c r="G984" t="s">
        <v>236</v>
      </c>
      <c r="H984" s="2">
        <v>2</v>
      </c>
      <c r="I984" s="2" t="str" cm="1">
        <f t="array" ref="I984">_xlfn.XLOOKUP(F984,Customers!A983:$A$1001,Customers!B983:$B$1001,"Not Found",0)</f>
        <v>Kim Kemery</v>
      </c>
      <c r="J984" s="2" t="str" cm="1">
        <f t="array" ref="J984">IF(_xlfn.XLOOKUP(F984,Customers!A983:$A$1001,Customers!C983:$C$1001,"Not Found",0)=0,"",_xlfn.XLOOKUP(F984,Customers!A983:$A$1001,Customers!C983:$C$1001,"Not Found",0))</f>
        <v>kkemeryra@t.co</v>
      </c>
      <c r="K984" s="2" t="str" cm="1">
        <f t="array" ref="K984">_xlfn.XLOOKUP(F984,Customers!A983:$A$1001,Customers!G983:$G$1001,"Not Found",0)</f>
        <v>United States</v>
      </c>
      <c r="L984" t="str">
        <f>INDEX(Products!$A$1:$G$49,MATCH(Orders!$G984,Products!$A$1:$A$49,0),MATCH(Orders!L$1,Products!$A$1:$G$1,0))</f>
        <v>Rob</v>
      </c>
      <c r="M984" t="str">
        <f>INDEX(Products!$A$1:$G$49,MATCH(Orders!$G984,Products!$A$1:$A$49,0),MATCH(Orders!M$1,Products!$A$1:$G$1,0))</f>
        <v>L</v>
      </c>
      <c r="N984" s="4">
        <f>INDEX(Products!$A$1:$G$49,MATCH(Orders!$G984,Products!$A$1:$A$49,0),MATCH(Orders!N$1,Products!$A$1:$G$1,0))</f>
        <v>1</v>
      </c>
      <c r="O984" s="7">
        <f>INDEX(Products!$A$1:$G$49,MATCH(Orders!$G984,Products!$A$1:$A$49,0),MATCH(Orders!O$1,Products!$A$1:$G$1,0))</f>
        <v>11.95</v>
      </c>
      <c r="P984" s="7">
        <f t="shared" si="15"/>
        <v>23.9</v>
      </c>
      <c r="Q984" t="str" cm="1">
        <f t="array" ref="Q984">_xlfn.IFS(L984="Rob","Robusta",L984="Exc", "Excelsa",L984="Ara", "Arabica",L984="Lib", "Liberica")</f>
        <v>Robusta</v>
      </c>
      <c r="R984" t="str" cm="1">
        <f t="array" ref="R984">_xlfn.IFS(M984="M","Medium",M984="L","Light",M984="D","Dark")</f>
        <v>Light</v>
      </c>
    </row>
    <row r="985" spans="1:18">
      <c r="A985" s="2" t="s">
        <v>1935</v>
      </c>
      <c r="B985" s="3">
        <v>43831</v>
      </c>
      <c r="C985" s="9">
        <f>YEAR(Orders_Table[[#This Row],[Order Date]])</f>
        <v>2020</v>
      </c>
      <c r="D985" s="9">
        <f>MONTH(Orders_Table[[#This Row],[Order Date]])</f>
        <v>1</v>
      </c>
      <c r="E985" s="9" t="str" cm="1">
        <f t="array" ref="E98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85" s="2" t="s">
        <v>1936</v>
      </c>
      <c r="G985" t="s">
        <v>91</v>
      </c>
      <c r="H985" s="2">
        <v>2</v>
      </c>
      <c r="I985" s="2" t="str" cm="1">
        <f t="array" ref="I985">_xlfn.XLOOKUP(F985,Customers!A984:$A$1001,Customers!B984:$B$1001,"Not Found",0)</f>
        <v>Fanchette Parlot</v>
      </c>
      <c r="J985" s="2" t="str" cm="1">
        <f t="array" ref="J985">IF(_xlfn.XLOOKUP(F985,Customers!A984:$A$1001,Customers!C984:$C$1001,"Not Found",0)=0,"",_xlfn.XLOOKUP(F985,Customers!A984:$A$1001,Customers!C984:$C$1001,"Not Found",0))</f>
        <v>fparlotrb@forbes.com</v>
      </c>
      <c r="K985" s="2" t="str" cm="1">
        <f t="array" ref="K985">_xlfn.XLOOKUP(F985,Customers!A984:$A$1001,Customers!G984:$G$1001,"Not Found",0)</f>
        <v>United States</v>
      </c>
      <c r="L985" t="str">
        <f>INDEX(Products!$A$1:$G$49,MATCH(Orders!$G985,Products!$A$1:$A$49,0),MATCH(Orders!L$1,Products!$A$1:$G$1,0))</f>
        <v>Ara</v>
      </c>
      <c r="M985" t="str">
        <f>INDEX(Products!$A$1:$G$49,MATCH(Orders!$G985,Products!$A$1:$A$49,0),MATCH(Orders!M$1,Products!$A$1:$G$1,0))</f>
        <v>M</v>
      </c>
      <c r="N985" s="4">
        <f>INDEX(Products!$A$1:$G$49,MATCH(Orders!$G985,Products!$A$1:$A$49,0),MATCH(Orders!N$1,Products!$A$1:$G$1,0))</f>
        <v>0.2</v>
      </c>
      <c r="O985" s="7">
        <f>INDEX(Products!$A$1:$G$49,MATCH(Orders!$G985,Products!$A$1:$A$49,0),MATCH(Orders!O$1,Products!$A$1:$G$1,0))</f>
        <v>3.375</v>
      </c>
      <c r="P985" s="7">
        <f t="shared" si="15"/>
        <v>6.75</v>
      </c>
      <c r="Q985" t="str" cm="1">
        <f t="array" ref="Q985">_xlfn.IFS(L985="Rob","Robusta",L985="Exc", "Excelsa",L985="Ara", "Arabica",L985="Lib", "Liberica")</f>
        <v>Arabica</v>
      </c>
      <c r="R985" t="str" cm="1">
        <f t="array" ref="R985">_xlfn.IFS(M985="M","Medium",M985="L","Light",M985="D","Dark")</f>
        <v>Medium</v>
      </c>
    </row>
    <row r="986" spans="1:18">
      <c r="A986" s="2" t="s">
        <v>1937</v>
      </c>
      <c r="B986" s="3">
        <v>44214</v>
      </c>
      <c r="C986" s="9">
        <f>YEAR(Orders_Table[[#This Row],[Order Date]])</f>
        <v>2021</v>
      </c>
      <c r="D986" s="9">
        <f>MONTH(Orders_Table[[#This Row],[Order Date]])</f>
        <v>1</v>
      </c>
      <c r="E986" s="9" t="str" cm="1">
        <f t="array" ref="E98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86" s="2" t="s">
        <v>1938</v>
      </c>
      <c r="G986" t="s">
        <v>159</v>
      </c>
      <c r="H986" s="2">
        <v>1</v>
      </c>
      <c r="I986" s="2" t="str" cm="1">
        <f t="array" ref="I986">_xlfn.XLOOKUP(F986,Customers!A985:$A$1001,Customers!B985:$B$1001,"Not Found",0)</f>
        <v>Ramon Cheak</v>
      </c>
      <c r="J986" s="2" t="str" cm="1">
        <f t="array" ref="J986">IF(_xlfn.XLOOKUP(F986,Customers!A985:$A$1001,Customers!C985:$C$1001,"Not Found",0)=0,"",_xlfn.XLOOKUP(F986,Customers!A985:$A$1001,Customers!C985:$C$1001,"Not Found",0))</f>
        <v>rcheakrc@tripadvisor.com</v>
      </c>
      <c r="K986" s="2" t="str" cm="1">
        <f t="array" ref="K986">_xlfn.XLOOKUP(F986,Customers!A985:$A$1001,Customers!G985:$G$1001,"Not Found",0)</f>
        <v>Ireland</v>
      </c>
      <c r="L986" t="str">
        <f>INDEX(Products!$A$1:$G$49,MATCH(Orders!$G986,Products!$A$1:$A$49,0),MATCH(Orders!L$1,Products!$A$1:$G$1,0))</f>
        <v>Exc</v>
      </c>
      <c r="M986" t="str">
        <f>INDEX(Products!$A$1:$G$49,MATCH(Orders!$G986,Products!$A$1:$A$49,0),MATCH(Orders!M$1,Products!$A$1:$G$1,0))</f>
        <v>M</v>
      </c>
      <c r="N986" s="4">
        <f>INDEX(Products!$A$1:$G$49,MATCH(Orders!$G986,Products!$A$1:$A$49,0),MATCH(Orders!N$1,Products!$A$1:$G$1,0))</f>
        <v>2.5</v>
      </c>
      <c r="O986" s="7">
        <f>INDEX(Products!$A$1:$G$49,MATCH(Orders!$G986,Products!$A$1:$A$49,0),MATCH(Orders!O$1,Products!$A$1:$G$1,0))</f>
        <v>31.624999999999996</v>
      </c>
      <c r="P986" s="7">
        <f t="shared" si="15"/>
        <v>31.624999999999996</v>
      </c>
      <c r="Q986" t="str" cm="1">
        <f t="array" ref="Q986">_xlfn.IFS(L986="Rob","Robusta",L986="Exc", "Excelsa",L986="Ara", "Arabica",L986="Lib", "Liberica")</f>
        <v>Excelsa</v>
      </c>
      <c r="R986" t="str" cm="1">
        <f t="array" ref="R986">_xlfn.IFS(M986="M","Medium",M986="L","Light",M986="D","Dark")</f>
        <v>Medium</v>
      </c>
    </row>
    <row r="987" spans="1:18">
      <c r="A987" s="2" t="s">
        <v>1939</v>
      </c>
      <c r="B987" s="3">
        <v>44561</v>
      </c>
      <c r="C987" s="9">
        <f>YEAR(Orders_Table[[#This Row],[Order Date]])</f>
        <v>2021</v>
      </c>
      <c r="D987" s="9">
        <f>MONTH(Orders_Table[[#This Row],[Order Date]])</f>
        <v>12</v>
      </c>
      <c r="E987" s="9" t="str" cm="1">
        <f t="array" ref="E98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87" s="2" t="s">
        <v>1940</v>
      </c>
      <c r="G987" t="s">
        <v>236</v>
      </c>
      <c r="H987" s="2">
        <v>4</v>
      </c>
      <c r="I987" s="2" t="str" cm="1">
        <f t="array" ref="I987">_xlfn.XLOOKUP(F987,Customers!A986:$A$1001,Customers!B986:$B$1001,"Not Found",0)</f>
        <v>Koressa O'Geneay</v>
      </c>
      <c r="J987" s="2" t="str" cm="1">
        <f t="array" ref="J987">IF(_xlfn.XLOOKUP(F987,Customers!A986:$A$1001,Customers!C986:$C$1001,"Not Found",0)=0,"",_xlfn.XLOOKUP(F987,Customers!A986:$A$1001,Customers!C986:$C$1001,"Not Found",0))</f>
        <v>kogeneayrd@utexas.edu</v>
      </c>
      <c r="K987" s="2" t="str" cm="1">
        <f t="array" ref="K987">_xlfn.XLOOKUP(F987,Customers!A986:$A$1001,Customers!G986:$G$1001,"Not Found",0)</f>
        <v>United States</v>
      </c>
      <c r="L987" t="str">
        <f>INDEX(Products!$A$1:$G$49,MATCH(Orders!$G987,Products!$A$1:$A$49,0),MATCH(Orders!L$1,Products!$A$1:$G$1,0))</f>
        <v>Rob</v>
      </c>
      <c r="M987" t="str">
        <f>INDEX(Products!$A$1:$G$49,MATCH(Orders!$G987,Products!$A$1:$A$49,0),MATCH(Orders!M$1,Products!$A$1:$G$1,0))</f>
        <v>L</v>
      </c>
      <c r="N987" s="4">
        <f>INDEX(Products!$A$1:$G$49,MATCH(Orders!$G987,Products!$A$1:$A$49,0),MATCH(Orders!N$1,Products!$A$1:$G$1,0))</f>
        <v>1</v>
      </c>
      <c r="O987" s="7">
        <f>INDEX(Products!$A$1:$G$49,MATCH(Orders!$G987,Products!$A$1:$A$49,0),MATCH(Orders!O$1,Products!$A$1:$G$1,0))</f>
        <v>11.95</v>
      </c>
      <c r="P987" s="7">
        <f t="shared" si="15"/>
        <v>47.8</v>
      </c>
      <c r="Q987" t="str" cm="1">
        <f t="array" ref="Q987">_xlfn.IFS(L987="Rob","Robusta",L987="Exc", "Excelsa",L987="Ara", "Arabica",L987="Lib", "Liberica")</f>
        <v>Robusta</v>
      </c>
      <c r="R987" t="str" cm="1">
        <f t="array" ref="R987">_xlfn.IFS(M987="M","Medium",M987="L","Light",M987="D","Dark")</f>
        <v>Light</v>
      </c>
    </row>
    <row r="988" spans="1:18">
      <c r="A988" s="2" t="s">
        <v>1941</v>
      </c>
      <c r="B988" s="3">
        <v>43955</v>
      </c>
      <c r="C988" s="9">
        <f>YEAR(Orders_Table[[#This Row],[Order Date]])</f>
        <v>2020</v>
      </c>
      <c r="D988" s="9">
        <f>MONTH(Orders_Table[[#This Row],[Order Date]])</f>
        <v>5</v>
      </c>
      <c r="E988" s="9" t="str" cm="1">
        <f t="array" ref="E98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88" s="2" t="s">
        <v>1942</v>
      </c>
      <c r="G988" t="s">
        <v>244</v>
      </c>
      <c r="H988" s="2">
        <v>1</v>
      </c>
      <c r="I988" s="2" t="str" cm="1">
        <f t="array" ref="I988">_xlfn.XLOOKUP(F988,Customers!A987:$A$1001,Customers!B987:$B$1001,"Not Found",0)</f>
        <v>Claudell Ayre</v>
      </c>
      <c r="J988" s="2" t="str" cm="1">
        <f t="array" ref="J988">IF(_xlfn.XLOOKUP(F988,Customers!A987:$A$1001,Customers!C987:$C$1001,"Not Found",0)=0,"",_xlfn.XLOOKUP(F988,Customers!A987:$A$1001,Customers!C987:$C$1001,"Not Found",0))</f>
        <v>cayrere@symantec.com</v>
      </c>
      <c r="K988" s="2" t="str" cm="1">
        <f t="array" ref="K988">_xlfn.XLOOKUP(F988,Customers!A987:$A$1001,Customers!G987:$G$1001,"Not Found",0)</f>
        <v>United States</v>
      </c>
      <c r="L988" t="str">
        <f>INDEX(Products!$A$1:$G$49,MATCH(Orders!$G988,Products!$A$1:$A$49,0),MATCH(Orders!L$1,Products!$A$1:$G$1,0))</f>
        <v>Lib</v>
      </c>
      <c r="M988" t="str">
        <f>INDEX(Products!$A$1:$G$49,MATCH(Orders!$G988,Products!$A$1:$A$49,0),MATCH(Orders!M$1,Products!$A$1:$G$1,0))</f>
        <v>M</v>
      </c>
      <c r="N988" s="4">
        <f>INDEX(Products!$A$1:$G$49,MATCH(Orders!$G988,Products!$A$1:$A$49,0),MATCH(Orders!N$1,Products!$A$1:$G$1,0))</f>
        <v>2.5</v>
      </c>
      <c r="O988" s="7">
        <f>INDEX(Products!$A$1:$G$49,MATCH(Orders!$G988,Products!$A$1:$A$49,0),MATCH(Orders!O$1,Products!$A$1:$G$1,0))</f>
        <v>33.464999999999996</v>
      </c>
      <c r="P988" s="7">
        <f t="shared" si="15"/>
        <v>33.464999999999996</v>
      </c>
      <c r="Q988" t="str" cm="1">
        <f t="array" ref="Q988">_xlfn.IFS(L988="Rob","Robusta",L988="Exc", "Excelsa",L988="Ara", "Arabica",L988="Lib", "Liberica")</f>
        <v>Liberica</v>
      </c>
      <c r="R988" t="str" cm="1">
        <f t="array" ref="R988">_xlfn.IFS(M988="M","Medium",M988="L","Light",M988="D","Dark")</f>
        <v>Medium</v>
      </c>
    </row>
    <row r="989" spans="1:18">
      <c r="A989" s="2" t="s">
        <v>1943</v>
      </c>
      <c r="B989" s="3">
        <v>44247</v>
      </c>
      <c r="C989" s="9">
        <f>YEAR(Orders_Table[[#This Row],[Order Date]])</f>
        <v>2021</v>
      </c>
      <c r="D989" s="9">
        <f>MONTH(Orders_Table[[#This Row],[Order Date]])</f>
        <v>2</v>
      </c>
      <c r="E989" s="9" t="str" cm="1">
        <f t="array" ref="E98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89" s="2" t="s">
        <v>1944</v>
      </c>
      <c r="G989" t="s">
        <v>119</v>
      </c>
      <c r="H989" s="2">
        <v>5</v>
      </c>
      <c r="I989" s="2" t="str" cm="1">
        <f t="array" ref="I989">_xlfn.XLOOKUP(F989,Customers!A988:$A$1001,Customers!B988:$B$1001,"Not Found",0)</f>
        <v>Lorianne Kyneton</v>
      </c>
      <c r="J989" s="2" t="str" cm="1">
        <f t="array" ref="J989">IF(_xlfn.XLOOKUP(F989,Customers!A988:$A$1001,Customers!C988:$C$1001,"Not Found",0)=0,"",_xlfn.XLOOKUP(F989,Customers!A988:$A$1001,Customers!C988:$C$1001,"Not Found",0))</f>
        <v>lkynetonrf@macromedia.com</v>
      </c>
      <c r="K989" s="2" t="str" cm="1">
        <f t="array" ref="K989">_xlfn.XLOOKUP(F989,Customers!A988:$A$1001,Customers!G988:$G$1001,"Not Found",0)</f>
        <v>United Kingdom</v>
      </c>
      <c r="L989" t="str">
        <f>INDEX(Products!$A$1:$G$49,MATCH(Orders!$G989,Products!$A$1:$A$49,0),MATCH(Orders!L$1,Products!$A$1:$G$1,0))</f>
        <v>Ara</v>
      </c>
      <c r="M989" t="str">
        <f>INDEX(Products!$A$1:$G$49,MATCH(Orders!$G989,Products!$A$1:$A$49,0),MATCH(Orders!M$1,Products!$A$1:$G$1,0))</f>
        <v>D</v>
      </c>
      <c r="N989" s="4">
        <f>INDEX(Products!$A$1:$G$49,MATCH(Orders!$G989,Products!$A$1:$A$49,0),MATCH(Orders!N$1,Products!$A$1:$G$1,0))</f>
        <v>0.5</v>
      </c>
      <c r="O989" s="7">
        <f>INDEX(Products!$A$1:$G$49,MATCH(Orders!$G989,Products!$A$1:$A$49,0),MATCH(Orders!O$1,Products!$A$1:$G$1,0))</f>
        <v>5.97</v>
      </c>
      <c r="P989" s="7">
        <f t="shared" si="15"/>
        <v>29.849999999999998</v>
      </c>
      <c r="Q989" t="str" cm="1">
        <f t="array" ref="Q989">_xlfn.IFS(L989="Rob","Robusta",L989="Exc", "Excelsa",L989="Ara", "Arabica",L989="Lib", "Liberica")</f>
        <v>Arabica</v>
      </c>
      <c r="R989" t="str" cm="1">
        <f t="array" ref="R989">_xlfn.IFS(M989="M","Medium",M989="L","Light",M989="D","Dark")</f>
        <v>Dark</v>
      </c>
    </row>
    <row r="990" spans="1:18">
      <c r="A990" s="2" t="s">
        <v>1945</v>
      </c>
      <c r="B990" s="3">
        <v>43897</v>
      </c>
      <c r="C990" s="9">
        <f>YEAR(Orders_Table[[#This Row],[Order Date]])</f>
        <v>2020</v>
      </c>
      <c r="D990" s="9">
        <f>MONTH(Orders_Table[[#This Row],[Order Date]])</f>
        <v>3</v>
      </c>
      <c r="E990" s="9" t="str" cm="1">
        <f t="array" ref="E99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90" s="2" t="s">
        <v>1946</v>
      </c>
      <c r="G990" t="s">
        <v>49</v>
      </c>
      <c r="H990" s="2">
        <v>3</v>
      </c>
      <c r="I990" s="2" t="str" cm="1">
        <f t="array" ref="I990">_xlfn.XLOOKUP(F990,Customers!A989:$A$1001,Customers!B989:$B$1001,"Not Found",0)</f>
        <v>Adele McFayden</v>
      </c>
      <c r="J990" s="2" t="str" cm="1">
        <f t="array" ref="J990">IF(_xlfn.XLOOKUP(F990,Customers!A989:$A$1001,Customers!C989:$C$1001,"Not Found",0)=0,"",_xlfn.XLOOKUP(F990,Customers!A989:$A$1001,Customers!C989:$C$1001,"Not Found",0))</f>
        <v/>
      </c>
      <c r="K990" s="2" t="str" cm="1">
        <f t="array" ref="K990">_xlfn.XLOOKUP(F990,Customers!A989:$A$1001,Customers!G989:$G$1001,"Not Found",0)</f>
        <v>United Kingdom</v>
      </c>
      <c r="L990" t="str">
        <f>INDEX(Products!$A$1:$G$49,MATCH(Orders!$G990,Products!$A$1:$A$49,0),MATCH(Orders!L$1,Products!$A$1:$G$1,0))</f>
        <v>Rob</v>
      </c>
      <c r="M990" t="str">
        <f>INDEX(Products!$A$1:$G$49,MATCH(Orders!$G990,Products!$A$1:$A$49,0),MATCH(Orders!M$1,Products!$A$1:$G$1,0))</f>
        <v>M</v>
      </c>
      <c r="N990" s="4">
        <f>INDEX(Products!$A$1:$G$49,MATCH(Orders!$G990,Products!$A$1:$A$49,0),MATCH(Orders!N$1,Products!$A$1:$G$1,0))</f>
        <v>1</v>
      </c>
      <c r="O990" s="7">
        <f>INDEX(Products!$A$1:$G$49,MATCH(Orders!$G990,Products!$A$1:$A$49,0),MATCH(Orders!O$1,Products!$A$1:$G$1,0))</f>
        <v>9.9499999999999993</v>
      </c>
      <c r="P990" s="7">
        <f t="shared" si="15"/>
        <v>29.849999999999998</v>
      </c>
      <c r="Q990" t="str" cm="1">
        <f t="array" ref="Q990">_xlfn.IFS(L990="Rob","Robusta",L990="Exc", "Excelsa",L990="Ara", "Arabica",L990="Lib", "Liberica")</f>
        <v>Robusta</v>
      </c>
      <c r="R990" t="str" cm="1">
        <f t="array" ref="R990">_xlfn.IFS(M990="M","Medium",M990="L","Light",M990="D","Dark")</f>
        <v>Medium</v>
      </c>
    </row>
    <row r="991" spans="1:18">
      <c r="A991" s="2" t="s">
        <v>1947</v>
      </c>
      <c r="B991" s="3">
        <v>43560</v>
      </c>
      <c r="C991" s="9">
        <f>YEAR(Orders_Table[[#This Row],[Order Date]])</f>
        <v>2019</v>
      </c>
      <c r="D991" s="9">
        <f>MONTH(Orders_Table[[#This Row],[Order Date]])</f>
        <v>4</v>
      </c>
      <c r="E991" s="9" t="str" cm="1">
        <f t="array" ref="E99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Apr</v>
      </c>
      <c r="F991" s="2" t="s">
        <v>1948</v>
      </c>
      <c r="G991" t="s">
        <v>218</v>
      </c>
      <c r="H991" s="2">
        <v>6</v>
      </c>
      <c r="I991" s="2" t="str" cm="1">
        <f t="array" ref="I991">_xlfn.XLOOKUP(F991,Customers!A990:$A$1001,Customers!B990:$B$1001,"Not Found",0)</f>
        <v>Herta Layne</v>
      </c>
      <c r="J991" s="2" t="str" cm="1">
        <f t="array" ref="J991">IF(_xlfn.XLOOKUP(F991,Customers!A990:$A$1001,Customers!C990:$C$1001,"Not Found",0)=0,"",_xlfn.XLOOKUP(F991,Customers!A990:$A$1001,Customers!C990:$C$1001,"Not Found",0))</f>
        <v/>
      </c>
      <c r="K991" s="2" t="str" cm="1">
        <f t="array" ref="K991">_xlfn.XLOOKUP(F991,Customers!A990:$A$1001,Customers!G990:$G$1001,"Not Found",0)</f>
        <v>United States</v>
      </c>
      <c r="L991" t="str">
        <f>INDEX(Products!$A$1:$G$49,MATCH(Orders!$G991,Products!$A$1:$A$49,0),MATCH(Orders!L$1,Products!$A$1:$G$1,0))</f>
        <v>Ara</v>
      </c>
      <c r="M991" t="str">
        <f>INDEX(Products!$A$1:$G$49,MATCH(Orders!$G991,Products!$A$1:$A$49,0),MATCH(Orders!M$1,Products!$A$1:$G$1,0))</f>
        <v>M</v>
      </c>
      <c r="N991" s="4">
        <f>INDEX(Products!$A$1:$G$49,MATCH(Orders!$G991,Products!$A$1:$A$49,0),MATCH(Orders!N$1,Products!$A$1:$G$1,0))</f>
        <v>2.5</v>
      </c>
      <c r="O991" s="7">
        <f>INDEX(Products!$A$1:$G$49,MATCH(Orders!$G991,Products!$A$1:$A$49,0),MATCH(Orders!O$1,Products!$A$1:$G$1,0))</f>
        <v>25.874999999999996</v>
      </c>
      <c r="P991" s="7">
        <f t="shared" si="15"/>
        <v>155.24999999999997</v>
      </c>
      <c r="Q991" t="str" cm="1">
        <f t="array" ref="Q991">_xlfn.IFS(L991="Rob","Robusta",L991="Exc", "Excelsa",L991="Ara", "Arabica",L991="Lib", "Liberica")</f>
        <v>Arabica</v>
      </c>
      <c r="R991" t="str" cm="1">
        <f t="array" ref="R991">_xlfn.IFS(M991="M","Medium",M991="L","Light",M991="D","Dark")</f>
        <v>Medium</v>
      </c>
    </row>
    <row r="992" spans="1:18">
      <c r="A992" s="2" t="s">
        <v>1949</v>
      </c>
      <c r="B992" s="3">
        <v>44718</v>
      </c>
      <c r="C992" s="9">
        <f>YEAR(Orders_Table[[#This Row],[Order Date]])</f>
        <v>2022</v>
      </c>
      <c r="D992" s="9">
        <f>MONTH(Orders_Table[[#This Row],[Order Date]])</f>
        <v>6</v>
      </c>
      <c r="E992" s="9" t="str" cm="1">
        <f t="array" ref="E992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92" s="2" t="s">
        <v>1950</v>
      </c>
      <c r="G992" t="s">
        <v>98</v>
      </c>
      <c r="H992" s="2">
        <v>5</v>
      </c>
      <c r="I992" s="2" t="str" cm="1">
        <f t="array" ref="I992">_xlfn.XLOOKUP(F992,Customers!A991:$A$1001,Customers!B991:$B$1001,"Not Found",0)</f>
        <v>Marguerite Graves</v>
      </c>
      <c r="J992" s="2" t="str" cm="1">
        <f t="array" ref="J992">IF(_xlfn.XLOOKUP(F992,Customers!A991:$A$1001,Customers!C991:$C$1001,"Not Found",0)=0,"",_xlfn.XLOOKUP(F992,Customers!A991:$A$1001,Customers!C991:$C$1001,"Not Found",0))</f>
        <v/>
      </c>
      <c r="K992" s="2" t="str" cm="1">
        <f t="array" ref="K992">_xlfn.XLOOKUP(F992,Customers!A991:$A$1001,Customers!G991:$G$1001,"Not Found",0)</f>
        <v>United States</v>
      </c>
      <c r="L992" t="str">
        <f>INDEX(Products!$A$1:$G$49,MATCH(Orders!$G992,Products!$A$1:$A$49,0),MATCH(Orders!L$1,Products!$A$1:$G$1,0))</f>
        <v>Exc</v>
      </c>
      <c r="M992" t="str">
        <f>INDEX(Products!$A$1:$G$49,MATCH(Orders!$G992,Products!$A$1:$A$49,0),MATCH(Orders!M$1,Products!$A$1:$G$1,0))</f>
        <v>D</v>
      </c>
      <c r="N992" s="4">
        <f>INDEX(Products!$A$1:$G$49,MATCH(Orders!$G992,Products!$A$1:$A$49,0),MATCH(Orders!N$1,Products!$A$1:$G$1,0))</f>
        <v>0.2</v>
      </c>
      <c r="O992" s="7">
        <f>INDEX(Products!$A$1:$G$49,MATCH(Orders!$G992,Products!$A$1:$A$49,0),MATCH(Orders!O$1,Products!$A$1:$G$1,0))</f>
        <v>3.645</v>
      </c>
      <c r="P992" s="7">
        <f t="shared" si="15"/>
        <v>18.225000000000001</v>
      </c>
      <c r="Q992" t="str" cm="1">
        <f t="array" ref="Q992">_xlfn.IFS(L992="Rob","Robusta",L992="Exc", "Excelsa",L992="Ara", "Arabica",L992="Lib", "Liberica")</f>
        <v>Excelsa</v>
      </c>
      <c r="R992" t="str" cm="1">
        <f t="array" ref="R992">_xlfn.IFS(M992="M","Medium",M992="L","Light",M992="D","Dark")</f>
        <v>Dark</v>
      </c>
    </row>
    <row r="993" spans="1:18">
      <c r="A993" s="2" t="s">
        <v>1949</v>
      </c>
      <c r="B993" s="3">
        <v>44718</v>
      </c>
      <c r="C993" s="9">
        <f>YEAR(Orders_Table[[#This Row],[Order Date]])</f>
        <v>2022</v>
      </c>
      <c r="D993" s="9">
        <f>MONTH(Orders_Table[[#This Row],[Order Date]])</f>
        <v>6</v>
      </c>
      <c r="E993" s="9" t="str" cm="1">
        <f t="array" ref="E993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Jun</v>
      </c>
      <c r="F993" s="2" t="s">
        <v>1950</v>
      </c>
      <c r="G993" t="s">
        <v>170</v>
      </c>
      <c r="H993" s="2">
        <v>2</v>
      </c>
      <c r="I993" s="2" t="str" cm="1">
        <f t="array" ref="I993">_xlfn.XLOOKUP(F993,Customers!A992:$A$1001,Customers!B992:$B$1001,"Not Found",0)</f>
        <v>Marguerite Graves</v>
      </c>
      <c r="J993" s="2" t="str" cm="1">
        <f t="array" ref="J993">IF(_xlfn.XLOOKUP(F993,Customers!A992:$A$1001,Customers!C992:$C$1001,"Not Found",0)=0,"",_xlfn.XLOOKUP(F993,Customers!A992:$A$1001,Customers!C992:$C$1001,"Not Found",0))</f>
        <v/>
      </c>
      <c r="K993" s="2" t="str" cm="1">
        <f t="array" ref="K993">_xlfn.XLOOKUP(F993,Customers!A992:$A$1001,Customers!G992:$G$1001,"Not Found",0)</f>
        <v>United States</v>
      </c>
      <c r="L993" t="str">
        <f>INDEX(Products!$A$1:$G$49,MATCH(Orders!$G993,Products!$A$1:$A$49,0),MATCH(Orders!L$1,Products!$A$1:$G$1,0))</f>
        <v>Lib</v>
      </c>
      <c r="M993" t="str">
        <f>INDEX(Products!$A$1:$G$49,MATCH(Orders!$G993,Products!$A$1:$A$49,0),MATCH(Orders!M$1,Products!$A$1:$G$1,0))</f>
        <v>D</v>
      </c>
      <c r="N993" s="4">
        <f>INDEX(Products!$A$1:$G$49,MATCH(Orders!$G993,Products!$A$1:$A$49,0),MATCH(Orders!N$1,Products!$A$1:$G$1,0))</f>
        <v>0.5</v>
      </c>
      <c r="O993" s="7">
        <f>INDEX(Products!$A$1:$G$49,MATCH(Orders!$G993,Products!$A$1:$A$49,0),MATCH(Orders!O$1,Products!$A$1:$G$1,0))</f>
        <v>7.77</v>
      </c>
      <c r="P993" s="7">
        <f t="shared" si="15"/>
        <v>15.54</v>
      </c>
      <c r="Q993" t="str" cm="1">
        <f t="array" ref="Q993">_xlfn.IFS(L993="Rob","Robusta",L993="Exc", "Excelsa",L993="Ara", "Arabica",L993="Lib", "Liberica")</f>
        <v>Liberica</v>
      </c>
      <c r="R993" t="str" cm="1">
        <f t="array" ref="R993">_xlfn.IFS(M993="M","Medium",M993="L","Light",M993="D","Dark")</f>
        <v>Dark</v>
      </c>
    </row>
    <row r="994" spans="1:18">
      <c r="A994" s="2" t="s">
        <v>1951</v>
      </c>
      <c r="B994" s="3">
        <v>44276</v>
      </c>
      <c r="C994" s="9">
        <f>YEAR(Orders_Table[[#This Row],[Order Date]])</f>
        <v>2021</v>
      </c>
      <c r="D994" s="9">
        <f>MONTH(Orders_Table[[#This Row],[Order Date]])</f>
        <v>3</v>
      </c>
      <c r="E994" s="9" t="str" cm="1">
        <f t="array" ref="E994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Mar</v>
      </c>
      <c r="F994" s="2" t="s">
        <v>1952</v>
      </c>
      <c r="G994" t="s">
        <v>151</v>
      </c>
      <c r="H994" s="2">
        <v>3</v>
      </c>
      <c r="I994" s="2" t="str" cm="1">
        <f t="array" ref="I994">_xlfn.XLOOKUP(F994,Customers!A993:$A$1001,Customers!B993:$B$1001,"Not Found",0)</f>
        <v>Desdemona Eye</v>
      </c>
      <c r="J994" s="2" t="str" cm="1">
        <f t="array" ref="J994">IF(_xlfn.XLOOKUP(F994,Customers!A993:$A$1001,Customers!C993:$C$1001,"Not Found",0)=0,"",_xlfn.XLOOKUP(F994,Customers!A993:$A$1001,Customers!C993:$C$1001,"Not Found",0))</f>
        <v/>
      </c>
      <c r="K994" s="2" t="str" cm="1">
        <f t="array" ref="K994">_xlfn.XLOOKUP(F994,Customers!A993:$A$1001,Customers!G993:$G$1001,"Not Found",0)</f>
        <v>Ireland</v>
      </c>
      <c r="L994" t="str">
        <f>INDEX(Products!$A$1:$G$49,MATCH(Orders!$G994,Products!$A$1:$A$49,0),MATCH(Orders!L$1,Products!$A$1:$G$1,0))</f>
        <v>Lib</v>
      </c>
      <c r="M994" t="str">
        <f>INDEX(Products!$A$1:$G$49,MATCH(Orders!$G994,Products!$A$1:$A$49,0),MATCH(Orders!M$1,Products!$A$1:$G$1,0))</f>
        <v>L</v>
      </c>
      <c r="N994" s="4">
        <f>INDEX(Products!$A$1:$G$49,MATCH(Orders!$G994,Products!$A$1:$A$49,0),MATCH(Orders!N$1,Products!$A$1:$G$1,0))</f>
        <v>2.5</v>
      </c>
      <c r="O994" s="7">
        <f>INDEX(Products!$A$1:$G$49,MATCH(Orders!$G994,Products!$A$1:$A$49,0),MATCH(Orders!O$1,Products!$A$1:$G$1,0))</f>
        <v>36.454999999999998</v>
      </c>
      <c r="P994" s="7">
        <f t="shared" si="15"/>
        <v>109.36499999999999</v>
      </c>
      <c r="Q994" t="str" cm="1">
        <f t="array" ref="Q994">_xlfn.IFS(L994="Rob","Robusta",L994="Exc", "Excelsa",L994="Ara", "Arabica",L994="Lib", "Liberica")</f>
        <v>Liberica</v>
      </c>
      <c r="R994" t="str" cm="1">
        <f t="array" ref="R994">_xlfn.IFS(M994="M","Medium",M994="L","Light",M994="D","Dark")</f>
        <v>Light</v>
      </c>
    </row>
    <row r="995" spans="1:18">
      <c r="A995" s="2" t="s">
        <v>1953</v>
      </c>
      <c r="B995" s="3">
        <v>44549</v>
      </c>
      <c r="C995" s="9">
        <f>YEAR(Orders_Table[[#This Row],[Order Date]])</f>
        <v>2021</v>
      </c>
      <c r="D995" s="9">
        <f>MONTH(Orders_Table[[#This Row],[Order Date]])</f>
        <v>12</v>
      </c>
      <c r="E995" s="9" t="str" cm="1">
        <f t="array" ref="E995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Dec</v>
      </c>
      <c r="F995" s="2" t="s">
        <v>1954</v>
      </c>
      <c r="G995" t="s">
        <v>53</v>
      </c>
      <c r="H995" s="2">
        <v>6</v>
      </c>
      <c r="I995" s="2" t="str" cm="1">
        <f t="array" ref="I995">_xlfn.XLOOKUP(F995,Customers!A994:$A$1001,Customers!B994:$B$1001,"Not Found",0)</f>
        <v>Margarette Sterland</v>
      </c>
      <c r="J995" s="2" t="str" cm="1">
        <f t="array" ref="J995">IF(_xlfn.XLOOKUP(F995,Customers!A994:$A$1001,Customers!C994:$C$1001,"Not Found",0)=0,"",_xlfn.XLOOKUP(F995,Customers!A994:$A$1001,Customers!C994:$C$1001,"Not Found",0))</f>
        <v/>
      </c>
      <c r="K995" s="2" t="str" cm="1">
        <f t="array" ref="K995">_xlfn.XLOOKUP(F995,Customers!A994:$A$1001,Customers!G994:$G$1001,"Not Found",0)</f>
        <v>United States</v>
      </c>
      <c r="L995" t="str">
        <f>INDEX(Products!$A$1:$G$49,MATCH(Orders!$G995,Products!$A$1:$A$49,0),MATCH(Orders!L$1,Products!$A$1:$G$1,0))</f>
        <v>Ara</v>
      </c>
      <c r="M995" t="str">
        <f>INDEX(Products!$A$1:$G$49,MATCH(Orders!$G995,Products!$A$1:$A$49,0),MATCH(Orders!M$1,Products!$A$1:$G$1,0))</f>
        <v>L</v>
      </c>
      <c r="N995" s="4">
        <f>INDEX(Products!$A$1:$G$49,MATCH(Orders!$G995,Products!$A$1:$A$49,0),MATCH(Orders!N$1,Products!$A$1:$G$1,0))</f>
        <v>1</v>
      </c>
      <c r="O995" s="7">
        <f>INDEX(Products!$A$1:$G$49,MATCH(Orders!$G995,Products!$A$1:$A$49,0),MATCH(Orders!O$1,Products!$A$1:$G$1,0))</f>
        <v>12.95</v>
      </c>
      <c r="P995" s="7">
        <f t="shared" si="15"/>
        <v>77.699999999999989</v>
      </c>
      <c r="Q995" t="str" cm="1">
        <f t="array" ref="Q995">_xlfn.IFS(L995="Rob","Robusta",L995="Exc", "Excelsa",L995="Ara", "Arabica",L995="Lib", "Liberica")</f>
        <v>Arabica</v>
      </c>
      <c r="R995" t="str" cm="1">
        <f t="array" ref="R995">_xlfn.IFS(M995="M","Medium",M995="L","Light",M995="D","Dark")</f>
        <v>Light</v>
      </c>
    </row>
    <row r="996" spans="1:18">
      <c r="A996" s="2" t="s">
        <v>1955</v>
      </c>
      <c r="B996" s="3">
        <v>44244</v>
      </c>
      <c r="C996" s="9">
        <f>YEAR(Orders_Table[[#This Row],[Order Date]])</f>
        <v>2021</v>
      </c>
      <c r="D996" s="9">
        <f>MONTH(Orders_Table[[#This Row],[Order Date]])</f>
        <v>2</v>
      </c>
      <c r="E996" s="9" t="str" cm="1">
        <f t="array" ref="E996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Feb</v>
      </c>
      <c r="F996" s="2" t="s">
        <v>1956</v>
      </c>
      <c r="G996" t="s">
        <v>101</v>
      </c>
      <c r="H996" s="2">
        <v>3</v>
      </c>
      <c r="I996" s="2" t="str" cm="1">
        <f t="array" ref="I996">_xlfn.XLOOKUP(F996,Customers!A995:$A$1001,Customers!B995:$B$1001,"Not Found",0)</f>
        <v>Catharine Scoines</v>
      </c>
      <c r="J996" s="2" t="str" cm="1">
        <f t="array" ref="J996">IF(_xlfn.XLOOKUP(F996,Customers!A995:$A$1001,Customers!C995:$C$1001,"Not Found",0)=0,"",_xlfn.XLOOKUP(F996,Customers!A995:$A$1001,Customers!C995:$C$1001,"Not Found",0))</f>
        <v/>
      </c>
      <c r="K996" s="2" t="str" cm="1">
        <f t="array" ref="K996">_xlfn.XLOOKUP(F996,Customers!A995:$A$1001,Customers!G995:$G$1001,"Not Found",0)</f>
        <v>Ireland</v>
      </c>
      <c r="L996" t="str">
        <f>INDEX(Products!$A$1:$G$49,MATCH(Orders!$G996,Products!$A$1:$A$49,0),MATCH(Orders!L$1,Products!$A$1:$G$1,0))</f>
        <v>Ara</v>
      </c>
      <c r="M996" t="str">
        <f>INDEX(Products!$A$1:$G$49,MATCH(Orders!$G996,Products!$A$1:$A$49,0),MATCH(Orders!M$1,Products!$A$1:$G$1,0))</f>
        <v>D</v>
      </c>
      <c r="N996" s="4">
        <f>INDEX(Products!$A$1:$G$49,MATCH(Orders!$G996,Products!$A$1:$A$49,0),MATCH(Orders!N$1,Products!$A$1:$G$1,0))</f>
        <v>0.2</v>
      </c>
      <c r="O996" s="7">
        <f>INDEX(Products!$A$1:$G$49,MATCH(Orders!$G996,Products!$A$1:$A$49,0),MATCH(Orders!O$1,Products!$A$1:$G$1,0))</f>
        <v>2.9849999999999999</v>
      </c>
      <c r="P996" s="7">
        <f t="shared" si="15"/>
        <v>8.9550000000000001</v>
      </c>
      <c r="Q996" t="str" cm="1">
        <f t="array" ref="Q996">_xlfn.IFS(L996="Rob","Robusta",L996="Exc", "Excelsa",L996="Ara", "Arabica",L996="Lib", "Liberica")</f>
        <v>Arabica</v>
      </c>
      <c r="R996" t="str" cm="1">
        <f t="array" ref="R996">_xlfn.IFS(M996="M","Medium",M996="L","Light",M996="D","Dark")</f>
        <v>Dark</v>
      </c>
    </row>
    <row r="997" spans="1:18">
      <c r="A997" s="2" t="s">
        <v>1957</v>
      </c>
      <c r="B997" s="3">
        <v>43836</v>
      </c>
      <c r="C997" s="9">
        <f>YEAR(Orders_Table[[#This Row],[Order Date]])</f>
        <v>2020</v>
      </c>
      <c r="D997" s="9">
        <f>MONTH(Orders_Table[[#This Row],[Order Date]])</f>
        <v>1</v>
      </c>
      <c r="E997" s="9" t="str" cm="1">
        <f t="array" ref="E997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Jan</v>
      </c>
      <c r="F997" s="2" t="s">
        <v>1958</v>
      </c>
      <c r="G997" t="s">
        <v>57</v>
      </c>
      <c r="H997" s="2">
        <v>1</v>
      </c>
      <c r="I997" s="2" t="str" cm="1">
        <f t="array" ref="I997">_xlfn.XLOOKUP(F997,Customers!A996:$A$1001,Customers!B996:$B$1001,"Not Found",0)</f>
        <v>Jennica Tewelson</v>
      </c>
      <c r="J997" s="2" t="str" cm="1">
        <f t="array" ref="J997">IF(_xlfn.XLOOKUP(F997,Customers!A996:$A$1001,Customers!C996:$C$1001,"Not Found",0)=0,"",_xlfn.XLOOKUP(F997,Customers!A996:$A$1001,Customers!C996:$C$1001,"Not Found",0))</f>
        <v>jtewelsonrn@samsung.com</v>
      </c>
      <c r="K997" s="2" t="str" cm="1">
        <f t="array" ref="K997">_xlfn.XLOOKUP(F997,Customers!A996:$A$1001,Customers!G996:$G$1001,"Not Found",0)</f>
        <v>United States</v>
      </c>
      <c r="L997" t="str">
        <f>INDEX(Products!$A$1:$G$49,MATCH(Orders!$G997,Products!$A$1:$A$49,0),MATCH(Orders!L$1,Products!$A$1:$G$1,0))</f>
        <v>Rob</v>
      </c>
      <c r="M997" t="str">
        <f>INDEX(Products!$A$1:$G$49,MATCH(Orders!$G997,Products!$A$1:$A$49,0),MATCH(Orders!M$1,Products!$A$1:$G$1,0))</f>
        <v>L</v>
      </c>
      <c r="N997" s="4">
        <f>INDEX(Products!$A$1:$G$49,MATCH(Orders!$G997,Products!$A$1:$A$49,0),MATCH(Orders!N$1,Products!$A$1:$G$1,0))</f>
        <v>2.5</v>
      </c>
      <c r="O997" s="7">
        <f>INDEX(Products!$A$1:$G$49,MATCH(Orders!$G997,Products!$A$1:$A$49,0),MATCH(Orders!O$1,Products!$A$1:$G$1,0))</f>
        <v>27.484999999999996</v>
      </c>
      <c r="P997" s="7">
        <f t="shared" si="15"/>
        <v>27.484999999999996</v>
      </c>
      <c r="Q997" t="str" cm="1">
        <f t="array" ref="Q997">_xlfn.IFS(L997="Rob","Robusta",L997="Exc", "Excelsa",L997="Ara", "Arabica",L997="Lib", "Liberica")</f>
        <v>Robusta</v>
      </c>
      <c r="R997" t="str" cm="1">
        <f t="array" ref="R997">_xlfn.IFS(M997="M","Medium",M997="L","Light",M997="D","Dark")</f>
        <v>Light</v>
      </c>
    </row>
    <row r="998" spans="1:18">
      <c r="A998" s="2" t="s">
        <v>1959</v>
      </c>
      <c r="B998" s="3">
        <v>44685</v>
      </c>
      <c r="C998" s="9">
        <f>YEAR(Orders_Table[[#This Row],[Order Date]])</f>
        <v>2022</v>
      </c>
      <c r="D998" s="9">
        <f>MONTH(Orders_Table[[#This Row],[Order Date]])</f>
        <v>5</v>
      </c>
      <c r="E998" s="9" t="str" cm="1">
        <f t="array" ref="E998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May</v>
      </c>
      <c r="F998" s="2" t="s">
        <v>1950</v>
      </c>
      <c r="G998" t="s">
        <v>69</v>
      </c>
      <c r="H998" s="2">
        <v>5</v>
      </c>
      <c r="I998" s="2" t="str" cm="1">
        <f t="array" ref="I998">_xlfn.XLOOKUP(F998,Customers!A997:$A$1001,Customers!B997:$B$1001,"Not Found",0)</f>
        <v>Marguerite Graves</v>
      </c>
      <c r="J998" s="2" t="str" cm="1">
        <f t="array" ref="J998">IF(_xlfn.XLOOKUP(F998,Customers!A997:$A$1001,Customers!C997:$C$1001,"Not Found",0)=0,"",_xlfn.XLOOKUP(F998,Customers!A997:$A$1001,Customers!C997:$C$1001,"Not Found",0))</f>
        <v/>
      </c>
      <c r="K998" s="2" t="str" cm="1">
        <f t="array" ref="K998">_xlfn.XLOOKUP(F998,Customers!A997:$A$1001,Customers!G997:$G$1001,"Not Found",0)</f>
        <v>United States</v>
      </c>
      <c r="L998" t="str">
        <f>INDEX(Products!$A$1:$G$49,MATCH(Orders!$G998,Products!$A$1:$A$49,0),MATCH(Orders!L$1,Products!$A$1:$G$1,0))</f>
        <v>Rob</v>
      </c>
      <c r="M998" t="str">
        <f>INDEX(Products!$A$1:$G$49,MATCH(Orders!$G998,Products!$A$1:$A$49,0),MATCH(Orders!M$1,Products!$A$1:$G$1,0))</f>
        <v>M</v>
      </c>
      <c r="N998" s="4">
        <f>INDEX(Products!$A$1:$G$49,MATCH(Orders!$G998,Products!$A$1:$A$49,0),MATCH(Orders!N$1,Products!$A$1:$G$1,0))</f>
        <v>0.5</v>
      </c>
      <c r="O998" s="7">
        <f>INDEX(Products!$A$1:$G$49,MATCH(Orders!$G998,Products!$A$1:$A$49,0),MATCH(Orders!O$1,Products!$A$1:$G$1,0))</f>
        <v>5.97</v>
      </c>
      <c r="P998" s="7">
        <f t="shared" si="15"/>
        <v>29.849999999999998</v>
      </c>
      <c r="Q998" t="str" cm="1">
        <f t="array" ref="Q998">_xlfn.IFS(L998="Rob","Robusta",L998="Exc", "Excelsa",L998="Ara", "Arabica",L998="Lib", "Liberica")</f>
        <v>Robusta</v>
      </c>
      <c r="R998" t="str" cm="1">
        <f t="array" ref="R998">_xlfn.IFS(M998="M","Medium",M998="L","Light",M998="D","Dark")</f>
        <v>Medium</v>
      </c>
    </row>
    <row r="999" spans="1:18">
      <c r="A999" s="2" t="s">
        <v>1960</v>
      </c>
      <c r="B999" s="3">
        <v>43749</v>
      </c>
      <c r="C999" s="9">
        <f>YEAR(Orders_Table[[#This Row],[Order Date]])</f>
        <v>2019</v>
      </c>
      <c r="D999" s="9">
        <f>MONTH(Orders_Table[[#This Row],[Order Date]])</f>
        <v>10</v>
      </c>
      <c r="E999" s="9" t="str" cm="1">
        <f t="array" ref="E999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999" s="2" t="s">
        <v>1950</v>
      </c>
      <c r="G999" t="s">
        <v>114</v>
      </c>
      <c r="H999" s="2">
        <v>4</v>
      </c>
      <c r="I999" s="2" t="str" cm="1">
        <f t="array" ref="I999">_xlfn.XLOOKUP(F999,Customers!A998:$A$1001,Customers!B998:$B$1001,"Not Found",0)</f>
        <v>Marguerite Graves</v>
      </c>
      <c r="J999" s="2" t="str" cm="1">
        <f t="array" ref="J999">IF(_xlfn.XLOOKUP(F999,Customers!A998:$A$1001,Customers!C998:$C$1001,"Not Found",0)=0,"",_xlfn.XLOOKUP(F999,Customers!A998:$A$1001,Customers!C998:$C$1001,"Not Found",0))</f>
        <v/>
      </c>
      <c r="K999" s="2" t="str" cm="1">
        <f t="array" ref="K999">_xlfn.XLOOKUP(F999,Customers!A998:$A$1001,Customers!G998:$G$1001,"Not Found",0)</f>
        <v>United States</v>
      </c>
      <c r="L999" t="str">
        <f>INDEX(Products!$A$1:$G$49,MATCH(Orders!$G999,Products!$A$1:$A$49,0),MATCH(Orders!L$1,Products!$A$1:$G$1,0))</f>
        <v>Ara</v>
      </c>
      <c r="M999" t="str">
        <f>INDEX(Products!$A$1:$G$49,MATCH(Orders!$G999,Products!$A$1:$A$49,0),MATCH(Orders!M$1,Products!$A$1:$G$1,0))</f>
        <v>M</v>
      </c>
      <c r="N999" s="4">
        <f>INDEX(Products!$A$1:$G$49,MATCH(Orders!$G999,Products!$A$1:$A$49,0),MATCH(Orders!N$1,Products!$A$1:$G$1,0))</f>
        <v>0.5</v>
      </c>
      <c r="O999" s="7">
        <f>INDEX(Products!$A$1:$G$49,MATCH(Orders!$G999,Products!$A$1:$A$49,0),MATCH(Orders!O$1,Products!$A$1:$G$1,0))</f>
        <v>6.75</v>
      </c>
      <c r="P999" s="7">
        <f t="shared" si="15"/>
        <v>27</v>
      </c>
      <c r="Q999" t="str" cm="1">
        <f t="array" ref="Q999">_xlfn.IFS(L999="Rob","Robusta",L999="Exc", "Excelsa",L999="Ara", "Arabica",L999="Lib", "Liberica")</f>
        <v>Arabica</v>
      </c>
      <c r="R999" t="str" cm="1">
        <f t="array" ref="R999">_xlfn.IFS(M999="M","Medium",M999="L","Light",M999="D","Dark")</f>
        <v>Medium</v>
      </c>
    </row>
    <row r="1000" spans="1:18">
      <c r="A1000" s="2" t="s">
        <v>1961</v>
      </c>
      <c r="B1000" s="3">
        <v>44411</v>
      </c>
      <c r="C1000" s="9">
        <f>YEAR(Orders_Table[[#This Row],[Order Date]])</f>
        <v>2021</v>
      </c>
      <c r="D1000" s="9">
        <f>MONTH(Orders_Table[[#This Row],[Order Date]])</f>
        <v>8</v>
      </c>
      <c r="E1000" s="9" t="str" cm="1">
        <f t="array" ref="E1000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Aug</v>
      </c>
      <c r="F1000" s="2" t="s">
        <v>1962</v>
      </c>
      <c r="G1000" t="s">
        <v>74</v>
      </c>
      <c r="H1000" s="2">
        <v>1</v>
      </c>
      <c r="I1000" s="2" t="str" cm="1">
        <f t="array" ref="I1000">_xlfn.XLOOKUP(F1000,Customers!A999:$A$1001,Customers!B999:$B$1001,"Not Found",0)</f>
        <v>Nicolina Jenny</v>
      </c>
      <c r="J1000" s="2" t="str" cm="1">
        <f t="array" ref="J1000">IF(_xlfn.XLOOKUP(F1000,Customers!A999:$A$1001,Customers!C999:$C$1001,"Not Found",0)=0,"",_xlfn.XLOOKUP(F1000,Customers!A999:$A$1001,Customers!C999:$C$1001,"Not Found",0))</f>
        <v>njennyrq@bigcartel.com</v>
      </c>
      <c r="K1000" s="2" t="str" cm="1">
        <f t="array" ref="K1000">_xlfn.XLOOKUP(F1000,Customers!A999:$A$1001,Customers!G999:$G$1001,"Not Found",0)</f>
        <v>United States</v>
      </c>
      <c r="L1000" t="str">
        <f>INDEX(Products!$A$1:$G$49,MATCH(Orders!$G1000,Products!$A$1:$A$49,0),MATCH(Orders!L$1,Products!$A$1:$G$1,0))</f>
        <v>Ara</v>
      </c>
      <c r="M1000" t="str">
        <f>INDEX(Products!$A$1:$G$49,MATCH(Orders!$G1000,Products!$A$1:$A$49,0),MATCH(Orders!M$1,Products!$A$1:$G$1,0))</f>
        <v>D</v>
      </c>
      <c r="N1000" s="4">
        <f>INDEX(Products!$A$1:$G$49,MATCH(Orders!$G1000,Products!$A$1:$A$49,0),MATCH(Orders!N$1,Products!$A$1:$G$1,0))</f>
        <v>1</v>
      </c>
      <c r="O1000" s="7">
        <f>INDEX(Products!$A$1:$G$49,MATCH(Orders!$G1000,Products!$A$1:$A$49,0),MATCH(Orders!O$1,Products!$A$1:$G$1,0))</f>
        <v>9.9499999999999993</v>
      </c>
      <c r="P1000" s="7">
        <f t="shared" si="15"/>
        <v>9.9499999999999993</v>
      </c>
      <c r="Q1000" t="str" cm="1">
        <f t="array" ref="Q1000">_xlfn.IFS(L1000="Rob","Robusta",L1000="Exc", "Excelsa",L1000="Ara", "Arabica",L1000="Lib", "Liberica")</f>
        <v>Arabica</v>
      </c>
      <c r="R1000" t="str" cm="1">
        <f t="array" ref="R1000">_xlfn.IFS(M1000="M","Medium",M1000="L","Light",M1000="D","Dark")</f>
        <v>Dark</v>
      </c>
    </row>
    <row r="1001" spans="1:18">
      <c r="A1001" s="2" t="s">
        <v>1963</v>
      </c>
      <c r="B1001" s="3">
        <v>44119</v>
      </c>
      <c r="C1001" s="9">
        <f>YEAR(Orders_Table[[#This Row],[Order Date]])</f>
        <v>2020</v>
      </c>
      <c r="D1001" s="9">
        <f>MONTH(Orders_Table[[#This Row],[Order Date]])</f>
        <v>10</v>
      </c>
      <c r="E1001" s="9" t="str" cm="1">
        <f t="array" ref="E1001">_xlfn.IFS(Orders_Table[[#This Row],[Month Number]]=1,"Jan",Orders_Table[[#This Row],[Month Number]]=2,"Feb",Orders_Table[[#This Row],[Month Number]]=3,"Mar",Orders_Table[[#This Row],[Month Number]]=4,"Apr",Orders_Table[[#This Row],[Month Number]]=5,"May",Orders_Table[[#This Row],[Month Number]]=6,"Jun",Orders_Table[[#This Row],[Month Number]]=7,"Jul",Orders_Table[[#This Row],[Month Number]]=8,"Aug",Orders_Table[[#This Row],[Month Number]]=9,"Sep",Orders_Table[[#This Row],[Month Number]]=10,"Oct",Orders_Table[[#This Row],[Month Number]]=11,"Nov",Orders_Table[[#This Row],[Month Number]]=12,"Dec")</f>
        <v>Oct</v>
      </c>
      <c r="F1001" s="2" t="s">
        <v>1964</v>
      </c>
      <c r="G1001" t="s">
        <v>111</v>
      </c>
      <c r="H1001" s="2">
        <v>3</v>
      </c>
      <c r="I1001" s="2" t="str" cm="1">
        <f t="array" ref="I1001">_xlfn.XLOOKUP(F1001,Customers!A1000:$A$1001,Customers!B1000:$B$1001,"Not Found",0)</f>
        <v>Vidovic Antonelli</v>
      </c>
      <c r="J1001" s="2" t="str" cm="1">
        <f t="array" ref="J1001">IF(_xlfn.XLOOKUP(F1001,Customers!A1000:$A$1001,Customers!C1000:$C$1001,"Not Found",0)=0,"",_xlfn.XLOOKUP(F1001,Customers!A1000:$A$1001,Customers!C1000:$C$1001,"Not Found",0))</f>
        <v/>
      </c>
      <c r="K1001" s="2" t="str" cm="1">
        <f t="array" ref="K1001">_xlfn.XLOOKUP(F1001,Customers!A1000:$A$1001,Customers!G1000:$G$1001,"Not Found",0)</f>
        <v>United Kingdom</v>
      </c>
      <c r="L1001" t="str">
        <f>INDEX(Products!$A$1:$G$49,MATCH(Orders!$G1001,Products!$A$1:$A$49,0),MATCH(Orders!L$1,Products!$A$1:$G$1,0))</f>
        <v>Exc</v>
      </c>
      <c r="M1001" t="str">
        <f>INDEX(Products!$A$1:$G$49,MATCH(Orders!$G1001,Products!$A$1:$A$49,0),MATCH(Orders!M$1,Products!$A$1:$G$1,0))</f>
        <v>M</v>
      </c>
      <c r="N1001" s="4">
        <f>INDEX(Products!$A$1:$G$49,MATCH(Orders!$G1001,Products!$A$1:$A$49,0),MATCH(Orders!N$1,Products!$A$1:$G$1,0))</f>
        <v>0.2</v>
      </c>
      <c r="O1001" s="7">
        <f>INDEX(Products!$A$1:$G$49,MATCH(Orders!$G1001,Products!$A$1:$A$49,0),MATCH(Orders!O$1,Products!$A$1:$G$1,0))</f>
        <v>4.125</v>
      </c>
      <c r="P1001" s="7">
        <f t="shared" si="15"/>
        <v>12.375</v>
      </c>
      <c r="Q1001" t="str" cm="1">
        <f t="array" ref="Q1001">_xlfn.IFS(L1001="Rob","Robusta",L1001="Exc", "Excelsa",L1001="Ara", "Arabica",L1001="Lib", "Liberica")</f>
        <v>Excelsa</v>
      </c>
      <c r="R1001" t="str" cm="1">
        <f t="array" ref="R1001">_xlfn.IFS(M1001="M","Medium",M1001="L","Light",M1001="D","Dark")</f>
        <v>Medium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C140-9B74-4AAE-ACEB-C2EAABE557FC}">
  <dimension ref="A1:E1001"/>
  <sheetViews>
    <sheetView workbookViewId="0">
      <selection activeCell="J9" sqref="J9"/>
    </sheetView>
  </sheetViews>
  <sheetFormatPr defaultRowHeight="15"/>
  <cols>
    <col min="2" max="2" width="10.140625" bestFit="1" customWidth="1"/>
    <col min="3" max="3" width="15.140625" bestFit="1" customWidth="1"/>
  </cols>
  <sheetData>
    <row r="1" spans="1:5">
      <c r="A1" s="5" t="s">
        <v>34</v>
      </c>
      <c r="B1" s="5" t="s">
        <v>35</v>
      </c>
      <c r="C1" s="5" t="s">
        <v>37</v>
      </c>
      <c r="D1" s="5" t="s">
        <v>38</v>
      </c>
      <c r="E1" s="5" t="s">
        <v>39</v>
      </c>
    </row>
    <row r="2" spans="1:5">
      <c r="A2" s="5" t="s">
        <v>47</v>
      </c>
      <c r="B2" s="6">
        <v>43713</v>
      </c>
      <c r="C2" s="5" t="s">
        <v>48</v>
      </c>
      <c r="D2" s="5" t="s">
        <v>49</v>
      </c>
      <c r="E2" s="5">
        <v>2</v>
      </c>
    </row>
    <row r="3" spans="1:5">
      <c r="A3" s="5" t="s">
        <v>47</v>
      </c>
      <c r="B3" s="6">
        <v>43713</v>
      </c>
      <c r="C3" s="5" t="s">
        <v>48</v>
      </c>
      <c r="D3" s="5" t="s">
        <v>50</v>
      </c>
      <c r="E3" s="5">
        <v>5</v>
      </c>
    </row>
    <row r="4" spans="1:5">
      <c r="A4" s="5" t="s">
        <v>51</v>
      </c>
      <c r="B4" s="6">
        <v>44364</v>
      </c>
      <c r="C4" s="5" t="s">
        <v>52</v>
      </c>
      <c r="D4" s="5" t="s">
        <v>53</v>
      </c>
      <c r="E4" s="5">
        <v>1</v>
      </c>
    </row>
    <row r="5" spans="1:5">
      <c r="A5" s="5" t="s">
        <v>54</v>
      </c>
      <c r="B5" s="6">
        <v>44392</v>
      </c>
      <c r="C5" s="5" t="s">
        <v>55</v>
      </c>
      <c r="D5" s="5" t="s">
        <v>56</v>
      </c>
      <c r="E5" s="5">
        <v>2</v>
      </c>
    </row>
    <row r="6" spans="1:5">
      <c r="A6" s="5" t="s">
        <v>54</v>
      </c>
      <c r="B6" s="6">
        <v>44392</v>
      </c>
      <c r="C6" s="5" t="s">
        <v>55</v>
      </c>
      <c r="D6" s="5" t="s">
        <v>57</v>
      </c>
      <c r="E6" s="5">
        <v>2</v>
      </c>
    </row>
    <row r="7" spans="1:5">
      <c r="A7" s="5" t="s">
        <v>58</v>
      </c>
      <c r="B7" s="6">
        <v>44412</v>
      </c>
      <c r="C7" s="5" t="s">
        <v>59</v>
      </c>
      <c r="D7" s="5" t="s">
        <v>60</v>
      </c>
      <c r="E7" s="5">
        <v>3</v>
      </c>
    </row>
    <row r="8" spans="1:5">
      <c r="A8" s="5" t="s">
        <v>61</v>
      </c>
      <c r="B8" s="6">
        <v>44582</v>
      </c>
      <c r="C8" s="5" t="s">
        <v>62</v>
      </c>
      <c r="D8" s="5" t="s">
        <v>63</v>
      </c>
      <c r="E8" s="5">
        <v>3</v>
      </c>
    </row>
    <row r="9" spans="1:5">
      <c r="A9" s="5" t="s">
        <v>64</v>
      </c>
      <c r="B9" s="6">
        <v>44701</v>
      </c>
      <c r="C9" s="5" t="s">
        <v>65</v>
      </c>
      <c r="D9" s="5" t="s">
        <v>66</v>
      </c>
      <c r="E9" s="5">
        <v>1</v>
      </c>
    </row>
    <row r="10" spans="1:5">
      <c r="A10" s="5" t="s">
        <v>67</v>
      </c>
      <c r="B10" s="6">
        <v>43467</v>
      </c>
      <c r="C10" s="5" t="s">
        <v>68</v>
      </c>
      <c r="D10" s="5" t="s">
        <v>69</v>
      </c>
      <c r="E10" s="5">
        <v>3</v>
      </c>
    </row>
    <row r="11" spans="1:5">
      <c r="A11" s="5" t="s">
        <v>70</v>
      </c>
      <c r="B11" s="6">
        <v>43713</v>
      </c>
      <c r="C11" s="5" t="s">
        <v>71</v>
      </c>
      <c r="D11" s="5" t="s">
        <v>69</v>
      </c>
      <c r="E11" s="5">
        <v>1</v>
      </c>
    </row>
    <row r="12" spans="1:5">
      <c r="A12" s="5" t="s">
        <v>72</v>
      </c>
      <c r="B12" s="6">
        <v>44263</v>
      </c>
      <c r="C12" s="5" t="s">
        <v>73</v>
      </c>
      <c r="D12" s="5" t="s">
        <v>74</v>
      </c>
      <c r="E12" s="5">
        <v>4</v>
      </c>
    </row>
    <row r="13" spans="1:5">
      <c r="A13" s="5" t="s">
        <v>75</v>
      </c>
      <c r="B13" s="6">
        <v>44132</v>
      </c>
      <c r="C13" s="5" t="s">
        <v>76</v>
      </c>
      <c r="D13" s="5" t="s">
        <v>77</v>
      </c>
      <c r="E13" s="5">
        <v>5</v>
      </c>
    </row>
    <row r="14" spans="1:5">
      <c r="A14" s="5" t="s">
        <v>78</v>
      </c>
      <c r="B14" s="6">
        <v>44744</v>
      </c>
      <c r="C14" s="5" t="s">
        <v>79</v>
      </c>
      <c r="D14" s="5" t="s">
        <v>49</v>
      </c>
      <c r="E14" s="5">
        <v>5</v>
      </c>
    </row>
    <row r="15" spans="1:5">
      <c r="A15" s="5" t="s">
        <v>80</v>
      </c>
      <c r="B15" s="6">
        <v>43973</v>
      </c>
      <c r="C15" s="5" t="s">
        <v>81</v>
      </c>
      <c r="D15" s="5" t="s">
        <v>82</v>
      </c>
      <c r="E15" s="5">
        <v>2</v>
      </c>
    </row>
    <row r="16" spans="1:5">
      <c r="A16" s="5" t="s">
        <v>83</v>
      </c>
      <c r="B16" s="6">
        <v>44656</v>
      </c>
      <c r="C16" s="5" t="s">
        <v>84</v>
      </c>
      <c r="D16" s="5" t="s">
        <v>85</v>
      </c>
      <c r="E16" s="5">
        <v>3</v>
      </c>
    </row>
    <row r="17" spans="1:5">
      <c r="A17" s="5" t="s">
        <v>86</v>
      </c>
      <c r="B17" s="6">
        <v>44719</v>
      </c>
      <c r="C17" s="5" t="s">
        <v>87</v>
      </c>
      <c r="D17" s="5" t="s">
        <v>88</v>
      </c>
      <c r="E17" s="5">
        <v>5</v>
      </c>
    </row>
    <row r="18" spans="1:5">
      <c r="A18" s="5" t="s">
        <v>89</v>
      </c>
      <c r="B18" s="6">
        <v>43544</v>
      </c>
      <c r="C18" s="5" t="s">
        <v>90</v>
      </c>
      <c r="D18" s="5" t="s">
        <v>91</v>
      </c>
      <c r="E18" s="5">
        <v>6</v>
      </c>
    </row>
    <row r="19" spans="1:5">
      <c r="A19" s="5" t="s">
        <v>92</v>
      </c>
      <c r="B19" s="6">
        <v>43757</v>
      </c>
      <c r="C19" s="5" t="s">
        <v>93</v>
      </c>
      <c r="D19" s="5" t="s">
        <v>53</v>
      </c>
      <c r="E19" s="5">
        <v>6</v>
      </c>
    </row>
    <row r="20" spans="1:5">
      <c r="A20" s="5" t="s">
        <v>94</v>
      </c>
      <c r="B20" s="6">
        <v>43629</v>
      </c>
      <c r="C20" s="5" t="s">
        <v>95</v>
      </c>
      <c r="D20" s="5" t="s">
        <v>82</v>
      </c>
      <c r="E20" s="5">
        <v>4</v>
      </c>
    </row>
    <row r="21" spans="1:5">
      <c r="A21" s="5" t="s">
        <v>96</v>
      </c>
      <c r="B21" s="6">
        <v>44169</v>
      </c>
      <c r="C21" s="5" t="s">
        <v>97</v>
      </c>
      <c r="D21" s="5" t="s">
        <v>91</v>
      </c>
      <c r="E21" s="5">
        <v>5</v>
      </c>
    </row>
    <row r="22" spans="1:5">
      <c r="A22" s="5" t="s">
        <v>96</v>
      </c>
      <c r="B22" s="6">
        <v>44169</v>
      </c>
      <c r="C22" s="5" t="s">
        <v>97</v>
      </c>
      <c r="D22" s="5" t="s">
        <v>98</v>
      </c>
      <c r="E22" s="5">
        <v>4</v>
      </c>
    </row>
    <row r="23" spans="1:5">
      <c r="A23" s="5" t="s">
        <v>99</v>
      </c>
      <c r="B23" s="6">
        <v>44169</v>
      </c>
      <c r="C23" s="5" t="s">
        <v>100</v>
      </c>
      <c r="D23" s="5" t="s">
        <v>101</v>
      </c>
      <c r="E23" s="5">
        <v>6</v>
      </c>
    </row>
    <row r="24" spans="1:5">
      <c r="A24" s="5" t="s">
        <v>102</v>
      </c>
      <c r="B24" s="6">
        <v>44218</v>
      </c>
      <c r="C24" s="5" t="s">
        <v>103</v>
      </c>
      <c r="D24" s="5" t="s">
        <v>88</v>
      </c>
      <c r="E24" s="5">
        <v>4</v>
      </c>
    </row>
    <row r="25" spans="1:5">
      <c r="A25" s="5" t="s">
        <v>104</v>
      </c>
      <c r="B25" s="6">
        <v>44603</v>
      </c>
      <c r="C25" s="5" t="s">
        <v>105</v>
      </c>
      <c r="D25" s="5" t="s">
        <v>101</v>
      </c>
      <c r="E25" s="5">
        <v>4</v>
      </c>
    </row>
    <row r="26" spans="1:5">
      <c r="A26" s="5" t="s">
        <v>106</v>
      </c>
      <c r="B26" s="6">
        <v>44454</v>
      </c>
      <c r="C26" s="5" t="s">
        <v>107</v>
      </c>
      <c r="D26" s="5" t="s">
        <v>108</v>
      </c>
      <c r="E26" s="5">
        <v>1</v>
      </c>
    </row>
    <row r="27" spans="1:5">
      <c r="A27" s="5" t="s">
        <v>109</v>
      </c>
      <c r="B27" s="6">
        <v>44128</v>
      </c>
      <c r="C27" s="5" t="s">
        <v>110</v>
      </c>
      <c r="D27" s="5" t="s">
        <v>111</v>
      </c>
      <c r="E27" s="5">
        <v>3</v>
      </c>
    </row>
    <row r="28" spans="1:5">
      <c r="A28" s="5" t="s">
        <v>112</v>
      </c>
      <c r="B28" s="6">
        <v>43516</v>
      </c>
      <c r="C28" s="5" t="s">
        <v>113</v>
      </c>
      <c r="D28" s="5" t="s">
        <v>114</v>
      </c>
      <c r="E28" s="5">
        <v>4</v>
      </c>
    </row>
    <row r="29" spans="1:5">
      <c r="A29" s="5" t="s">
        <v>115</v>
      </c>
      <c r="B29" s="6">
        <v>43746</v>
      </c>
      <c r="C29" s="5" t="s">
        <v>116</v>
      </c>
      <c r="D29" s="5" t="s">
        <v>91</v>
      </c>
      <c r="E29" s="5">
        <v>5</v>
      </c>
    </row>
    <row r="30" spans="1:5">
      <c r="A30" s="5" t="s">
        <v>117</v>
      </c>
      <c r="B30" s="6">
        <v>44775</v>
      </c>
      <c r="C30" s="5" t="s">
        <v>118</v>
      </c>
      <c r="D30" s="5" t="s">
        <v>119</v>
      </c>
      <c r="E30" s="5">
        <v>3</v>
      </c>
    </row>
    <row r="31" spans="1:5">
      <c r="A31" s="5" t="s">
        <v>120</v>
      </c>
      <c r="B31" s="6">
        <v>43516</v>
      </c>
      <c r="C31" s="5" t="s">
        <v>121</v>
      </c>
      <c r="D31" s="5" t="s">
        <v>74</v>
      </c>
      <c r="E31" s="5">
        <v>4</v>
      </c>
    </row>
    <row r="32" spans="1:5">
      <c r="A32" s="5" t="s">
        <v>122</v>
      </c>
      <c r="B32" s="6">
        <v>44464</v>
      </c>
      <c r="C32" s="5" t="s">
        <v>123</v>
      </c>
      <c r="D32" s="5" t="s">
        <v>124</v>
      </c>
      <c r="E32" s="5">
        <v>5</v>
      </c>
    </row>
    <row r="33" spans="1:5">
      <c r="A33" s="5" t="s">
        <v>122</v>
      </c>
      <c r="B33" s="6">
        <v>44464</v>
      </c>
      <c r="C33" s="5" t="s">
        <v>123</v>
      </c>
      <c r="D33" s="5" t="s">
        <v>119</v>
      </c>
      <c r="E33" s="5">
        <v>6</v>
      </c>
    </row>
    <row r="34" spans="1:5">
      <c r="A34" s="5" t="s">
        <v>122</v>
      </c>
      <c r="B34" s="6">
        <v>44464</v>
      </c>
      <c r="C34" s="5" t="s">
        <v>123</v>
      </c>
      <c r="D34" s="5" t="s">
        <v>125</v>
      </c>
      <c r="E34" s="5">
        <v>6</v>
      </c>
    </row>
    <row r="35" spans="1:5">
      <c r="A35" s="5" t="s">
        <v>126</v>
      </c>
      <c r="B35" s="6">
        <v>44394</v>
      </c>
      <c r="C35" s="5" t="s">
        <v>127</v>
      </c>
      <c r="D35" s="5" t="s">
        <v>66</v>
      </c>
      <c r="E35" s="5">
        <v>5</v>
      </c>
    </row>
    <row r="36" spans="1:5">
      <c r="A36" s="5" t="s">
        <v>128</v>
      </c>
      <c r="B36" s="6">
        <v>44011</v>
      </c>
      <c r="C36" s="5" t="s">
        <v>129</v>
      </c>
      <c r="D36" s="5" t="s">
        <v>130</v>
      </c>
      <c r="E36" s="5">
        <v>6</v>
      </c>
    </row>
    <row r="37" spans="1:5">
      <c r="A37" s="5" t="s">
        <v>131</v>
      </c>
      <c r="B37" s="6">
        <v>44348</v>
      </c>
      <c r="C37" s="5" t="s">
        <v>132</v>
      </c>
      <c r="D37" s="5" t="s">
        <v>119</v>
      </c>
      <c r="E37" s="5">
        <v>6</v>
      </c>
    </row>
    <row r="38" spans="1:5">
      <c r="A38" s="5" t="s">
        <v>133</v>
      </c>
      <c r="B38" s="6">
        <v>44233</v>
      </c>
      <c r="C38" s="5" t="s">
        <v>134</v>
      </c>
      <c r="D38" s="5" t="s">
        <v>124</v>
      </c>
      <c r="E38" s="5">
        <v>2</v>
      </c>
    </row>
    <row r="39" spans="1:5">
      <c r="A39" s="5" t="s">
        <v>135</v>
      </c>
      <c r="B39" s="6">
        <v>43580</v>
      </c>
      <c r="C39" s="5" t="s">
        <v>136</v>
      </c>
      <c r="D39" s="5" t="s">
        <v>130</v>
      </c>
      <c r="E39" s="5">
        <v>3</v>
      </c>
    </row>
    <row r="40" spans="1:5">
      <c r="A40" s="5" t="s">
        <v>137</v>
      </c>
      <c r="B40" s="6">
        <v>43946</v>
      </c>
      <c r="C40" s="5" t="s">
        <v>138</v>
      </c>
      <c r="D40" s="5" t="s">
        <v>88</v>
      </c>
      <c r="E40" s="5">
        <v>5</v>
      </c>
    </row>
    <row r="41" spans="1:5">
      <c r="A41" s="5" t="s">
        <v>139</v>
      </c>
      <c r="B41" s="6">
        <v>44524</v>
      </c>
      <c r="C41" s="5" t="s">
        <v>140</v>
      </c>
      <c r="D41" s="5" t="s">
        <v>49</v>
      </c>
      <c r="E41" s="5">
        <v>6</v>
      </c>
    </row>
    <row r="42" spans="1:5">
      <c r="A42" s="5" t="s">
        <v>141</v>
      </c>
      <c r="B42" s="6">
        <v>44305</v>
      </c>
      <c r="C42" s="5" t="s">
        <v>142</v>
      </c>
      <c r="D42" s="5" t="s">
        <v>143</v>
      </c>
      <c r="E42" s="5">
        <v>3</v>
      </c>
    </row>
    <row r="43" spans="1:5">
      <c r="A43" s="5" t="s">
        <v>144</v>
      </c>
      <c r="B43" s="6">
        <v>44749</v>
      </c>
      <c r="C43" s="5" t="s">
        <v>145</v>
      </c>
      <c r="D43" s="5" t="s">
        <v>98</v>
      </c>
      <c r="E43" s="5">
        <v>2</v>
      </c>
    </row>
    <row r="44" spans="1:5">
      <c r="A44" s="5" t="s">
        <v>146</v>
      </c>
      <c r="B44" s="6">
        <v>43607</v>
      </c>
      <c r="C44" s="5" t="s">
        <v>147</v>
      </c>
      <c r="D44" s="5" t="s">
        <v>148</v>
      </c>
      <c r="E44" s="5">
        <v>3</v>
      </c>
    </row>
    <row r="45" spans="1:5">
      <c r="A45" s="5" t="s">
        <v>149</v>
      </c>
      <c r="B45" s="6">
        <v>44473</v>
      </c>
      <c r="C45" s="5" t="s">
        <v>150</v>
      </c>
      <c r="D45" s="5" t="s">
        <v>151</v>
      </c>
      <c r="E45" s="5">
        <v>2</v>
      </c>
    </row>
    <row r="46" spans="1:5">
      <c r="A46" s="5" t="s">
        <v>152</v>
      </c>
      <c r="B46" s="6">
        <v>43932</v>
      </c>
      <c r="C46" s="5" t="s">
        <v>153</v>
      </c>
      <c r="D46" s="5" t="s">
        <v>50</v>
      </c>
      <c r="E46" s="5">
        <v>2</v>
      </c>
    </row>
    <row r="47" spans="1:5">
      <c r="A47" s="5" t="s">
        <v>154</v>
      </c>
      <c r="B47" s="6">
        <v>44592</v>
      </c>
      <c r="C47" s="5" t="s">
        <v>155</v>
      </c>
      <c r="D47" s="5" t="s">
        <v>156</v>
      </c>
      <c r="E47" s="5">
        <v>6</v>
      </c>
    </row>
    <row r="48" spans="1:5">
      <c r="A48" s="5" t="s">
        <v>157</v>
      </c>
      <c r="B48" s="6">
        <v>43776</v>
      </c>
      <c r="C48" s="5" t="s">
        <v>158</v>
      </c>
      <c r="D48" s="5" t="s">
        <v>159</v>
      </c>
      <c r="E48" s="5">
        <v>2</v>
      </c>
    </row>
    <row r="49" spans="1:5">
      <c r="A49" s="5" t="s">
        <v>160</v>
      </c>
      <c r="B49" s="6">
        <v>43644</v>
      </c>
      <c r="C49" s="5" t="s">
        <v>161</v>
      </c>
      <c r="D49" s="5" t="s">
        <v>162</v>
      </c>
      <c r="E49" s="5">
        <v>2</v>
      </c>
    </row>
    <row r="50" spans="1:5">
      <c r="A50" s="5" t="s">
        <v>163</v>
      </c>
      <c r="B50" s="6">
        <v>44085</v>
      </c>
      <c r="C50" s="5" t="s">
        <v>164</v>
      </c>
      <c r="D50" s="5" t="s">
        <v>165</v>
      </c>
      <c r="E50" s="5">
        <v>4</v>
      </c>
    </row>
    <row r="51" spans="1:5">
      <c r="A51" s="5" t="s">
        <v>166</v>
      </c>
      <c r="B51" s="6">
        <v>44790</v>
      </c>
      <c r="C51" s="5" t="s">
        <v>167</v>
      </c>
      <c r="D51" s="5" t="s">
        <v>53</v>
      </c>
      <c r="E51" s="5">
        <v>3</v>
      </c>
    </row>
    <row r="52" spans="1:5">
      <c r="A52" s="5" t="s">
        <v>168</v>
      </c>
      <c r="B52" s="6">
        <v>44792</v>
      </c>
      <c r="C52" s="5" t="s">
        <v>169</v>
      </c>
      <c r="D52" s="5" t="s">
        <v>170</v>
      </c>
      <c r="E52" s="5">
        <v>2</v>
      </c>
    </row>
    <row r="53" spans="1:5">
      <c r="A53" s="5" t="s">
        <v>171</v>
      </c>
      <c r="B53" s="6">
        <v>43600</v>
      </c>
      <c r="C53" s="5" t="s">
        <v>172</v>
      </c>
      <c r="D53" s="5" t="s">
        <v>151</v>
      </c>
      <c r="E53" s="5">
        <v>4</v>
      </c>
    </row>
    <row r="54" spans="1:5">
      <c r="A54" s="5" t="s">
        <v>173</v>
      </c>
      <c r="B54" s="6">
        <v>43719</v>
      </c>
      <c r="C54" s="5" t="s">
        <v>174</v>
      </c>
      <c r="D54" s="5" t="s">
        <v>69</v>
      </c>
      <c r="E54" s="5">
        <v>5</v>
      </c>
    </row>
    <row r="55" spans="1:5">
      <c r="A55" s="5" t="s">
        <v>173</v>
      </c>
      <c r="B55" s="6">
        <v>43719</v>
      </c>
      <c r="C55" s="5" t="s">
        <v>174</v>
      </c>
      <c r="D55" s="5" t="s">
        <v>151</v>
      </c>
      <c r="E55" s="5">
        <v>2</v>
      </c>
    </row>
    <row r="56" spans="1:5">
      <c r="A56" s="5" t="s">
        <v>175</v>
      </c>
      <c r="B56" s="6">
        <v>44271</v>
      </c>
      <c r="C56" s="5" t="s">
        <v>176</v>
      </c>
      <c r="D56" s="5" t="s">
        <v>143</v>
      </c>
      <c r="E56" s="5">
        <v>5</v>
      </c>
    </row>
    <row r="57" spans="1:5">
      <c r="A57" s="5" t="s">
        <v>177</v>
      </c>
      <c r="B57" s="6">
        <v>44168</v>
      </c>
      <c r="C57" s="5" t="s">
        <v>178</v>
      </c>
      <c r="D57" s="5" t="s">
        <v>179</v>
      </c>
      <c r="E57" s="5">
        <v>3</v>
      </c>
    </row>
    <row r="58" spans="1:5">
      <c r="A58" s="5" t="s">
        <v>180</v>
      </c>
      <c r="B58" s="6">
        <v>43857</v>
      </c>
      <c r="C58" s="5" t="s">
        <v>181</v>
      </c>
      <c r="D58" s="5" t="s">
        <v>98</v>
      </c>
      <c r="E58" s="5">
        <v>3</v>
      </c>
    </row>
    <row r="59" spans="1:5">
      <c r="A59" s="5" t="s">
        <v>182</v>
      </c>
      <c r="B59" s="6">
        <v>44759</v>
      </c>
      <c r="C59" s="5" t="s">
        <v>183</v>
      </c>
      <c r="D59" s="5" t="s">
        <v>184</v>
      </c>
      <c r="E59" s="5">
        <v>4</v>
      </c>
    </row>
    <row r="60" spans="1:5">
      <c r="A60" s="5" t="s">
        <v>185</v>
      </c>
      <c r="B60" s="6">
        <v>44624</v>
      </c>
      <c r="C60" s="5" t="s">
        <v>186</v>
      </c>
      <c r="D60" s="5" t="s">
        <v>156</v>
      </c>
      <c r="E60" s="5">
        <v>3</v>
      </c>
    </row>
    <row r="61" spans="1:5">
      <c r="A61" s="5" t="s">
        <v>187</v>
      </c>
      <c r="B61" s="6">
        <v>44537</v>
      </c>
      <c r="C61" s="5" t="s">
        <v>188</v>
      </c>
      <c r="D61" s="5" t="s">
        <v>125</v>
      </c>
      <c r="E61" s="5">
        <v>3</v>
      </c>
    </row>
    <row r="62" spans="1:5">
      <c r="A62" s="5" t="s">
        <v>189</v>
      </c>
      <c r="B62" s="6">
        <v>44252</v>
      </c>
      <c r="C62" s="5" t="s">
        <v>190</v>
      </c>
      <c r="D62" s="5" t="s">
        <v>165</v>
      </c>
      <c r="E62" s="5">
        <v>5</v>
      </c>
    </row>
    <row r="63" spans="1:5">
      <c r="A63" s="5" t="s">
        <v>191</v>
      </c>
      <c r="B63" s="6">
        <v>43521</v>
      </c>
      <c r="C63" s="5" t="s">
        <v>192</v>
      </c>
      <c r="D63" s="5" t="s">
        <v>193</v>
      </c>
      <c r="E63" s="5">
        <v>5</v>
      </c>
    </row>
    <row r="64" spans="1:5">
      <c r="A64" s="5" t="s">
        <v>194</v>
      </c>
      <c r="B64" s="6">
        <v>43505</v>
      </c>
      <c r="C64" s="5" t="s">
        <v>195</v>
      </c>
      <c r="D64" s="5" t="s">
        <v>66</v>
      </c>
      <c r="E64" s="5">
        <v>5</v>
      </c>
    </row>
    <row r="65" spans="1:5">
      <c r="A65" s="5" t="s">
        <v>196</v>
      </c>
      <c r="B65" s="6">
        <v>43868</v>
      </c>
      <c r="C65" s="5" t="s">
        <v>197</v>
      </c>
      <c r="D65" s="5" t="s">
        <v>114</v>
      </c>
      <c r="E65" s="5">
        <v>1</v>
      </c>
    </row>
    <row r="66" spans="1:5">
      <c r="A66" s="5" t="s">
        <v>198</v>
      </c>
      <c r="B66" s="6">
        <v>43913</v>
      </c>
      <c r="C66" s="5" t="s">
        <v>199</v>
      </c>
      <c r="D66" s="5" t="s">
        <v>69</v>
      </c>
      <c r="E66" s="5">
        <v>6</v>
      </c>
    </row>
    <row r="67" spans="1:5">
      <c r="A67" s="5" t="s">
        <v>200</v>
      </c>
      <c r="B67" s="6">
        <v>44626</v>
      </c>
      <c r="C67" s="5" t="s">
        <v>201</v>
      </c>
      <c r="D67" s="5" t="s">
        <v>82</v>
      </c>
      <c r="E67" s="5">
        <v>4</v>
      </c>
    </row>
    <row r="68" spans="1:5">
      <c r="A68" s="5" t="s">
        <v>202</v>
      </c>
      <c r="B68" s="6">
        <v>44666</v>
      </c>
      <c r="C68" s="5" t="s">
        <v>203</v>
      </c>
      <c r="D68" s="5" t="s">
        <v>204</v>
      </c>
      <c r="E68" s="5">
        <v>1</v>
      </c>
    </row>
    <row r="69" spans="1:5">
      <c r="A69" s="5" t="s">
        <v>205</v>
      </c>
      <c r="B69" s="6">
        <v>44519</v>
      </c>
      <c r="C69" s="5" t="s">
        <v>206</v>
      </c>
      <c r="D69" s="5" t="s">
        <v>66</v>
      </c>
      <c r="E69" s="5">
        <v>2</v>
      </c>
    </row>
    <row r="70" spans="1:5">
      <c r="A70" s="5" t="s">
        <v>207</v>
      </c>
      <c r="B70" s="6">
        <v>43754</v>
      </c>
      <c r="C70" s="5" t="s">
        <v>208</v>
      </c>
      <c r="D70" s="5" t="s">
        <v>209</v>
      </c>
      <c r="E70" s="5">
        <v>1</v>
      </c>
    </row>
    <row r="71" spans="1:5">
      <c r="A71" s="5" t="s">
        <v>210</v>
      </c>
      <c r="B71" s="6">
        <v>43795</v>
      </c>
      <c r="C71" s="5" t="s">
        <v>211</v>
      </c>
      <c r="D71" s="5" t="s">
        <v>49</v>
      </c>
      <c r="E71" s="5">
        <v>6</v>
      </c>
    </row>
    <row r="72" spans="1:5">
      <c r="A72" s="5" t="s">
        <v>212</v>
      </c>
      <c r="B72" s="6">
        <v>43646</v>
      </c>
      <c r="C72" s="5" t="s">
        <v>213</v>
      </c>
      <c r="D72" s="5" t="s">
        <v>77</v>
      </c>
      <c r="E72" s="5">
        <v>4</v>
      </c>
    </row>
    <row r="73" spans="1:5">
      <c r="A73" s="5" t="s">
        <v>214</v>
      </c>
      <c r="B73" s="6">
        <v>44200</v>
      </c>
      <c r="C73" s="5" t="s">
        <v>215</v>
      </c>
      <c r="D73" s="5" t="s">
        <v>66</v>
      </c>
      <c r="E73" s="5">
        <v>2</v>
      </c>
    </row>
    <row r="74" spans="1:5">
      <c r="A74" s="5" t="s">
        <v>216</v>
      </c>
      <c r="B74" s="6">
        <v>44131</v>
      </c>
      <c r="C74" s="5" t="s">
        <v>217</v>
      </c>
      <c r="D74" s="5" t="s">
        <v>218</v>
      </c>
      <c r="E74" s="5">
        <v>3</v>
      </c>
    </row>
    <row r="75" spans="1:5">
      <c r="A75" s="5" t="s">
        <v>219</v>
      </c>
      <c r="B75" s="6">
        <v>44362</v>
      </c>
      <c r="C75" s="5" t="s">
        <v>220</v>
      </c>
      <c r="D75" s="5" t="s">
        <v>124</v>
      </c>
      <c r="E75" s="5">
        <v>5</v>
      </c>
    </row>
    <row r="76" spans="1:5">
      <c r="A76" s="5" t="s">
        <v>221</v>
      </c>
      <c r="B76" s="6">
        <v>44396</v>
      </c>
      <c r="C76" s="5" t="s">
        <v>222</v>
      </c>
      <c r="D76" s="5" t="s">
        <v>223</v>
      </c>
      <c r="E76" s="5">
        <v>2</v>
      </c>
    </row>
    <row r="77" spans="1:5">
      <c r="A77" s="5" t="s">
        <v>224</v>
      </c>
      <c r="B77" s="6">
        <v>44400</v>
      </c>
      <c r="C77" s="5" t="s">
        <v>225</v>
      </c>
      <c r="D77" s="5" t="s">
        <v>226</v>
      </c>
      <c r="E77" s="5">
        <v>6</v>
      </c>
    </row>
    <row r="78" spans="1:5">
      <c r="A78" s="5" t="s">
        <v>227</v>
      </c>
      <c r="B78" s="6">
        <v>43855</v>
      </c>
      <c r="C78" s="5" t="s">
        <v>228</v>
      </c>
      <c r="D78" s="5" t="s">
        <v>229</v>
      </c>
      <c r="E78" s="5">
        <v>1</v>
      </c>
    </row>
    <row r="79" spans="1:5">
      <c r="A79" s="5" t="s">
        <v>230</v>
      </c>
      <c r="B79" s="6">
        <v>43594</v>
      </c>
      <c r="C79" s="5" t="s">
        <v>231</v>
      </c>
      <c r="D79" s="5" t="s">
        <v>98</v>
      </c>
      <c r="E79" s="5">
        <v>2</v>
      </c>
    </row>
    <row r="80" spans="1:5">
      <c r="A80" s="5" t="s">
        <v>232</v>
      </c>
      <c r="B80" s="6">
        <v>43920</v>
      </c>
      <c r="C80" s="5" t="s">
        <v>233</v>
      </c>
      <c r="D80" s="5" t="s">
        <v>114</v>
      </c>
      <c r="E80" s="5">
        <v>6</v>
      </c>
    </row>
    <row r="81" spans="1:5">
      <c r="A81" s="5" t="s">
        <v>234</v>
      </c>
      <c r="B81" s="6">
        <v>44633</v>
      </c>
      <c r="C81" s="5" t="s">
        <v>235</v>
      </c>
      <c r="D81" s="5" t="s">
        <v>236</v>
      </c>
      <c r="E81" s="5">
        <v>4</v>
      </c>
    </row>
    <row r="82" spans="1:5">
      <c r="A82" s="5" t="s">
        <v>237</v>
      </c>
      <c r="B82" s="6">
        <v>43572</v>
      </c>
      <c r="C82" s="5" t="s">
        <v>238</v>
      </c>
      <c r="D82" s="5" t="s">
        <v>239</v>
      </c>
      <c r="E82" s="5">
        <v>5</v>
      </c>
    </row>
    <row r="83" spans="1:5">
      <c r="A83" s="5" t="s">
        <v>240</v>
      </c>
      <c r="B83" s="6">
        <v>43763</v>
      </c>
      <c r="C83" s="5" t="s">
        <v>241</v>
      </c>
      <c r="D83" s="5" t="s">
        <v>151</v>
      </c>
      <c r="E83" s="5">
        <v>3</v>
      </c>
    </row>
    <row r="84" spans="1:5">
      <c r="A84" s="5" t="s">
        <v>242</v>
      </c>
      <c r="B84" s="6">
        <v>43721</v>
      </c>
      <c r="C84" s="5" t="s">
        <v>243</v>
      </c>
      <c r="D84" s="5" t="s">
        <v>244</v>
      </c>
      <c r="E84" s="5">
        <v>3</v>
      </c>
    </row>
    <row r="85" spans="1:5">
      <c r="A85" s="5" t="s">
        <v>245</v>
      </c>
      <c r="B85" s="6">
        <v>43933</v>
      </c>
      <c r="C85" s="5" t="s">
        <v>246</v>
      </c>
      <c r="D85" s="5" t="s">
        <v>82</v>
      </c>
      <c r="E85" s="5">
        <v>4</v>
      </c>
    </row>
    <row r="86" spans="1:5">
      <c r="A86" s="5" t="s">
        <v>247</v>
      </c>
      <c r="B86" s="6">
        <v>43783</v>
      </c>
      <c r="C86" s="5" t="s">
        <v>248</v>
      </c>
      <c r="D86" s="5" t="s">
        <v>130</v>
      </c>
      <c r="E86" s="5">
        <v>1</v>
      </c>
    </row>
    <row r="87" spans="1:5">
      <c r="A87" s="5" t="s">
        <v>249</v>
      </c>
      <c r="B87" s="6">
        <v>43664</v>
      </c>
      <c r="C87" s="5" t="s">
        <v>250</v>
      </c>
      <c r="D87" s="5" t="s">
        <v>251</v>
      </c>
      <c r="E87" s="5">
        <v>3</v>
      </c>
    </row>
    <row r="88" spans="1:5">
      <c r="A88" s="5" t="s">
        <v>249</v>
      </c>
      <c r="B88" s="6">
        <v>43664</v>
      </c>
      <c r="C88" s="5" t="s">
        <v>250</v>
      </c>
      <c r="D88" s="5" t="s">
        <v>101</v>
      </c>
      <c r="E88" s="5">
        <v>4</v>
      </c>
    </row>
    <row r="89" spans="1:5">
      <c r="A89" s="5" t="s">
        <v>252</v>
      </c>
      <c r="B89" s="6">
        <v>44289</v>
      </c>
      <c r="C89" s="5" t="s">
        <v>253</v>
      </c>
      <c r="D89" s="5" t="s">
        <v>108</v>
      </c>
      <c r="E89" s="5">
        <v>3</v>
      </c>
    </row>
    <row r="90" spans="1:5">
      <c r="A90" s="5" t="s">
        <v>254</v>
      </c>
      <c r="B90" s="6">
        <v>44284</v>
      </c>
      <c r="C90" s="5" t="s">
        <v>255</v>
      </c>
      <c r="D90" s="5" t="s">
        <v>236</v>
      </c>
      <c r="E90" s="5">
        <v>3</v>
      </c>
    </row>
    <row r="91" spans="1:5">
      <c r="A91" s="5" t="s">
        <v>256</v>
      </c>
      <c r="B91" s="6">
        <v>44545</v>
      </c>
      <c r="C91" s="5" t="s">
        <v>257</v>
      </c>
      <c r="D91" s="5" t="s">
        <v>53</v>
      </c>
      <c r="E91" s="5">
        <v>6</v>
      </c>
    </row>
    <row r="92" spans="1:5">
      <c r="A92" s="5" t="s">
        <v>258</v>
      </c>
      <c r="B92" s="6">
        <v>43971</v>
      </c>
      <c r="C92" s="5" t="s">
        <v>259</v>
      </c>
      <c r="D92" s="5" t="s">
        <v>53</v>
      </c>
      <c r="E92" s="5">
        <v>4</v>
      </c>
    </row>
    <row r="93" spans="1:5">
      <c r="A93" s="5" t="s">
        <v>260</v>
      </c>
      <c r="B93" s="6">
        <v>44137</v>
      </c>
      <c r="C93" s="5" t="s">
        <v>261</v>
      </c>
      <c r="D93" s="5" t="s">
        <v>218</v>
      </c>
      <c r="E93" s="5">
        <v>4</v>
      </c>
    </row>
    <row r="94" spans="1:5">
      <c r="A94" s="5" t="s">
        <v>262</v>
      </c>
      <c r="B94" s="6">
        <v>44037</v>
      </c>
      <c r="C94" s="5" t="s">
        <v>263</v>
      </c>
      <c r="D94" s="5" t="s">
        <v>184</v>
      </c>
      <c r="E94" s="5">
        <v>3</v>
      </c>
    </row>
    <row r="95" spans="1:5">
      <c r="A95" s="5" t="s">
        <v>264</v>
      </c>
      <c r="B95" s="6">
        <v>43538</v>
      </c>
      <c r="C95" s="5" t="s">
        <v>265</v>
      </c>
      <c r="D95" s="5" t="s">
        <v>223</v>
      </c>
      <c r="E95" s="5">
        <v>4</v>
      </c>
    </row>
    <row r="96" spans="1:5">
      <c r="A96" s="5" t="s">
        <v>266</v>
      </c>
      <c r="B96" s="6">
        <v>44014</v>
      </c>
      <c r="C96" s="5" t="s">
        <v>267</v>
      </c>
      <c r="D96" s="5" t="s">
        <v>101</v>
      </c>
      <c r="E96" s="5">
        <v>6</v>
      </c>
    </row>
    <row r="97" spans="1:5">
      <c r="A97" s="5" t="s">
        <v>268</v>
      </c>
      <c r="B97" s="6">
        <v>43816</v>
      </c>
      <c r="C97" s="5" t="s">
        <v>269</v>
      </c>
      <c r="D97" s="5" t="s">
        <v>218</v>
      </c>
      <c r="E97" s="5">
        <v>6</v>
      </c>
    </row>
    <row r="98" spans="1:5">
      <c r="A98" s="5" t="s">
        <v>270</v>
      </c>
      <c r="B98" s="6">
        <v>44171</v>
      </c>
      <c r="C98" s="5" t="s">
        <v>271</v>
      </c>
      <c r="D98" s="5" t="s">
        <v>101</v>
      </c>
      <c r="E98" s="5">
        <v>2</v>
      </c>
    </row>
    <row r="99" spans="1:5">
      <c r="A99" s="5" t="s">
        <v>272</v>
      </c>
      <c r="B99" s="6">
        <v>44259</v>
      </c>
      <c r="C99" s="5" t="s">
        <v>273</v>
      </c>
      <c r="D99" s="5" t="s">
        <v>114</v>
      </c>
      <c r="E99" s="5">
        <v>2</v>
      </c>
    </row>
    <row r="100" spans="1:5">
      <c r="A100" s="5" t="s">
        <v>274</v>
      </c>
      <c r="B100" s="6">
        <v>44394</v>
      </c>
      <c r="C100" s="5" t="s">
        <v>275</v>
      </c>
      <c r="D100" s="5" t="s">
        <v>101</v>
      </c>
      <c r="E100" s="5">
        <v>1</v>
      </c>
    </row>
    <row r="101" spans="1:5">
      <c r="A101" s="5" t="s">
        <v>276</v>
      </c>
      <c r="B101" s="6">
        <v>44139</v>
      </c>
      <c r="C101" s="5" t="s">
        <v>277</v>
      </c>
      <c r="D101" s="5" t="s">
        <v>124</v>
      </c>
      <c r="E101" s="5">
        <v>3</v>
      </c>
    </row>
    <row r="102" spans="1:5">
      <c r="A102" s="5" t="s">
        <v>278</v>
      </c>
      <c r="B102" s="6">
        <v>44291</v>
      </c>
      <c r="C102" s="5" t="s">
        <v>279</v>
      </c>
      <c r="D102" s="5" t="s">
        <v>162</v>
      </c>
      <c r="E102" s="5">
        <v>2</v>
      </c>
    </row>
    <row r="103" spans="1:5">
      <c r="A103" s="5" t="s">
        <v>280</v>
      </c>
      <c r="B103" s="6">
        <v>43891</v>
      </c>
      <c r="C103" s="5" t="s">
        <v>281</v>
      </c>
      <c r="D103" s="5" t="s">
        <v>156</v>
      </c>
      <c r="E103" s="5">
        <v>5</v>
      </c>
    </row>
    <row r="104" spans="1:5">
      <c r="A104" s="5" t="s">
        <v>282</v>
      </c>
      <c r="B104" s="6">
        <v>44488</v>
      </c>
      <c r="C104" s="5" t="s">
        <v>283</v>
      </c>
      <c r="D104" s="5" t="s">
        <v>60</v>
      </c>
      <c r="E104" s="5">
        <v>3</v>
      </c>
    </row>
    <row r="105" spans="1:5">
      <c r="A105" s="5" t="s">
        <v>284</v>
      </c>
      <c r="B105" s="6">
        <v>44750</v>
      </c>
      <c r="C105" s="5" t="s">
        <v>285</v>
      </c>
      <c r="D105" s="5" t="s">
        <v>209</v>
      </c>
      <c r="E105" s="5">
        <v>4</v>
      </c>
    </row>
    <row r="106" spans="1:5">
      <c r="A106" s="5" t="s">
        <v>286</v>
      </c>
      <c r="B106" s="6">
        <v>43694</v>
      </c>
      <c r="C106" s="5" t="s">
        <v>287</v>
      </c>
      <c r="D106" s="5" t="s">
        <v>143</v>
      </c>
      <c r="E106" s="5">
        <v>6</v>
      </c>
    </row>
    <row r="107" spans="1:5">
      <c r="A107" s="5" t="s">
        <v>288</v>
      </c>
      <c r="B107" s="6">
        <v>43982</v>
      </c>
      <c r="C107" s="5" t="s">
        <v>289</v>
      </c>
      <c r="D107" s="5" t="s">
        <v>114</v>
      </c>
      <c r="E107" s="5">
        <v>6</v>
      </c>
    </row>
    <row r="108" spans="1:5">
      <c r="A108" s="5" t="s">
        <v>290</v>
      </c>
      <c r="B108" s="6">
        <v>43956</v>
      </c>
      <c r="C108" s="5" t="s">
        <v>291</v>
      </c>
      <c r="D108" s="5" t="s">
        <v>292</v>
      </c>
      <c r="E108" s="5">
        <v>2</v>
      </c>
    </row>
    <row r="109" spans="1:5">
      <c r="A109" s="5" t="s">
        <v>293</v>
      </c>
      <c r="B109" s="6">
        <v>43569</v>
      </c>
      <c r="C109" s="5" t="s">
        <v>294</v>
      </c>
      <c r="D109" s="5" t="s">
        <v>69</v>
      </c>
      <c r="E109" s="5">
        <v>3</v>
      </c>
    </row>
    <row r="110" spans="1:5">
      <c r="A110" s="5" t="s">
        <v>295</v>
      </c>
      <c r="B110" s="6">
        <v>44041</v>
      </c>
      <c r="C110" s="5" t="s">
        <v>296</v>
      </c>
      <c r="D110" s="5" t="s">
        <v>114</v>
      </c>
      <c r="E110" s="5">
        <v>4</v>
      </c>
    </row>
    <row r="111" spans="1:5">
      <c r="A111" s="5" t="s">
        <v>297</v>
      </c>
      <c r="B111" s="6">
        <v>43811</v>
      </c>
      <c r="C111" s="5" t="s">
        <v>298</v>
      </c>
      <c r="D111" s="5" t="s">
        <v>170</v>
      </c>
      <c r="E111" s="5">
        <v>1</v>
      </c>
    </row>
    <row r="112" spans="1:5">
      <c r="A112" s="5" t="s">
        <v>299</v>
      </c>
      <c r="B112" s="6">
        <v>44727</v>
      </c>
      <c r="C112" s="5" t="s">
        <v>300</v>
      </c>
      <c r="D112" s="5" t="s">
        <v>301</v>
      </c>
      <c r="E112" s="5">
        <v>3</v>
      </c>
    </row>
    <row r="113" spans="1:5">
      <c r="A113" s="5" t="s">
        <v>302</v>
      </c>
      <c r="B113" s="6">
        <v>43642</v>
      </c>
      <c r="C113" s="5" t="s">
        <v>303</v>
      </c>
      <c r="D113" s="5" t="s">
        <v>193</v>
      </c>
      <c r="E113" s="5">
        <v>5</v>
      </c>
    </row>
    <row r="114" spans="1:5">
      <c r="A114" s="5" t="s">
        <v>304</v>
      </c>
      <c r="B114" s="6">
        <v>44481</v>
      </c>
      <c r="C114" s="5" t="s">
        <v>305</v>
      </c>
      <c r="D114" s="5" t="s">
        <v>108</v>
      </c>
      <c r="E114" s="5">
        <v>1</v>
      </c>
    </row>
    <row r="115" spans="1:5">
      <c r="A115" s="5" t="s">
        <v>306</v>
      </c>
      <c r="B115" s="6">
        <v>43556</v>
      </c>
      <c r="C115" s="5" t="s">
        <v>307</v>
      </c>
      <c r="D115" s="5" t="s">
        <v>143</v>
      </c>
      <c r="E115" s="5">
        <v>1</v>
      </c>
    </row>
    <row r="116" spans="1:5">
      <c r="A116" s="5" t="s">
        <v>308</v>
      </c>
      <c r="B116" s="6">
        <v>44265</v>
      </c>
      <c r="C116" s="5" t="s">
        <v>309</v>
      </c>
      <c r="D116" s="5" t="s">
        <v>229</v>
      </c>
      <c r="E116" s="5">
        <v>4</v>
      </c>
    </row>
    <row r="117" spans="1:5">
      <c r="A117" s="5" t="s">
        <v>310</v>
      </c>
      <c r="B117" s="6">
        <v>43693</v>
      </c>
      <c r="C117" s="5" t="s">
        <v>311</v>
      </c>
      <c r="D117" s="5" t="s">
        <v>179</v>
      </c>
      <c r="E117" s="5">
        <v>1</v>
      </c>
    </row>
    <row r="118" spans="1:5">
      <c r="A118" s="5" t="s">
        <v>312</v>
      </c>
      <c r="B118" s="6">
        <v>44054</v>
      </c>
      <c r="C118" s="5" t="s">
        <v>313</v>
      </c>
      <c r="D118" s="5" t="s">
        <v>66</v>
      </c>
      <c r="E118" s="5">
        <v>4</v>
      </c>
    </row>
    <row r="119" spans="1:5">
      <c r="A119" s="5" t="s">
        <v>314</v>
      </c>
      <c r="B119" s="6">
        <v>44656</v>
      </c>
      <c r="C119" s="5" t="s">
        <v>315</v>
      </c>
      <c r="D119" s="5" t="s">
        <v>130</v>
      </c>
      <c r="E119" s="5">
        <v>4</v>
      </c>
    </row>
    <row r="120" spans="1:5">
      <c r="A120" s="5" t="s">
        <v>316</v>
      </c>
      <c r="B120" s="6">
        <v>43760</v>
      </c>
      <c r="C120" s="5" t="s">
        <v>317</v>
      </c>
      <c r="D120" s="5" t="s">
        <v>63</v>
      </c>
      <c r="E120" s="5">
        <v>3</v>
      </c>
    </row>
    <row r="121" spans="1:5">
      <c r="A121" s="5" t="s">
        <v>318</v>
      </c>
      <c r="B121" s="6">
        <v>44471</v>
      </c>
      <c r="C121" s="5" t="s">
        <v>319</v>
      </c>
      <c r="D121" s="5" t="s">
        <v>111</v>
      </c>
      <c r="E121" s="5">
        <v>1</v>
      </c>
    </row>
    <row r="122" spans="1:5">
      <c r="A122" s="5" t="s">
        <v>318</v>
      </c>
      <c r="B122" s="6">
        <v>44471</v>
      </c>
      <c r="C122" s="5" t="s">
        <v>319</v>
      </c>
      <c r="D122" s="5" t="s">
        <v>162</v>
      </c>
      <c r="E122" s="5">
        <v>1</v>
      </c>
    </row>
    <row r="123" spans="1:5">
      <c r="A123" s="5" t="s">
        <v>318</v>
      </c>
      <c r="B123" s="6">
        <v>44471</v>
      </c>
      <c r="C123" s="5" t="s">
        <v>319</v>
      </c>
      <c r="D123" s="5" t="s">
        <v>56</v>
      </c>
      <c r="E123" s="5">
        <v>5</v>
      </c>
    </row>
    <row r="124" spans="1:5">
      <c r="A124" s="5" t="s">
        <v>320</v>
      </c>
      <c r="B124" s="6">
        <v>44268</v>
      </c>
      <c r="C124" s="5" t="s">
        <v>321</v>
      </c>
      <c r="D124" s="5" t="s">
        <v>119</v>
      </c>
      <c r="E124" s="5">
        <v>4</v>
      </c>
    </row>
    <row r="125" spans="1:5">
      <c r="A125" s="5" t="s">
        <v>322</v>
      </c>
      <c r="B125" s="6">
        <v>44724</v>
      </c>
      <c r="C125" s="5" t="s">
        <v>323</v>
      </c>
      <c r="D125" s="5" t="s">
        <v>151</v>
      </c>
      <c r="E125" s="5">
        <v>4</v>
      </c>
    </row>
    <row r="126" spans="1:5">
      <c r="A126" s="5" t="s">
        <v>324</v>
      </c>
      <c r="B126" s="6">
        <v>43582</v>
      </c>
      <c r="C126" s="5" t="s">
        <v>325</v>
      </c>
      <c r="D126" s="5" t="s">
        <v>124</v>
      </c>
      <c r="E126" s="5">
        <v>5</v>
      </c>
    </row>
    <row r="127" spans="1:5">
      <c r="A127" s="5" t="s">
        <v>326</v>
      </c>
      <c r="B127" s="6">
        <v>43608</v>
      </c>
      <c r="C127" s="5" t="s">
        <v>327</v>
      </c>
      <c r="D127" s="5" t="s">
        <v>125</v>
      </c>
      <c r="E127" s="5">
        <v>3</v>
      </c>
    </row>
    <row r="128" spans="1:5">
      <c r="A128" s="5" t="s">
        <v>328</v>
      </c>
      <c r="B128" s="6">
        <v>44026</v>
      </c>
      <c r="C128" s="5" t="s">
        <v>329</v>
      </c>
      <c r="D128" s="5" t="s">
        <v>108</v>
      </c>
      <c r="E128" s="5">
        <v>1</v>
      </c>
    </row>
    <row r="129" spans="1:5">
      <c r="A129" s="5" t="s">
        <v>330</v>
      </c>
      <c r="B129" s="6">
        <v>44510</v>
      </c>
      <c r="C129" s="5" t="s">
        <v>331</v>
      </c>
      <c r="D129" s="5" t="s">
        <v>60</v>
      </c>
      <c r="E129" s="5">
        <v>6</v>
      </c>
    </row>
    <row r="130" spans="1:5">
      <c r="A130" s="5" t="s">
        <v>332</v>
      </c>
      <c r="B130" s="6">
        <v>44439</v>
      </c>
      <c r="C130" s="5" t="s">
        <v>333</v>
      </c>
      <c r="D130" s="5" t="s">
        <v>114</v>
      </c>
      <c r="E130" s="5">
        <v>1</v>
      </c>
    </row>
    <row r="131" spans="1:5">
      <c r="A131" s="5" t="s">
        <v>334</v>
      </c>
      <c r="B131" s="6">
        <v>43652</v>
      </c>
      <c r="C131" s="5" t="s">
        <v>335</v>
      </c>
      <c r="D131" s="5" t="s">
        <v>292</v>
      </c>
      <c r="E131" s="5">
        <v>1</v>
      </c>
    </row>
    <row r="132" spans="1:5">
      <c r="A132" s="5" t="s">
        <v>336</v>
      </c>
      <c r="B132" s="6">
        <v>44624</v>
      </c>
      <c r="C132" s="5" t="s">
        <v>337</v>
      </c>
      <c r="D132" s="5" t="s">
        <v>251</v>
      </c>
      <c r="E132" s="5">
        <v>5</v>
      </c>
    </row>
    <row r="133" spans="1:5">
      <c r="A133" s="5" t="s">
        <v>338</v>
      </c>
      <c r="B133" s="6">
        <v>44196</v>
      </c>
      <c r="C133" s="5" t="s">
        <v>339</v>
      </c>
      <c r="D133" s="5" t="s">
        <v>63</v>
      </c>
      <c r="E133" s="5">
        <v>2</v>
      </c>
    </row>
    <row r="134" spans="1:5">
      <c r="A134" s="5" t="s">
        <v>340</v>
      </c>
      <c r="B134" s="6">
        <v>44043</v>
      </c>
      <c r="C134" s="5" t="s">
        <v>341</v>
      </c>
      <c r="D134" s="5" t="s">
        <v>251</v>
      </c>
      <c r="E134" s="5">
        <v>5</v>
      </c>
    </row>
    <row r="135" spans="1:5">
      <c r="A135" s="5" t="s">
        <v>342</v>
      </c>
      <c r="B135" s="6">
        <v>44340</v>
      </c>
      <c r="C135" s="5" t="s">
        <v>343</v>
      </c>
      <c r="D135" s="5" t="s">
        <v>60</v>
      </c>
      <c r="E135" s="5">
        <v>1</v>
      </c>
    </row>
    <row r="136" spans="1:5">
      <c r="A136" s="5" t="s">
        <v>344</v>
      </c>
      <c r="B136" s="6">
        <v>44758</v>
      </c>
      <c r="C136" s="5" t="s">
        <v>345</v>
      </c>
      <c r="D136" s="5" t="s">
        <v>159</v>
      </c>
      <c r="E136" s="5">
        <v>3</v>
      </c>
    </row>
    <row r="137" spans="1:5">
      <c r="A137" s="5" t="s">
        <v>346</v>
      </c>
      <c r="B137" s="6">
        <v>44232</v>
      </c>
      <c r="C137" s="5" t="s">
        <v>347</v>
      </c>
      <c r="D137" s="5" t="s">
        <v>239</v>
      </c>
      <c r="E137" s="5">
        <v>5</v>
      </c>
    </row>
    <row r="138" spans="1:5">
      <c r="A138" s="5" t="s">
        <v>348</v>
      </c>
      <c r="B138" s="6">
        <v>44406</v>
      </c>
      <c r="C138" s="5" t="s">
        <v>349</v>
      </c>
      <c r="D138" s="5" t="s">
        <v>101</v>
      </c>
      <c r="E138" s="5">
        <v>4</v>
      </c>
    </row>
    <row r="139" spans="1:5">
      <c r="A139" s="5" t="s">
        <v>350</v>
      </c>
      <c r="B139" s="6">
        <v>44637</v>
      </c>
      <c r="C139" s="5" t="s">
        <v>351</v>
      </c>
      <c r="D139" s="5" t="s">
        <v>77</v>
      </c>
      <c r="E139" s="5">
        <v>3</v>
      </c>
    </row>
    <row r="140" spans="1:5">
      <c r="A140" s="5" t="s">
        <v>352</v>
      </c>
      <c r="B140" s="6">
        <v>44238</v>
      </c>
      <c r="C140" s="5" t="s">
        <v>353</v>
      </c>
      <c r="D140" s="5" t="s">
        <v>292</v>
      </c>
      <c r="E140" s="5">
        <v>4</v>
      </c>
    </row>
    <row r="141" spans="1:5">
      <c r="A141" s="5" t="s">
        <v>354</v>
      </c>
      <c r="B141" s="6">
        <v>43509</v>
      </c>
      <c r="C141" s="5" t="s">
        <v>355</v>
      </c>
      <c r="D141" s="5" t="s">
        <v>60</v>
      </c>
      <c r="E141" s="5">
        <v>6</v>
      </c>
    </row>
    <row r="142" spans="1:5">
      <c r="A142" s="5" t="s">
        <v>356</v>
      </c>
      <c r="B142" s="6">
        <v>44694</v>
      </c>
      <c r="C142" s="5" t="s">
        <v>357</v>
      </c>
      <c r="D142" s="5" t="s">
        <v>156</v>
      </c>
      <c r="E142" s="5">
        <v>1</v>
      </c>
    </row>
    <row r="143" spans="1:5">
      <c r="A143" s="5" t="s">
        <v>358</v>
      </c>
      <c r="B143" s="6">
        <v>43970</v>
      </c>
      <c r="C143" s="5" t="s">
        <v>359</v>
      </c>
      <c r="D143" s="5" t="s">
        <v>162</v>
      </c>
      <c r="E143" s="5">
        <v>4</v>
      </c>
    </row>
    <row r="144" spans="1:5">
      <c r="A144" s="5" t="s">
        <v>360</v>
      </c>
      <c r="B144" s="6">
        <v>44678</v>
      </c>
      <c r="C144" s="5" t="s">
        <v>361</v>
      </c>
      <c r="D144" s="5" t="s">
        <v>77</v>
      </c>
      <c r="E144" s="5">
        <v>4</v>
      </c>
    </row>
    <row r="145" spans="1:5">
      <c r="A145" s="5" t="s">
        <v>362</v>
      </c>
      <c r="B145" s="6">
        <v>44083</v>
      </c>
      <c r="C145" s="5" t="s">
        <v>363</v>
      </c>
      <c r="D145" s="5" t="s">
        <v>125</v>
      </c>
      <c r="E145" s="5">
        <v>2</v>
      </c>
    </row>
    <row r="146" spans="1:5">
      <c r="A146" s="5" t="s">
        <v>364</v>
      </c>
      <c r="B146" s="6">
        <v>44265</v>
      </c>
      <c r="C146" s="5" t="s">
        <v>365</v>
      </c>
      <c r="D146" s="5" t="s">
        <v>77</v>
      </c>
      <c r="E146" s="5">
        <v>2</v>
      </c>
    </row>
    <row r="147" spans="1:5">
      <c r="A147" s="5" t="s">
        <v>366</v>
      </c>
      <c r="B147" s="6">
        <v>43562</v>
      </c>
      <c r="C147" s="5" t="s">
        <v>367</v>
      </c>
      <c r="D147" s="5" t="s">
        <v>124</v>
      </c>
      <c r="E147" s="5">
        <v>4</v>
      </c>
    </row>
    <row r="148" spans="1:5">
      <c r="A148" s="5" t="s">
        <v>368</v>
      </c>
      <c r="B148" s="6">
        <v>44024</v>
      </c>
      <c r="C148" s="5" t="s">
        <v>369</v>
      </c>
      <c r="D148" s="5" t="s">
        <v>143</v>
      </c>
      <c r="E148" s="5">
        <v>3</v>
      </c>
    </row>
    <row r="149" spans="1:5">
      <c r="A149" s="5" t="s">
        <v>368</v>
      </c>
      <c r="B149" s="6">
        <v>44024</v>
      </c>
      <c r="C149" s="5" t="s">
        <v>369</v>
      </c>
      <c r="D149" s="5" t="s">
        <v>56</v>
      </c>
      <c r="E149" s="5">
        <v>2</v>
      </c>
    </row>
    <row r="150" spans="1:5">
      <c r="A150" s="5" t="s">
        <v>370</v>
      </c>
      <c r="B150" s="6">
        <v>44551</v>
      </c>
      <c r="C150" s="5" t="s">
        <v>371</v>
      </c>
      <c r="D150" s="5" t="s">
        <v>98</v>
      </c>
      <c r="E150" s="5">
        <v>5</v>
      </c>
    </row>
    <row r="151" spans="1:5">
      <c r="A151" s="5" t="s">
        <v>372</v>
      </c>
      <c r="B151" s="6">
        <v>44108</v>
      </c>
      <c r="C151" s="5" t="s">
        <v>373</v>
      </c>
      <c r="D151" s="5" t="s">
        <v>218</v>
      </c>
      <c r="E151" s="5">
        <v>2</v>
      </c>
    </row>
    <row r="152" spans="1:5">
      <c r="A152" s="5" t="s">
        <v>374</v>
      </c>
      <c r="B152" s="6">
        <v>44051</v>
      </c>
      <c r="C152" s="5" t="s">
        <v>375</v>
      </c>
      <c r="D152" s="5" t="s">
        <v>60</v>
      </c>
      <c r="E152" s="5">
        <v>1</v>
      </c>
    </row>
    <row r="153" spans="1:5">
      <c r="A153" s="5" t="s">
        <v>376</v>
      </c>
      <c r="B153" s="6">
        <v>44115</v>
      </c>
      <c r="C153" s="5" t="s">
        <v>377</v>
      </c>
      <c r="D153" s="5" t="s">
        <v>108</v>
      </c>
      <c r="E153" s="5">
        <v>3</v>
      </c>
    </row>
    <row r="154" spans="1:5">
      <c r="A154" s="5" t="s">
        <v>378</v>
      </c>
      <c r="B154" s="6">
        <v>44510</v>
      </c>
      <c r="C154" s="5" t="s">
        <v>379</v>
      </c>
      <c r="D154" s="5" t="s">
        <v>88</v>
      </c>
      <c r="E154" s="5">
        <v>3</v>
      </c>
    </row>
    <row r="155" spans="1:5">
      <c r="A155" s="5" t="s">
        <v>380</v>
      </c>
      <c r="B155" s="6">
        <v>44367</v>
      </c>
      <c r="C155" s="5" t="s">
        <v>381</v>
      </c>
      <c r="D155" s="5" t="s">
        <v>148</v>
      </c>
      <c r="E155" s="5">
        <v>1</v>
      </c>
    </row>
    <row r="156" spans="1:5">
      <c r="A156" s="5" t="s">
        <v>382</v>
      </c>
      <c r="B156" s="6">
        <v>44473</v>
      </c>
      <c r="C156" s="5" t="s">
        <v>383</v>
      </c>
      <c r="D156" s="5" t="s">
        <v>165</v>
      </c>
      <c r="E156" s="5">
        <v>5</v>
      </c>
    </row>
    <row r="157" spans="1:5">
      <c r="A157" s="5" t="s">
        <v>384</v>
      </c>
      <c r="B157" s="6">
        <v>43640</v>
      </c>
      <c r="C157" s="5" t="s">
        <v>385</v>
      </c>
      <c r="D157" s="5" t="s">
        <v>218</v>
      </c>
      <c r="E157" s="5">
        <v>6</v>
      </c>
    </row>
    <row r="158" spans="1:5">
      <c r="A158" s="5" t="s">
        <v>386</v>
      </c>
      <c r="B158" s="6">
        <v>43764</v>
      </c>
      <c r="C158" s="5" t="s">
        <v>387</v>
      </c>
      <c r="D158" s="5" t="s">
        <v>218</v>
      </c>
      <c r="E158" s="5">
        <v>3</v>
      </c>
    </row>
    <row r="159" spans="1:5">
      <c r="A159" s="5" t="s">
        <v>388</v>
      </c>
      <c r="B159" s="6">
        <v>44374</v>
      </c>
      <c r="C159" s="5" t="s">
        <v>389</v>
      </c>
      <c r="D159" s="5" t="s">
        <v>82</v>
      </c>
      <c r="E159" s="5">
        <v>3</v>
      </c>
    </row>
    <row r="160" spans="1:5">
      <c r="A160" s="5" t="s">
        <v>390</v>
      </c>
      <c r="B160" s="6">
        <v>43714</v>
      </c>
      <c r="C160" s="5" t="s">
        <v>391</v>
      </c>
      <c r="D160" s="5" t="s">
        <v>82</v>
      </c>
      <c r="E160" s="5">
        <v>6</v>
      </c>
    </row>
    <row r="161" spans="1:5">
      <c r="A161" s="5" t="s">
        <v>392</v>
      </c>
      <c r="B161" s="6">
        <v>44316</v>
      </c>
      <c r="C161" s="5" t="s">
        <v>393</v>
      </c>
      <c r="D161" s="5" t="s">
        <v>151</v>
      </c>
      <c r="E161" s="5">
        <v>6</v>
      </c>
    </row>
    <row r="162" spans="1:5">
      <c r="A162" s="5" t="s">
        <v>394</v>
      </c>
      <c r="B162" s="6">
        <v>43837</v>
      </c>
      <c r="C162" s="5" t="s">
        <v>395</v>
      </c>
      <c r="D162" s="5" t="s">
        <v>50</v>
      </c>
      <c r="E162" s="5">
        <v>4</v>
      </c>
    </row>
    <row r="163" spans="1:5">
      <c r="A163" s="5" t="s">
        <v>396</v>
      </c>
      <c r="B163" s="6">
        <v>44207</v>
      </c>
      <c r="C163" s="5" t="s">
        <v>397</v>
      </c>
      <c r="D163" s="5" t="s">
        <v>239</v>
      </c>
      <c r="E163" s="5">
        <v>3</v>
      </c>
    </row>
    <row r="164" spans="1:5">
      <c r="A164" s="5" t="s">
        <v>398</v>
      </c>
      <c r="B164" s="6">
        <v>44515</v>
      </c>
      <c r="C164" s="5" t="s">
        <v>399</v>
      </c>
      <c r="D164" s="5" t="s">
        <v>63</v>
      </c>
      <c r="E164" s="5">
        <v>3</v>
      </c>
    </row>
    <row r="165" spans="1:5">
      <c r="A165" s="5" t="s">
        <v>400</v>
      </c>
      <c r="B165" s="6">
        <v>43619</v>
      </c>
      <c r="C165" s="5" t="s">
        <v>401</v>
      </c>
      <c r="D165" s="5" t="s">
        <v>148</v>
      </c>
      <c r="E165" s="5">
        <v>6</v>
      </c>
    </row>
    <row r="166" spans="1:5">
      <c r="A166" s="5" t="s">
        <v>402</v>
      </c>
      <c r="B166" s="6">
        <v>44182</v>
      </c>
      <c r="C166" s="5" t="s">
        <v>403</v>
      </c>
      <c r="D166" s="5" t="s">
        <v>63</v>
      </c>
      <c r="E166" s="5">
        <v>4</v>
      </c>
    </row>
    <row r="167" spans="1:5">
      <c r="A167" s="5" t="s">
        <v>404</v>
      </c>
      <c r="B167" s="6">
        <v>44234</v>
      </c>
      <c r="C167" s="5" t="s">
        <v>405</v>
      </c>
      <c r="D167" s="5" t="s">
        <v>226</v>
      </c>
      <c r="E167" s="5">
        <v>6</v>
      </c>
    </row>
    <row r="168" spans="1:5">
      <c r="A168" s="5" t="s">
        <v>406</v>
      </c>
      <c r="B168" s="6">
        <v>44270</v>
      </c>
      <c r="C168" s="5" t="s">
        <v>407</v>
      </c>
      <c r="D168" s="5" t="s">
        <v>193</v>
      </c>
      <c r="E168" s="5">
        <v>5</v>
      </c>
    </row>
    <row r="169" spans="1:5">
      <c r="A169" s="5" t="s">
        <v>408</v>
      </c>
      <c r="B169" s="6">
        <v>44777</v>
      </c>
      <c r="C169" s="5" t="s">
        <v>409</v>
      </c>
      <c r="D169" s="5" t="s">
        <v>50</v>
      </c>
      <c r="E169" s="5">
        <v>5</v>
      </c>
    </row>
    <row r="170" spans="1:5">
      <c r="A170" s="5" t="s">
        <v>410</v>
      </c>
      <c r="B170" s="6">
        <v>43484</v>
      </c>
      <c r="C170" s="5" t="s">
        <v>411</v>
      </c>
      <c r="D170" s="5" t="s">
        <v>114</v>
      </c>
      <c r="E170" s="5">
        <v>6</v>
      </c>
    </row>
    <row r="171" spans="1:5">
      <c r="A171" s="5" t="s">
        <v>412</v>
      </c>
      <c r="B171" s="6">
        <v>44643</v>
      </c>
      <c r="C171" s="5" t="s">
        <v>413</v>
      </c>
      <c r="D171" s="5" t="s">
        <v>226</v>
      </c>
      <c r="E171" s="5">
        <v>2</v>
      </c>
    </row>
    <row r="172" spans="1:5">
      <c r="A172" s="5" t="s">
        <v>414</v>
      </c>
      <c r="B172" s="6">
        <v>44476</v>
      </c>
      <c r="C172" s="5" t="s">
        <v>415</v>
      </c>
      <c r="D172" s="5" t="s">
        <v>77</v>
      </c>
      <c r="E172" s="5">
        <v>2</v>
      </c>
    </row>
    <row r="173" spans="1:5">
      <c r="A173" s="5" t="s">
        <v>416</v>
      </c>
      <c r="B173" s="6">
        <v>43544</v>
      </c>
      <c r="C173" s="5" t="s">
        <v>417</v>
      </c>
      <c r="D173" s="5" t="s">
        <v>159</v>
      </c>
      <c r="E173" s="5">
        <v>2</v>
      </c>
    </row>
    <row r="174" spans="1:5">
      <c r="A174" s="5" t="s">
        <v>418</v>
      </c>
      <c r="B174" s="6">
        <v>44545</v>
      </c>
      <c r="C174" s="5" t="s">
        <v>419</v>
      </c>
      <c r="D174" s="5" t="s">
        <v>63</v>
      </c>
      <c r="E174" s="5">
        <v>3</v>
      </c>
    </row>
    <row r="175" spans="1:5">
      <c r="A175" s="5" t="s">
        <v>420</v>
      </c>
      <c r="B175" s="6">
        <v>44720</v>
      </c>
      <c r="C175" s="5" t="s">
        <v>421</v>
      </c>
      <c r="D175" s="5" t="s">
        <v>88</v>
      </c>
      <c r="E175" s="5">
        <v>4</v>
      </c>
    </row>
    <row r="176" spans="1:5">
      <c r="A176" s="5" t="s">
        <v>422</v>
      </c>
      <c r="B176" s="6">
        <v>43813</v>
      </c>
      <c r="C176" s="5" t="s">
        <v>423</v>
      </c>
      <c r="D176" s="5" t="s">
        <v>77</v>
      </c>
      <c r="E176" s="5">
        <v>6</v>
      </c>
    </row>
    <row r="177" spans="1:5">
      <c r="A177" s="5" t="s">
        <v>424</v>
      </c>
      <c r="B177" s="6">
        <v>44296</v>
      </c>
      <c r="C177" s="5" t="s">
        <v>425</v>
      </c>
      <c r="D177" s="5" t="s">
        <v>159</v>
      </c>
      <c r="E177" s="5">
        <v>2</v>
      </c>
    </row>
    <row r="178" spans="1:5">
      <c r="A178" s="5" t="s">
        <v>426</v>
      </c>
      <c r="B178" s="6">
        <v>43900</v>
      </c>
      <c r="C178" s="5" t="s">
        <v>427</v>
      </c>
      <c r="D178" s="5" t="s">
        <v>77</v>
      </c>
      <c r="E178" s="5">
        <v>1</v>
      </c>
    </row>
    <row r="179" spans="1:5">
      <c r="A179" s="5" t="s">
        <v>428</v>
      </c>
      <c r="B179" s="6">
        <v>44120</v>
      </c>
      <c r="C179" s="5" t="s">
        <v>429</v>
      </c>
      <c r="D179" s="5" t="s">
        <v>57</v>
      </c>
      <c r="E179" s="5">
        <v>4</v>
      </c>
    </row>
    <row r="180" spans="1:5">
      <c r="A180" s="5" t="s">
        <v>430</v>
      </c>
      <c r="B180" s="6">
        <v>43746</v>
      </c>
      <c r="C180" s="5" t="s">
        <v>431</v>
      </c>
      <c r="D180" s="5" t="s">
        <v>53</v>
      </c>
      <c r="E180" s="5">
        <v>2</v>
      </c>
    </row>
    <row r="181" spans="1:5">
      <c r="A181" s="5" t="s">
        <v>432</v>
      </c>
      <c r="B181" s="6">
        <v>43830</v>
      </c>
      <c r="C181" s="5" t="s">
        <v>433</v>
      </c>
      <c r="D181" s="5" t="s">
        <v>101</v>
      </c>
      <c r="E181" s="5">
        <v>1</v>
      </c>
    </row>
    <row r="182" spans="1:5">
      <c r="A182" s="5" t="s">
        <v>434</v>
      </c>
      <c r="B182" s="6">
        <v>43910</v>
      </c>
      <c r="C182" s="5" t="s">
        <v>435</v>
      </c>
      <c r="D182" s="5" t="s">
        <v>301</v>
      </c>
      <c r="E182" s="5">
        <v>5</v>
      </c>
    </row>
    <row r="183" spans="1:5">
      <c r="A183" s="5" t="s">
        <v>434</v>
      </c>
      <c r="B183" s="6">
        <v>43910</v>
      </c>
      <c r="C183" s="5" t="s">
        <v>435</v>
      </c>
      <c r="D183" s="5" t="s">
        <v>119</v>
      </c>
      <c r="E183" s="5">
        <v>5</v>
      </c>
    </row>
    <row r="184" spans="1:5">
      <c r="A184" s="5" t="s">
        <v>436</v>
      </c>
      <c r="B184" s="6">
        <v>44284</v>
      </c>
      <c r="C184" s="5" t="s">
        <v>437</v>
      </c>
      <c r="D184" s="5" t="s">
        <v>193</v>
      </c>
      <c r="E184" s="5">
        <v>6</v>
      </c>
    </row>
    <row r="185" spans="1:5">
      <c r="A185" s="5" t="s">
        <v>438</v>
      </c>
      <c r="B185" s="6">
        <v>44512</v>
      </c>
      <c r="C185" s="5" t="s">
        <v>439</v>
      </c>
      <c r="D185" s="5" t="s">
        <v>111</v>
      </c>
      <c r="E185" s="5">
        <v>2</v>
      </c>
    </row>
    <row r="186" spans="1:5">
      <c r="A186" s="5" t="s">
        <v>440</v>
      </c>
      <c r="B186" s="6">
        <v>44397</v>
      </c>
      <c r="C186" s="5" t="s">
        <v>441</v>
      </c>
      <c r="D186" s="5" t="s">
        <v>239</v>
      </c>
      <c r="E186" s="5">
        <v>4</v>
      </c>
    </row>
    <row r="187" spans="1:5">
      <c r="A187" s="5" t="s">
        <v>442</v>
      </c>
      <c r="B187" s="6">
        <v>43483</v>
      </c>
      <c r="C187" s="5" t="s">
        <v>443</v>
      </c>
      <c r="D187" s="5" t="s">
        <v>63</v>
      </c>
      <c r="E187" s="5">
        <v>5</v>
      </c>
    </row>
    <row r="188" spans="1:5">
      <c r="A188" s="5" t="s">
        <v>444</v>
      </c>
      <c r="B188" s="6">
        <v>43684</v>
      </c>
      <c r="C188" s="5" t="s">
        <v>445</v>
      </c>
      <c r="D188" s="5" t="s">
        <v>88</v>
      </c>
      <c r="E188" s="5">
        <v>3</v>
      </c>
    </row>
    <row r="189" spans="1:5">
      <c r="A189" s="5" t="s">
        <v>446</v>
      </c>
      <c r="B189" s="6">
        <v>44633</v>
      </c>
      <c r="C189" s="5" t="s">
        <v>447</v>
      </c>
      <c r="D189" s="5" t="s">
        <v>125</v>
      </c>
      <c r="E189" s="5">
        <v>5</v>
      </c>
    </row>
    <row r="190" spans="1:5">
      <c r="A190" s="5" t="s">
        <v>448</v>
      </c>
      <c r="B190" s="6">
        <v>44698</v>
      </c>
      <c r="C190" s="5" t="s">
        <v>449</v>
      </c>
      <c r="D190" s="5" t="s">
        <v>301</v>
      </c>
      <c r="E190" s="5">
        <v>1</v>
      </c>
    </row>
    <row r="191" spans="1:5">
      <c r="A191" s="5" t="s">
        <v>450</v>
      </c>
      <c r="B191" s="6">
        <v>43813</v>
      </c>
      <c r="C191" s="5" t="s">
        <v>451</v>
      </c>
      <c r="D191" s="5" t="s">
        <v>143</v>
      </c>
      <c r="E191" s="5">
        <v>3</v>
      </c>
    </row>
    <row r="192" spans="1:5">
      <c r="A192" s="5" t="s">
        <v>452</v>
      </c>
      <c r="B192" s="6">
        <v>43845</v>
      </c>
      <c r="C192" s="5" t="s">
        <v>453</v>
      </c>
      <c r="D192" s="5" t="s">
        <v>244</v>
      </c>
      <c r="E192" s="5">
        <v>1</v>
      </c>
    </row>
    <row r="193" spans="1:5">
      <c r="A193" s="5" t="s">
        <v>454</v>
      </c>
      <c r="B193" s="6">
        <v>43567</v>
      </c>
      <c r="C193" s="5" t="s">
        <v>455</v>
      </c>
      <c r="D193" s="5" t="s">
        <v>85</v>
      </c>
      <c r="E193" s="5">
        <v>5</v>
      </c>
    </row>
    <row r="194" spans="1:5">
      <c r="A194" s="5" t="s">
        <v>456</v>
      </c>
      <c r="B194" s="6">
        <v>43919</v>
      </c>
      <c r="C194" s="5" t="s">
        <v>457</v>
      </c>
      <c r="D194" s="5" t="s">
        <v>292</v>
      </c>
      <c r="E194" s="5">
        <v>6</v>
      </c>
    </row>
    <row r="195" spans="1:5">
      <c r="A195" s="5" t="s">
        <v>458</v>
      </c>
      <c r="B195" s="6">
        <v>44644</v>
      </c>
      <c r="C195" s="5" t="s">
        <v>459</v>
      </c>
      <c r="D195" s="5" t="s">
        <v>184</v>
      </c>
      <c r="E195" s="5">
        <v>3</v>
      </c>
    </row>
    <row r="196" spans="1:5">
      <c r="A196" s="5" t="s">
        <v>460</v>
      </c>
      <c r="B196" s="6">
        <v>44398</v>
      </c>
      <c r="C196" s="5" t="s">
        <v>461</v>
      </c>
      <c r="D196" s="5" t="s">
        <v>63</v>
      </c>
      <c r="E196" s="5">
        <v>5</v>
      </c>
    </row>
    <row r="197" spans="1:5">
      <c r="A197" s="5" t="s">
        <v>462</v>
      </c>
      <c r="B197" s="6">
        <v>43683</v>
      </c>
      <c r="C197" s="5" t="s">
        <v>463</v>
      </c>
      <c r="D197" s="5" t="s">
        <v>53</v>
      </c>
      <c r="E197" s="5">
        <v>3</v>
      </c>
    </row>
    <row r="198" spans="1:5">
      <c r="A198" s="5" t="s">
        <v>464</v>
      </c>
      <c r="B198" s="6">
        <v>44339</v>
      </c>
      <c r="C198" s="5" t="s">
        <v>465</v>
      </c>
      <c r="D198" s="5" t="s">
        <v>223</v>
      </c>
      <c r="E198" s="5">
        <v>6</v>
      </c>
    </row>
    <row r="199" spans="1:5">
      <c r="A199" s="5" t="s">
        <v>464</v>
      </c>
      <c r="B199" s="6">
        <v>44339</v>
      </c>
      <c r="C199" s="5" t="s">
        <v>465</v>
      </c>
      <c r="D199" s="5" t="s">
        <v>156</v>
      </c>
      <c r="E199" s="5">
        <v>2</v>
      </c>
    </row>
    <row r="200" spans="1:5">
      <c r="A200" s="5" t="s">
        <v>464</v>
      </c>
      <c r="B200" s="6">
        <v>44339</v>
      </c>
      <c r="C200" s="5" t="s">
        <v>465</v>
      </c>
      <c r="D200" s="5" t="s">
        <v>156</v>
      </c>
      <c r="E200" s="5">
        <v>3</v>
      </c>
    </row>
    <row r="201" spans="1:5">
      <c r="A201" s="5" t="s">
        <v>464</v>
      </c>
      <c r="B201" s="6">
        <v>44339</v>
      </c>
      <c r="C201" s="5" t="s">
        <v>465</v>
      </c>
      <c r="D201" s="5" t="s">
        <v>130</v>
      </c>
      <c r="E201" s="5">
        <v>4</v>
      </c>
    </row>
    <row r="202" spans="1:5">
      <c r="A202" s="5" t="s">
        <v>464</v>
      </c>
      <c r="B202" s="6">
        <v>44339</v>
      </c>
      <c r="C202" s="5" t="s">
        <v>465</v>
      </c>
      <c r="D202" s="5" t="s">
        <v>56</v>
      </c>
      <c r="E202" s="5">
        <v>3</v>
      </c>
    </row>
    <row r="203" spans="1:5">
      <c r="A203" s="5" t="s">
        <v>466</v>
      </c>
      <c r="B203" s="6">
        <v>44294</v>
      </c>
      <c r="C203" s="5" t="s">
        <v>467</v>
      </c>
      <c r="D203" s="5" t="s">
        <v>130</v>
      </c>
      <c r="E203" s="5">
        <v>6</v>
      </c>
    </row>
    <row r="204" spans="1:5">
      <c r="A204" s="5" t="s">
        <v>468</v>
      </c>
      <c r="B204" s="6">
        <v>44486</v>
      </c>
      <c r="C204" s="5" t="s">
        <v>469</v>
      </c>
      <c r="D204" s="5" t="s">
        <v>156</v>
      </c>
      <c r="E204" s="5">
        <v>6</v>
      </c>
    </row>
    <row r="205" spans="1:5">
      <c r="A205" s="5" t="s">
        <v>470</v>
      </c>
      <c r="B205" s="6">
        <v>44608</v>
      </c>
      <c r="C205" s="5" t="s">
        <v>471</v>
      </c>
      <c r="D205" s="5" t="s">
        <v>66</v>
      </c>
      <c r="E205" s="5">
        <v>1</v>
      </c>
    </row>
    <row r="206" spans="1:5">
      <c r="A206" s="5" t="s">
        <v>472</v>
      </c>
      <c r="B206" s="6">
        <v>44027</v>
      </c>
      <c r="C206" s="5" t="s">
        <v>473</v>
      </c>
      <c r="D206" s="5" t="s">
        <v>56</v>
      </c>
      <c r="E206" s="5">
        <v>6</v>
      </c>
    </row>
    <row r="207" spans="1:5">
      <c r="A207" s="5" t="s">
        <v>474</v>
      </c>
      <c r="B207" s="6">
        <v>43883</v>
      </c>
      <c r="C207" s="5" t="s">
        <v>475</v>
      </c>
      <c r="D207" s="5" t="s">
        <v>148</v>
      </c>
      <c r="E207" s="5">
        <v>3</v>
      </c>
    </row>
    <row r="208" spans="1:5">
      <c r="A208" s="5" t="s">
        <v>476</v>
      </c>
      <c r="B208" s="6">
        <v>44211</v>
      </c>
      <c r="C208" s="5" t="s">
        <v>477</v>
      </c>
      <c r="D208" s="5" t="s">
        <v>108</v>
      </c>
      <c r="E208" s="5">
        <v>2</v>
      </c>
    </row>
    <row r="209" spans="1:5">
      <c r="A209" s="5" t="s">
        <v>478</v>
      </c>
      <c r="B209" s="6">
        <v>44207</v>
      </c>
      <c r="C209" s="5" t="s">
        <v>479</v>
      </c>
      <c r="D209" s="5" t="s">
        <v>114</v>
      </c>
      <c r="E209" s="5">
        <v>6</v>
      </c>
    </row>
    <row r="210" spans="1:5">
      <c r="A210" s="5" t="s">
        <v>480</v>
      </c>
      <c r="B210" s="6">
        <v>44659</v>
      </c>
      <c r="C210" s="5" t="s">
        <v>481</v>
      </c>
      <c r="D210" s="5" t="s">
        <v>63</v>
      </c>
      <c r="E210" s="5">
        <v>4</v>
      </c>
    </row>
    <row r="211" spans="1:5">
      <c r="A211" s="5" t="s">
        <v>482</v>
      </c>
      <c r="B211" s="6">
        <v>44105</v>
      </c>
      <c r="C211" s="5" t="s">
        <v>483</v>
      </c>
      <c r="D211" s="5" t="s">
        <v>114</v>
      </c>
      <c r="E211" s="5">
        <v>1</v>
      </c>
    </row>
    <row r="212" spans="1:5">
      <c r="A212" s="5" t="s">
        <v>484</v>
      </c>
      <c r="B212" s="6">
        <v>43766</v>
      </c>
      <c r="C212" s="5" t="s">
        <v>485</v>
      </c>
      <c r="D212" s="5" t="s">
        <v>60</v>
      </c>
      <c r="E212" s="5">
        <v>4</v>
      </c>
    </row>
    <row r="213" spans="1:5">
      <c r="A213" s="5" t="s">
        <v>486</v>
      </c>
      <c r="B213" s="6">
        <v>44283</v>
      </c>
      <c r="C213" s="5" t="s">
        <v>487</v>
      </c>
      <c r="D213" s="5" t="s">
        <v>223</v>
      </c>
      <c r="E213" s="5">
        <v>6</v>
      </c>
    </row>
    <row r="214" spans="1:5">
      <c r="A214" s="5" t="s">
        <v>488</v>
      </c>
      <c r="B214" s="6">
        <v>43921</v>
      </c>
      <c r="C214" s="5" t="s">
        <v>489</v>
      </c>
      <c r="D214" s="5" t="s">
        <v>98</v>
      </c>
      <c r="E214" s="5">
        <v>4</v>
      </c>
    </row>
    <row r="215" spans="1:5">
      <c r="A215" s="5" t="s">
        <v>490</v>
      </c>
      <c r="B215" s="6">
        <v>44646</v>
      </c>
      <c r="C215" s="5" t="s">
        <v>491</v>
      </c>
      <c r="D215" s="5" t="s">
        <v>82</v>
      </c>
      <c r="E215" s="5">
        <v>1</v>
      </c>
    </row>
    <row r="216" spans="1:5">
      <c r="A216" s="5" t="s">
        <v>492</v>
      </c>
      <c r="B216" s="6">
        <v>43775</v>
      </c>
      <c r="C216" s="5" t="s">
        <v>493</v>
      </c>
      <c r="D216" s="5" t="s">
        <v>179</v>
      </c>
      <c r="E216" s="5">
        <v>2</v>
      </c>
    </row>
    <row r="217" spans="1:5">
      <c r="A217" s="5" t="s">
        <v>494</v>
      </c>
      <c r="B217" s="6">
        <v>43829</v>
      </c>
      <c r="C217" s="5" t="s">
        <v>495</v>
      </c>
      <c r="D217" s="5" t="s">
        <v>85</v>
      </c>
      <c r="E217" s="5">
        <v>6</v>
      </c>
    </row>
    <row r="218" spans="1:5">
      <c r="A218" s="5" t="s">
        <v>496</v>
      </c>
      <c r="B218" s="6">
        <v>44470</v>
      </c>
      <c r="C218" s="5" t="s">
        <v>497</v>
      </c>
      <c r="D218" s="5" t="s">
        <v>143</v>
      </c>
      <c r="E218" s="5">
        <v>4</v>
      </c>
    </row>
    <row r="219" spans="1:5">
      <c r="A219" s="5" t="s">
        <v>498</v>
      </c>
      <c r="B219" s="6">
        <v>44174</v>
      </c>
      <c r="C219" s="5" t="s">
        <v>499</v>
      </c>
      <c r="D219" s="5" t="s">
        <v>223</v>
      </c>
      <c r="E219" s="5">
        <v>4</v>
      </c>
    </row>
    <row r="220" spans="1:5">
      <c r="A220" s="5" t="s">
        <v>500</v>
      </c>
      <c r="B220" s="6">
        <v>44317</v>
      </c>
      <c r="C220" s="5" t="s">
        <v>501</v>
      </c>
      <c r="D220" s="5" t="s">
        <v>108</v>
      </c>
      <c r="E220" s="5">
        <v>5</v>
      </c>
    </row>
    <row r="221" spans="1:5">
      <c r="A221" s="5" t="s">
        <v>502</v>
      </c>
      <c r="B221" s="6">
        <v>44777</v>
      </c>
      <c r="C221" s="5" t="s">
        <v>503</v>
      </c>
      <c r="D221" s="5" t="s">
        <v>229</v>
      </c>
      <c r="E221" s="5">
        <v>3</v>
      </c>
    </row>
    <row r="222" spans="1:5">
      <c r="A222" s="5" t="s">
        <v>502</v>
      </c>
      <c r="B222" s="6">
        <v>44777</v>
      </c>
      <c r="C222" s="5" t="s">
        <v>503</v>
      </c>
      <c r="D222" s="5" t="s">
        <v>209</v>
      </c>
      <c r="E222" s="5">
        <v>5</v>
      </c>
    </row>
    <row r="223" spans="1:5">
      <c r="A223" s="5" t="s">
        <v>504</v>
      </c>
      <c r="B223" s="6">
        <v>44513</v>
      </c>
      <c r="C223" s="5" t="s">
        <v>505</v>
      </c>
      <c r="D223" s="5" t="s">
        <v>53</v>
      </c>
      <c r="E223" s="5">
        <v>6</v>
      </c>
    </row>
    <row r="224" spans="1:5">
      <c r="A224" s="5" t="s">
        <v>506</v>
      </c>
      <c r="B224" s="6">
        <v>44090</v>
      </c>
      <c r="C224" s="5" t="s">
        <v>507</v>
      </c>
      <c r="D224" s="5" t="s">
        <v>170</v>
      </c>
      <c r="E224" s="5">
        <v>3</v>
      </c>
    </row>
    <row r="225" spans="1:5">
      <c r="A225" s="5" t="s">
        <v>508</v>
      </c>
      <c r="B225" s="6">
        <v>44109</v>
      </c>
      <c r="C225" s="5" t="s">
        <v>509</v>
      </c>
      <c r="D225" s="5" t="s">
        <v>184</v>
      </c>
      <c r="E225" s="5">
        <v>4</v>
      </c>
    </row>
    <row r="226" spans="1:5">
      <c r="A226" s="5" t="s">
        <v>510</v>
      </c>
      <c r="B226" s="6">
        <v>43836</v>
      </c>
      <c r="C226" s="5" t="s">
        <v>511</v>
      </c>
      <c r="D226" s="5" t="s">
        <v>156</v>
      </c>
      <c r="E226" s="5">
        <v>4</v>
      </c>
    </row>
    <row r="227" spans="1:5">
      <c r="A227" s="5" t="s">
        <v>512</v>
      </c>
      <c r="B227" s="6">
        <v>44337</v>
      </c>
      <c r="C227" s="5" t="s">
        <v>513</v>
      </c>
      <c r="D227" s="5" t="s">
        <v>229</v>
      </c>
      <c r="E227" s="5">
        <v>4</v>
      </c>
    </row>
    <row r="228" spans="1:5">
      <c r="A228" s="5" t="s">
        <v>514</v>
      </c>
      <c r="B228" s="6">
        <v>43887</v>
      </c>
      <c r="C228" s="5" t="s">
        <v>515</v>
      </c>
      <c r="D228" s="5" t="s">
        <v>218</v>
      </c>
      <c r="E228" s="5">
        <v>5</v>
      </c>
    </row>
    <row r="229" spans="1:5">
      <c r="A229" s="5" t="s">
        <v>516</v>
      </c>
      <c r="B229" s="6">
        <v>43880</v>
      </c>
      <c r="C229" s="5" t="s">
        <v>517</v>
      </c>
      <c r="D229" s="5" t="s">
        <v>148</v>
      </c>
      <c r="E229" s="5">
        <v>6</v>
      </c>
    </row>
    <row r="230" spans="1:5">
      <c r="A230" s="5" t="s">
        <v>518</v>
      </c>
      <c r="B230" s="6">
        <v>44376</v>
      </c>
      <c r="C230" s="5" t="s">
        <v>519</v>
      </c>
      <c r="D230" s="5" t="s">
        <v>229</v>
      </c>
      <c r="E230" s="5">
        <v>5</v>
      </c>
    </row>
    <row r="231" spans="1:5">
      <c r="A231" s="5" t="s">
        <v>520</v>
      </c>
      <c r="B231" s="6">
        <v>44282</v>
      </c>
      <c r="C231" s="5" t="s">
        <v>521</v>
      </c>
      <c r="D231" s="5" t="s">
        <v>124</v>
      </c>
      <c r="E231" s="5">
        <v>2</v>
      </c>
    </row>
    <row r="232" spans="1:5">
      <c r="A232" s="5" t="s">
        <v>522</v>
      </c>
      <c r="B232" s="6">
        <v>44496</v>
      </c>
      <c r="C232" s="5" t="s">
        <v>523</v>
      </c>
      <c r="D232" s="5" t="s">
        <v>218</v>
      </c>
      <c r="E232" s="5">
        <v>2</v>
      </c>
    </row>
    <row r="233" spans="1:5">
      <c r="A233" s="5" t="s">
        <v>524</v>
      </c>
      <c r="B233" s="6">
        <v>43628</v>
      </c>
      <c r="C233" s="5" t="s">
        <v>525</v>
      </c>
      <c r="D233" s="5" t="s">
        <v>124</v>
      </c>
      <c r="E233" s="5">
        <v>2</v>
      </c>
    </row>
    <row r="234" spans="1:5">
      <c r="A234" s="5" t="s">
        <v>526</v>
      </c>
      <c r="B234" s="6">
        <v>44010</v>
      </c>
      <c r="C234" s="5" t="s">
        <v>527</v>
      </c>
      <c r="D234" s="5" t="s">
        <v>66</v>
      </c>
      <c r="E234" s="5">
        <v>5</v>
      </c>
    </row>
    <row r="235" spans="1:5">
      <c r="A235" s="5" t="s">
        <v>528</v>
      </c>
      <c r="B235" s="6">
        <v>44278</v>
      </c>
      <c r="C235" s="5" t="s">
        <v>529</v>
      </c>
      <c r="D235" s="5" t="s">
        <v>111</v>
      </c>
      <c r="E235" s="5">
        <v>5</v>
      </c>
    </row>
    <row r="236" spans="1:5">
      <c r="A236" s="5" t="s">
        <v>530</v>
      </c>
      <c r="B236" s="6">
        <v>44602</v>
      </c>
      <c r="C236" s="5" t="s">
        <v>531</v>
      </c>
      <c r="D236" s="5" t="s">
        <v>151</v>
      </c>
      <c r="E236" s="5">
        <v>1</v>
      </c>
    </row>
    <row r="237" spans="1:5">
      <c r="A237" s="5" t="s">
        <v>532</v>
      </c>
      <c r="B237" s="6">
        <v>43571</v>
      </c>
      <c r="C237" s="5" t="s">
        <v>533</v>
      </c>
      <c r="D237" s="5" t="s">
        <v>151</v>
      </c>
      <c r="E237" s="5">
        <v>5</v>
      </c>
    </row>
    <row r="238" spans="1:5">
      <c r="A238" s="5" t="s">
        <v>534</v>
      </c>
      <c r="B238" s="6">
        <v>43873</v>
      </c>
      <c r="C238" s="5" t="s">
        <v>535</v>
      </c>
      <c r="D238" s="5" t="s">
        <v>156</v>
      </c>
      <c r="E238" s="5">
        <v>3</v>
      </c>
    </row>
    <row r="239" spans="1:5">
      <c r="A239" s="5" t="s">
        <v>536</v>
      </c>
      <c r="B239" s="6">
        <v>44563</v>
      </c>
      <c r="C239" s="5" t="s">
        <v>537</v>
      </c>
      <c r="D239" s="5" t="s">
        <v>229</v>
      </c>
      <c r="E239" s="5">
        <v>1</v>
      </c>
    </row>
    <row r="240" spans="1:5">
      <c r="A240" s="5" t="s">
        <v>538</v>
      </c>
      <c r="B240" s="6">
        <v>44172</v>
      </c>
      <c r="C240" s="5" t="s">
        <v>539</v>
      </c>
      <c r="D240" s="5" t="s">
        <v>88</v>
      </c>
      <c r="E240" s="5">
        <v>2</v>
      </c>
    </row>
    <row r="241" spans="1:5">
      <c r="A241" s="5" t="s">
        <v>540</v>
      </c>
      <c r="B241" s="6">
        <v>43881</v>
      </c>
      <c r="C241" s="5" t="s">
        <v>541</v>
      </c>
      <c r="D241" s="5" t="s">
        <v>184</v>
      </c>
      <c r="E241" s="5">
        <v>4</v>
      </c>
    </row>
    <row r="242" spans="1:5">
      <c r="A242" s="5" t="s">
        <v>542</v>
      </c>
      <c r="B242" s="6">
        <v>43993</v>
      </c>
      <c r="C242" s="5" t="s">
        <v>543</v>
      </c>
      <c r="D242" s="5" t="s">
        <v>218</v>
      </c>
      <c r="E242" s="5">
        <v>6</v>
      </c>
    </row>
    <row r="243" spans="1:5">
      <c r="A243" s="5" t="s">
        <v>544</v>
      </c>
      <c r="B243" s="6">
        <v>44082</v>
      </c>
      <c r="C243" s="5" t="s">
        <v>545</v>
      </c>
      <c r="D243" s="5" t="s">
        <v>88</v>
      </c>
      <c r="E243" s="5">
        <v>2</v>
      </c>
    </row>
    <row r="244" spans="1:5">
      <c r="A244" s="5" t="s">
        <v>546</v>
      </c>
      <c r="B244" s="6">
        <v>43918</v>
      </c>
      <c r="C244" s="5" t="s">
        <v>547</v>
      </c>
      <c r="D244" s="5" t="s">
        <v>292</v>
      </c>
      <c r="E244" s="5">
        <v>3</v>
      </c>
    </row>
    <row r="245" spans="1:5">
      <c r="A245" s="5" t="s">
        <v>548</v>
      </c>
      <c r="B245" s="6">
        <v>44114</v>
      </c>
      <c r="C245" s="5" t="s">
        <v>549</v>
      </c>
      <c r="D245" s="5" t="s">
        <v>63</v>
      </c>
      <c r="E245" s="5">
        <v>4</v>
      </c>
    </row>
    <row r="246" spans="1:5">
      <c r="A246" s="5" t="s">
        <v>550</v>
      </c>
      <c r="B246" s="6">
        <v>44702</v>
      </c>
      <c r="C246" s="5" t="s">
        <v>551</v>
      </c>
      <c r="D246" s="5" t="s">
        <v>244</v>
      </c>
      <c r="E246" s="5">
        <v>4</v>
      </c>
    </row>
    <row r="247" spans="1:5">
      <c r="A247" s="5" t="s">
        <v>552</v>
      </c>
      <c r="B247" s="6">
        <v>43951</v>
      </c>
      <c r="C247" s="5" t="s">
        <v>553</v>
      </c>
      <c r="D247" s="5" t="s">
        <v>66</v>
      </c>
      <c r="E247" s="5">
        <v>5</v>
      </c>
    </row>
    <row r="248" spans="1:5">
      <c r="A248" s="5" t="s">
        <v>554</v>
      </c>
      <c r="B248" s="6">
        <v>44542</v>
      </c>
      <c r="C248" s="5" t="s">
        <v>555</v>
      </c>
      <c r="D248" s="5" t="s">
        <v>60</v>
      </c>
      <c r="E248" s="5">
        <v>3</v>
      </c>
    </row>
    <row r="249" spans="1:5">
      <c r="A249" s="5" t="s">
        <v>556</v>
      </c>
      <c r="B249" s="6">
        <v>44131</v>
      </c>
      <c r="C249" s="5" t="s">
        <v>557</v>
      </c>
      <c r="D249" s="5" t="s">
        <v>229</v>
      </c>
      <c r="E249" s="5">
        <v>6</v>
      </c>
    </row>
    <row r="250" spans="1:5">
      <c r="A250" s="5" t="s">
        <v>558</v>
      </c>
      <c r="B250" s="6">
        <v>44019</v>
      </c>
      <c r="C250" s="5" t="s">
        <v>559</v>
      </c>
      <c r="D250" s="5" t="s">
        <v>74</v>
      </c>
      <c r="E250" s="5">
        <v>1</v>
      </c>
    </row>
    <row r="251" spans="1:5">
      <c r="A251" s="5" t="s">
        <v>560</v>
      </c>
      <c r="B251" s="6">
        <v>43861</v>
      </c>
      <c r="C251" s="5" t="s">
        <v>561</v>
      </c>
      <c r="D251" s="5" t="s">
        <v>179</v>
      </c>
      <c r="E251" s="5">
        <v>1</v>
      </c>
    </row>
    <row r="252" spans="1:5">
      <c r="A252" s="5" t="s">
        <v>562</v>
      </c>
      <c r="B252" s="6">
        <v>43879</v>
      </c>
      <c r="C252" s="5" t="s">
        <v>563</v>
      </c>
      <c r="D252" s="5" t="s">
        <v>209</v>
      </c>
      <c r="E252" s="5">
        <v>1</v>
      </c>
    </row>
    <row r="253" spans="1:5">
      <c r="A253" s="5" t="s">
        <v>564</v>
      </c>
      <c r="B253" s="6">
        <v>44360</v>
      </c>
      <c r="C253" s="5" t="s">
        <v>565</v>
      </c>
      <c r="D253" s="5" t="s">
        <v>56</v>
      </c>
      <c r="E253" s="5">
        <v>5</v>
      </c>
    </row>
    <row r="254" spans="1:5">
      <c r="A254" s="5" t="s">
        <v>566</v>
      </c>
      <c r="B254" s="6">
        <v>44779</v>
      </c>
      <c r="C254" s="5" t="s">
        <v>567</v>
      </c>
      <c r="D254" s="5" t="s">
        <v>74</v>
      </c>
      <c r="E254" s="5">
        <v>3</v>
      </c>
    </row>
    <row r="255" spans="1:5">
      <c r="A255" s="5" t="s">
        <v>568</v>
      </c>
      <c r="B255" s="6">
        <v>44523</v>
      </c>
      <c r="C255" s="5" t="s">
        <v>569</v>
      </c>
      <c r="D255" s="5" t="s">
        <v>143</v>
      </c>
      <c r="E255" s="5">
        <v>4</v>
      </c>
    </row>
    <row r="256" spans="1:5">
      <c r="A256" s="5" t="s">
        <v>570</v>
      </c>
      <c r="B256" s="6">
        <v>44482</v>
      </c>
      <c r="C256" s="5" t="s">
        <v>571</v>
      </c>
      <c r="D256" s="5" t="s">
        <v>204</v>
      </c>
      <c r="E256" s="5">
        <v>4</v>
      </c>
    </row>
    <row r="257" spans="1:5">
      <c r="A257" s="5" t="s">
        <v>572</v>
      </c>
      <c r="B257" s="6">
        <v>44439</v>
      </c>
      <c r="C257" s="5" t="s">
        <v>573</v>
      </c>
      <c r="D257" s="5" t="s">
        <v>204</v>
      </c>
      <c r="E257" s="5">
        <v>3</v>
      </c>
    </row>
    <row r="258" spans="1:5">
      <c r="A258" s="5" t="s">
        <v>574</v>
      </c>
      <c r="B258" s="6">
        <v>43846</v>
      </c>
      <c r="C258" s="5" t="s">
        <v>561</v>
      </c>
      <c r="D258" s="5" t="s">
        <v>125</v>
      </c>
      <c r="E258" s="5">
        <v>2</v>
      </c>
    </row>
    <row r="259" spans="1:5">
      <c r="A259" s="5" t="s">
        <v>575</v>
      </c>
      <c r="B259" s="6">
        <v>44676</v>
      </c>
      <c r="C259" s="5" t="s">
        <v>576</v>
      </c>
      <c r="D259" s="5" t="s">
        <v>577</v>
      </c>
      <c r="E259" s="5">
        <v>1</v>
      </c>
    </row>
    <row r="260" spans="1:5">
      <c r="A260" s="5" t="s">
        <v>578</v>
      </c>
      <c r="B260" s="6">
        <v>44513</v>
      </c>
      <c r="C260" s="5" t="s">
        <v>579</v>
      </c>
      <c r="D260" s="5" t="s">
        <v>577</v>
      </c>
      <c r="E260" s="5">
        <v>5</v>
      </c>
    </row>
    <row r="261" spans="1:5">
      <c r="A261" s="5" t="s">
        <v>580</v>
      </c>
      <c r="B261" s="6">
        <v>44355</v>
      </c>
      <c r="C261" s="5" t="s">
        <v>581</v>
      </c>
      <c r="D261" s="5" t="s">
        <v>209</v>
      </c>
      <c r="E261" s="5">
        <v>2</v>
      </c>
    </row>
    <row r="262" spans="1:5">
      <c r="A262" s="5" t="s">
        <v>582</v>
      </c>
      <c r="B262" s="6">
        <v>44156</v>
      </c>
      <c r="C262" s="5" t="s">
        <v>583</v>
      </c>
      <c r="D262" s="5" t="s">
        <v>57</v>
      </c>
      <c r="E262" s="5">
        <v>1</v>
      </c>
    </row>
    <row r="263" spans="1:5">
      <c r="A263" s="5" t="s">
        <v>584</v>
      </c>
      <c r="B263" s="6">
        <v>43538</v>
      </c>
      <c r="C263" s="5" t="s">
        <v>585</v>
      </c>
      <c r="D263" s="5" t="s">
        <v>236</v>
      </c>
      <c r="E263" s="5">
        <v>5</v>
      </c>
    </row>
    <row r="264" spans="1:5">
      <c r="A264" s="5" t="s">
        <v>586</v>
      </c>
      <c r="B264" s="6">
        <v>43693</v>
      </c>
      <c r="C264" s="5" t="s">
        <v>587</v>
      </c>
      <c r="D264" s="5" t="s">
        <v>56</v>
      </c>
      <c r="E264" s="5">
        <v>3</v>
      </c>
    </row>
    <row r="265" spans="1:5">
      <c r="A265" s="5" t="s">
        <v>588</v>
      </c>
      <c r="B265" s="6">
        <v>43577</v>
      </c>
      <c r="C265" s="5" t="s">
        <v>589</v>
      </c>
      <c r="D265" s="5" t="s">
        <v>244</v>
      </c>
      <c r="E265" s="5">
        <v>4</v>
      </c>
    </row>
    <row r="266" spans="1:5">
      <c r="A266" s="5" t="s">
        <v>590</v>
      </c>
      <c r="B266" s="6">
        <v>44683</v>
      </c>
      <c r="C266" s="5" t="s">
        <v>591</v>
      </c>
      <c r="D266" s="5" t="s">
        <v>236</v>
      </c>
      <c r="E266" s="5">
        <v>5</v>
      </c>
    </row>
    <row r="267" spans="1:5">
      <c r="A267" s="5" t="s">
        <v>592</v>
      </c>
      <c r="B267" s="6">
        <v>43872</v>
      </c>
      <c r="C267" s="5" t="s">
        <v>593</v>
      </c>
      <c r="D267" s="5" t="s">
        <v>119</v>
      </c>
      <c r="E267" s="5">
        <v>1</v>
      </c>
    </row>
    <row r="268" spans="1:5">
      <c r="A268" s="5" t="s">
        <v>594</v>
      </c>
      <c r="B268" s="6">
        <v>44283</v>
      </c>
      <c r="C268" s="5" t="s">
        <v>595</v>
      </c>
      <c r="D268" s="5" t="s">
        <v>292</v>
      </c>
      <c r="E268" s="5">
        <v>2</v>
      </c>
    </row>
    <row r="269" spans="1:5">
      <c r="A269" s="5" t="s">
        <v>596</v>
      </c>
      <c r="B269" s="6">
        <v>44324</v>
      </c>
      <c r="C269" s="5" t="s">
        <v>597</v>
      </c>
      <c r="D269" s="5" t="s">
        <v>98</v>
      </c>
      <c r="E269" s="5">
        <v>6</v>
      </c>
    </row>
    <row r="270" spans="1:5">
      <c r="A270" s="5" t="s">
        <v>598</v>
      </c>
      <c r="B270" s="6">
        <v>43790</v>
      </c>
      <c r="C270" s="5" t="s">
        <v>485</v>
      </c>
      <c r="D270" s="5" t="s">
        <v>74</v>
      </c>
      <c r="E270" s="5">
        <v>2</v>
      </c>
    </row>
    <row r="271" spans="1:5">
      <c r="A271" s="5" t="s">
        <v>599</v>
      </c>
      <c r="B271" s="6">
        <v>44333</v>
      </c>
      <c r="C271" s="5" t="s">
        <v>600</v>
      </c>
      <c r="D271" s="5" t="s">
        <v>101</v>
      </c>
      <c r="E271" s="5">
        <v>2</v>
      </c>
    </row>
    <row r="272" spans="1:5">
      <c r="A272" s="5" t="s">
        <v>601</v>
      </c>
      <c r="B272" s="6">
        <v>43655</v>
      </c>
      <c r="C272" s="5" t="s">
        <v>602</v>
      </c>
      <c r="D272" s="5" t="s">
        <v>63</v>
      </c>
      <c r="E272" s="5">
        <v>1</v>
      </c>
    </row>
    <row r="273" spans="1:5">
      <c r="A273" s="5" t="s">
        <v>603</v>
      </c>
      <c r="B273" s="6">
        <v>43971</v>
      </c>
      <c r="C273" s="5" t="s">
        <v>604</v>
      </c>
      <c r="D273" s="5" t="s">
        <v>101</v>
      </c>
      <c r="E273" s="5">
        <v>4</v>
      </c>
    </row>
    <row r="274" spans="1:5">
      <c r="A274" s="5" t="s">
        <v>605</v>
      </c>
      <c r="B274" s="6">
        <v>44435</v>
      </c>
      <c r="C274" s="5" t="s">
        <v>606</v>
      </c>
      <c r="D274" s="5" t="s">
        <v>236</v>
      </c>
      <c r="E274" s="5">
        <v>6</v>
      </c>
    </row>
    <row r="275" spans="1:5">
      <c r="A275" s="5" t="s">
        <v>607</v>
      </c>
      <c r="B275" s="6">
        <v>44681</v>
      </c>
      <c r="C275" s="5" t="s">
        <v>608</v>
      </c>
      <c r="D275" s="5" t="s">
        <v>162</v>
      </c>
      <c r="E275" s="5">
        <v>2</v>
      </c>
    </row>
    <row r="276" spans="1:5">
      <c r="A276" s="5" t="s">
        <v>609</v>
      </c>
      <c r="B276" s="6">
        <v>43985</v>
      </c>
      <c r="C276" s="5" t="s">
        <v>610</v>
      </c>
      <c r="D276" s="5" t="s">
        <v>218</v>
      </c>
      <c r="E276" s="5">
        <v>1</v>
      </c>
    </row>
    <row r="277" spans="1:5">
      <c r="A277" s="5" t="s">
        <v>611</v>
      </c>
      <c r="B277" s="6">
        <v>44725</v>
      </c>
      <c r="C277" s="5" t="s">
        <v>612</v>
      </c>
      <c r="D277" s="5" t="s">
        <v>77</v>
      </c>
      <c r="E277" s="5">
        <v>6</v>
      </c>
    </row>
    <row r="278" spans="1:5">
      <c r="A278" s="5" t="s">
        <v>613</v>
      </c>
      <c r="B278" s="6">
        <v>43992</v>
      </c>
      <c r="C278" s="5" t="s">
        <v>614</v>
      </c>
      <c r="D278" s="5" t="s">
        <v>57</v>
      </c>
      <c r="E278" s="5">
        <v>4</v>
      </c>
    </row>
    <row r="279" spans="1:5">
      <c r="A279" s="5" t="s">
        <v>615</v>
      </c>
      <c r="B279" s="6">
        <v>44183</v>
      </c>
      <c r="C279" s="5" t="s">
        <v>616</v>
      </c>
      <c r="D279" s="5" t="s">
        <v>184</v>
      </c>
      <c r="E279" s="5">
        <v>6</v>
      </c>
    </row>
    <row r="280" spans="1:5">
      <c r="A280" s="5" t="s">
        <v>617</v>
      </c>
      <c r="B280" s="6">
        <v>43708</v>
      </c>
      <c r="C280" s="5" t="s">
        <v>618</v>
      </c>
      <c r="D280" s="5" t="s">
        <v>162</v>
      </c>
      <c r="E280" s="5">
        <v>2</v>
      </c>
    </row>
    <row r="281" spans="1:5">
      <c r="A281" s="5" t="s">
        <v>619</v>
      </c>
      <c r="B281" s="6">
        <v>43521</v>
      </c>
      <c r="C281" s="5" t="s">
        <v>620</v>
      </c>
      <c r="D281" s="5" t="s">
        <v>244</v>
      </c>
      <c r="E281" s="5">
        <v>1</v>
      </c>
    </row>
    <row r="282" spans="1:5">
      <c r="A282" s="5" t="s">
        <v>621</v>
      </c>
      <c r="B282" s="6">
        <v>44234</v>
      </c>
      <c r="C282" s="5" t="s">
        <v>622</v>
      </c>
      <c r="D282" s="5" t="s">
        <v>50</v>
      </c>
      <c r="E282" s="5">
        <v>5</v>
      </c>
    </row>
    <row r="283" spans="1:5">
      <c r="A283" s="5" t="s">
        <v>623</v>
      </c>
      <c r="B283" s="6">
        <v>44210</v>
      </c>
      <c r="C283" s="5" t="s">
        <v>624</v>
      </c>
      <c r="D283" s="5" t="s">
        <v>184</v>
      </c>
      <c r="E283" s="5">
        <v>4</v>
      </c>
    </row>
    <row r="284" spans="1:5">
      <c r="A284" s="5" t="s">
        <v>625</v>
      </c>
      <c r="B284" s="6">
        <v>43520</v>
      </c>
      <c r="C284" s="5" t="s">
        <v>626</v>
      </c>
      <c r="D284" s="5" t="s">
        <v>239</v>
      </c>
      <c r="E284" s="5">
        <v>1</v>
      </c>
    </row>
    <row r="285" spans="1:5">
      <c r="A285" s="5" t="s">
        <v>627</v>
      </c>
      <c r="B285" s="6">
        <v>43639</v>
      </c>
      <c r="C285" s="5" t="s">
        <v>628</v>
      </c>
      <c r="D285" s="5" t="s">
        <v>193</v>
      </c>
      <c r="E285" s="5">
        <v>1</v>
      </c>
    </row>
    <row r="286" spans="1:5">
      <c r="A286" s="5" t="s">
        <v>629</v>
      </c>
      <c r="B286" s="6">
        <v>43960</v>
      </c>
      <c r="C286" s="5" t="s">
        <v>630</v>
      </c>
      <c r="D286" s="5" t="s">
        <v>159</v>
      </c>
      <c r="E286" s="5">
        <v>3</v>
      </c>
    </row>
    <row r="287" spans="1:5">
      <c r="A287" s="5" t="s">
        <v>631</v>
      </c>
      <c r="B287" s="6">
        <v>44030</v>
      </c>
      <c r="C287" s="5" t="s">
        <v>632</v>
      </c>
      <c r="D287" s="5" t="s">
        <v>151</v>
      </c>
      <c r="E287" s="5">
        <v>1</v>
      </c>
    </row>
    <row r="288" spans="1:5">
      <c r="A288" s="5" t="s">
        <v>633</v>
      </c>
      <c r="B288" s="6">
        <v>43755</v>
      </c>
      <c r="C288" s="5" t="s">
        <v>634</v>
      </c>
      <c r="D288" s="5" t="s">
        <v>91</v>
      </c>
      <c r="E288" s="5">
        <v>4</v>
      </c>
    </row>
    <row r="289" spans="1:5">
      <c r="A289" s="5" t="s">
        <v>635</v>
      </c>
      <c r="B289" s="6">
        <v>44697</v>
      </c>
      <c r="C289" s="5" t="s">
        <v>636</v>
      </c>
      <c r="D289" s="5" t="s">
        <v>229</v>
      </c>
      <c r="E289" s="5">
        <v>4</v>
      </c>
    </row>
    <row r="290" spans="1:5">
      <c r="A290" s="5" t="s">
        <v>637</v>
      </c>
      <c r="B290" s="6">
        <v>44279</v>
      </c>
      <c r="C290" s="5" t="s">
        <v>638</v>
      </c>
      <c r="D290" s="5" t="s">
        <v>50</v>
      </c>
      <c r="E290" s="5">
        <v>1</v>
      </c>
    </row>
    <row r="291" spans="1:5">
      <c r="A291" s="5" t="s">
        <v>639</v>
      </c>
      <c r="B291" s="6">
        <v>43772</v>
      </c>
      <c r="C291" s="5" t="s">
        <v>640</v>
      </c>
      <c r="D291" s="5" t="s">
        <v>148</v>
      </c>
      <c r="E291" s="5">
        <v>5</v>
      </c>
    </row>
    <row r="292" spans="1:5">
      <c r="A292" s="5" t="s">
        <v>641</v>
      </c>
      <c r="B292" s="6">
        <v>44497</v>
      </c>
      <c r="C292" s="5" t="s">
        <v>642</v>
      </c>
      <c r="D292" s="5" t="s">
        <v>74</v>
      </c>
      <c r="E292" s="5">
        <v>5</v>
      </c>
    </row>
    <row r="293" spans="1:5">
      <c r="A293" s="5" t="s">
        <v>643</v>
      </c>
      <c r="B293" s="6">
        <v>44181</v>
      </c>
      <c r="C293" s="5" t="s">
        <v>644</v>
      </c>
      <c r="D293" s="5" t="s">
        <v>50</v>
      </c>
      <c r="E293" s="5">
        <v>2</v>
      </c>
    </row>
    <row r="294" spans="1:5">
      <c r="A294" s="5" t="s">
        <v>645</v>
      </c>
      <c r="B294" s="6">
        <v>44529</v>
      </c>
      <c r="C294" s="5" t="s">
        <v>646</v>
      </c>
      <c r="D294" s="5" t="s">
        <v>119</v>
      </c>
      <c r="E294" s="5">
        <v>3</v>
      </c>
    </row>
    <row r="295" spans="1:5">
      <c r="A295" s="5" t="s">
        <v>647</v>
      </c>
      <c r="B295" s="6">
        <v>44275</v>
      </c>
      <c r="C295" s="5" t="s">
        <v>648</v>
      </c>
      <c r="D295" s="5" t="s">
        <v>119</v>
      </c>
      <c r="E295" s="5">
        <v>5</v>
      </c>
    </row>
    <row r="296" spans="1:5">
      <c r="A296" s="5" t="s">
        <v>649</v>
      </c>
      <c r="B296" s="6">
        <v>44659</v>
      </c>
      <c r="C296" s="5" t="s">
        <v>650</v>
      </c>
      <c r="D296" s="5" t="s">
        <v>184</v>
      </c>
      <c r="E296" s="5">
        <v>3</v>
      </c>
    </row>
    <row r="297" spans="1:5">
      <c r="A297" s="5" t="s">
        <v>651</v>
      </c>
      <c r="B297" s="6">
        <v>44057</v>
      </c>
      <c r="C297" s="5" t="s">
        <v>652</v>
      </c>
      <c r="D297" s="5" t="s">
        <v>56</v>
      </c>
      <c r="E297" s="5">
        <v>2</v>
      </c>
    </row>
    <row r="298" spans="1:5">
      <c r="A298" s="5" t="s">
        <v>653</v>
      </c>
      <c r="B298" s="6">
        <v>43597</v>
      </c>
      <c r="C298" s="5" t="s">
        <v>654</v>
      </c>
      <c r="D298" s="5" t="s">
        <v>69</v>
      </c>
      <c r="E298" s="5">
        <v>6</v>
      </c>
    </row>
    <row r="299" spans="1:5">
      <c r="A299" s="5" t="s">
        <v>655</v>
      </c>
      <c r="B299" s="6">
        <v>44258</v>
      </c>
      <c r="C299" s="5" t="s">
        <v>656</v>
      </c>
      <c r="D299" s="5" t="s">
        <v>193</v>
      </c>
      <c r="E299" s="5">
        <v>3</v>
      </c>
    </row>
    <row r="300" spans="1:5">
      <c r="A300" s="5" t="s">
        <v>657</v>
      </c>
      <c r="B300" s="6">
        <v>43872</v>
      </c>
      <c r="C300" s="5" t="s">
        <v>658</v>
      </c>
      <c r="D300" s="5" t="s">
        <v>301</v>
      </c>
      <c r="E300" s="5">
        <v>6</v>
      </c>
    </row>
    <row r="301" spans="1:5">
      <c r="A301" s="5" t="s">
        <v>659</v>
      </c>
      <c r="B301" s="6">
        <v>43582</v>
      </c>
      <c r="C301" s="5" t="s">
        <v>660</v>
      </c>
      <c r="D301" s="5" t="s">
        <v>77</v>
      </c>
      <c r="E301" s="5">
        <v>6</v>
      </c>
    </row>
    <row r="302" spans="1:5">
      <c r="A302" s="5" t="s">
        <v>661</v>
      </c>
      <c r="B302" s="6">
        <v>44646</v>
      </c>
      <c r="C302" s="5" t="s">
        <v>662</v>
      </c>
      <c r="D302" s="5" t="s">
        <v>53</v>
      </c>
      <c r="E302" s="5">
        <v>3</v>
      </c>
    </row>
    <row r="303" spans="1:5">
      <c r="A303" s="5" t="s">
        <v>663</v>
      </c>
      <c r="B303" s="6">
        <v>44102</v>
      </c>
      <c r="C303" s="5" t="s">
        <v>664</v>
      </c>
      <c r="D303" s="5" t="s">
        <v>85</v>
      </c>
      <c r="E303" s="5">
        <v>4</v>
      </c>
    </row>
    <row r="304" spans="1:5">
      <c r="A304" s="5" t="s">
        <v>665</v>
      </c>
      <c r="B304" s="6">
        <v>43762</v>
      </c>
      <c r="C304" s="5" t="s">
        <v>666</v>
      </c>
      <c r="D304" s="5" t="s">
        <v>114</v>
      </c>
      <c r="E304" s="5">
        <v>1</v>
      </c>
    </row>
    <row r="305" spans="1:5">
      <c r="A305" s="5" t="s">
        <v>667</v>
      </c>
      <c r="B305" s="6">
        <v>44412</v>
      </c>
      <c r="C305" s="5" t="s">
        <v>668</v>
      </c>
      <c r="D305" s="5" t="s">
        <v>577</v>
      </c>
      <c r="E305" s="5">
        <v>4</v>
      </c>
    </row>
    <row r="306" spans="1:5">
      <c r="A306" s="5" t="s">
        <v>669</v>
      </c>
      <c r="B306" s="6">
        <v>43828</v>
      </c>
      <c r="C306" s="5" t="s">
        <v>670</v>
      </c>
      <c r="D306" s="5" t="s">
        <v>162</v>
      </c>
      <c r="E306" s="5">
        <v>1</v>
      </c>
    </row>
    <row r="307" spans="1:5">
      <c r="A307" s="5" t="s">
        <v>671</v>
      </c>
      <c r="B307" s="6">
        <v>43796</v>
      </c>
      <c r="C307" s="5" t="s">
        <v>672</v>
      </c>
      <c r="D307" s="5" t="s">
        <v>124</v>
      </c>
      <c r="E307" s="5">
        <v>5</v>
      </c>
    </row>
    <row r="308" spans="1:5">
      <c r="A308" s="5" t="s">
        <v>673</v>
      </c>
      <c r="B308" s="6">
        <v>43890</v>
      </c>
      <c r="C308" s="5" t="s">
        <v>674</v>
      </c>
      <c r="D308" s="5" t="s">
        <v>209</v>
      </c>
      <c r="E308" s="5">
        <v>5</v>
      </c>
    </row>
    <row r="309" spans="1:5">
      <c r="A309" s="5" t="s">
        <v>675</v>
      </c>
      <c r="B309" s="6">
        <v>44227</v>
      </c>
      <c r="C309" s="5" t="s">
        <v>676</v>
      </c>
      <c r="D309" s="5" t="s">
        <v>108</v>
      </c>
      <c r="E309" s="5">
        <v>3</v>
      </c>
    </row>
    <row r="310" spans="1:5">
      <c r="A310" s="5" t="s">
        <v>677</v>
      </c>
      <c r="B310" s="6">
        <v>44729</v>
      </c>
      <c r="C310" s="5" t="s">
        <v>678</v>
      </c>
      <c r="D310" s="5" t="s">
        <v>108</v>
      </c>
      <c r="E310" s="5">
        <v>3</v>
      </c>
    </row>
    <row r="311" spans="1:5">
      <c r="A311" s="5" t="s">
        <v>679</v>
      </c>
      <c r="B311" s="6">
        <v>43864</v>
      </c>
      <c r="C311" s="5" t="s">
        <v>680</v>
      </c>
      <c r="D311" s="5" t="s">
        <v>124</v>
      </c>
      <c r="E311" s="5">
        <v>6</v>
      </c>
    </row>
    <row r="312" spans="1:5">
      <c r="A312" s="5" t="s">
        <v>681</v>
      </c>
      <c r="B312" s="6">
        <v>44586</v>
      </c>
      <c r="C312" s="5" t="s">
        <v>682</v>
      </c>
      <c r="D312" s="5" t="s">
        <v>184</v>
      </c>
      <c r="E312" s="5">
        <v>1</v>
      </c>
    </row>
    <row r="313" spans="1:5">
      <c r="A313" s="5" t="s">
        <v>683</v>
      </c>
      <c r="B313" s="6">
        <v>43951</v>
      </c>
      <c r="C313" s="5" t="s">
        <v>670</v>
      </c>
      <c r="D313" s="5" t="s">
        <v>159</v>
      </c>
      <c r="E313" s="5">
        <v>6</v>
      </c>
    </row>
    <row r="314" spans="1:5">
      <c r="A314" s="5" t="s">
        <v>684</v>
      </c>
      <c r="B314" s="6">
        <v>44317</v>
      </c>
      <c r="C314" s="5" t="s">
        <v>685</v>
      </c>
      <c r="D314" s="5" t="s">
        <v>69</v>
      </c>
      <c r="E314" s="5">
        <v>1</v>
      </c>
    </row>
    <row r="315" spans="1:5">
      <c r="A315" s="5" t="s">
        <v>686</v>
      </c>
      <c r="B315" s="6">
        <v>44497</v>
      </c>
      <c r="C315" s="5" t="s">
        <v>687</v>
      </c>
      <c r="D315" s="5" t="s">
        <v>49</v>
      </c>
      <c r="E315" s="5">
        <v>3</v>
      </c>
    </row>
    <row r="316" spans="1:5">
      <c r="A316" s="5" t="s">
        <v>688</v>
      </c>
      <c r="B316" s="6">
        <v>44437</v>
      </c>
      <c r="C316" s="5" t="s">
        <v>689</v>
      </c>
      <c r="D316" s="5" t="s">
        <v>226</v>
      </c>
      <c r="E316" s="5">
        <v>5</v>
      </c>
    </row>
    <row r="317" spans="1:5">
      <c r="A317" s="5" t="s">
        <v>690</v>
      </c>
      <c r="B317" s="6">
        <v>43826</v>
      </c>
      <c r="C317" s="5" t="s">
        <v>691</v>
      </c>
      <c r="D317" s="5" t="s">
        <v>77</v>
      </c>
      <c r="E317" s="5">
        <v>1</v>
      </c>
    </row>
    <row r="318" spans="1:5">
      <c r="A318" s="5" t="s">
        <v>692</v>
      </c>
      <c r="B318" s="6">
        <v>43641</v>
      </c>
      <c r="C318" s="5" t="s">
        <v>693</v>
      </c>
      <c r="D318" s="5" t="s">
        <v>77</v>
      </c>
      <c r="E318" s="5">
        <v>6</v>
      </c>
    </row>
    <row r="319" spans="1:5">
      <c r="A319" s="5" t="s">
        <v>694</v>
      </c>
      <c r="B319" s="6">
        <v>43526</v>
      </c>
      <c r="C319" s="5" t="s">
        <v>695</v>
      </c>
      <c r="D319" s="5" t="s">
        <v>63</v>
      </c>
      <c r="E319" s="5">
        <v>3</v>
      </c>
    </row>
    <row r="320" spans="1:5">
      <c r="A320" s="5" t="s">
        <v>696</v>
      </c>
      <c r="B320" s="6">
        <v>44563</v>
      </c>
      <c r="C320" s="5" t="s">
        <v>697</v>
      </c>
      <c r="D320" s="5" t="s">
        <v>218</v>
      </c>
      <c r="E320" s="5">
        <v>2</v>
      </c>
    </row>
    <row r="321" spans="1:5">
      <c r="A321" s="5" t="s">
        <v>698</v>
      </c>
      <c r="B321" s="6">
        <v>43676</v>
      </c>
      <c r="C321" s="5" t="s">
        <v>699</v>
      </c>
      <c r="D321" s="5" t="s">
        <v>111</v>
      </c>
      <c r="E321" s="5">
        <v>2</v>
      </c>
    </row>
    <row r="322" spans="1:5">
      <c r="A322" s="5" t="s">
        <v>698</v>
      </c>
      <c r="B322" s="6">
        <v>43676</v>
      </c>
      <c r="C322" s="5" t="s">
        <v>699</v>
      </c>
      <c r="D322" s="5" t="s">
        <v>162</v>
      </c>
      <c r="E322" s="5">
        <v>5</v>
      </c>
    </row>
    <row r="323" spans="1:5">
      <c r="A323" s="5" t="s">
        <v>700</v>
      </c>
      <c r="B323" s="6">
        <v>44170</v>
      </c>
      <c r="C323" s="5" t="s">
        <v>701</v>
      </c>
      <c r="D323" s="5" t="s">
        <v>91</v>
      </c>
      <c r="E323" s="5">
        <v>6</v>
      </c>
    </row>
    <row r="324" spans="1:5">
      <c r="A324" s="5" t="s">
        <v>702</v>
      </c>
      <c r="B324" s="6">
        <v>44182</v>
      </c>
      <c r="C324" s="5" t="s">
        <v>703</v>
      </c>
      <c r="D324" s="5" t="s">
        <v>170</v>
      </c>
      <c r="E324" s="5">
        <v>3</v>
      </c>
    </row>
    <row r="325" spans="1:5">
      <c r="A325" s="5" t="s">
        <v>704</v>
      </c>
      <c r="B325" s="6">
        <v>44373</v>
      </c>
      <c r="C325" s="5" t="s">
        <v>705</v>
      </c>
      <c r="D325" s="5" t="s">
        <v>98</v>
      </c>
      <c r="E325" s="5">
        <v>5</v>
      </c>
    </row>
    <row r="326" spans="1:5">
      <c r="A326" s="5" t="s">
        <v>706</v>
      </c>
      <c r="B326" s="6">
        <v>43666</v>
      </c>
      <c r="C326" s="5" t="s">
        <v>707</v>
      </c>
      <c r="D326" s="5" t="s">
        <v>56</v>
      </c>
      <c r="E326" s="5">
        <v>1</v>
      </c>
    </row>
    <row r="327" spans="1:5">
      <c r="A327" s="5" t="s">
        <v>708</v>
      </c>
      <c r="B327" s="6">
        <v>44756</v>
      </c>
      <c r="C327" s="5" t="s">
        <v>709</v>
      </c>
      <c r="D327" s="5" t="s">
        <v>251</v>
      </c>
      <c r="E327" s="5">
        <v>1</v>
      </c>
    </row>
    <row r="328" spans="1:5">
      <c r="A328" s="5" t="s">
        <v>710</v>
      </c>
      <c r="B328" s="6">
        <v>44057</v>
      </c>
      <c r="C328" s="5" t="s">
        <v>711</v>
      </c>
      <c r="D328" s="5" t="s">
        <v>226</v>
      </c>
      <c r="E328" s="5">
        <v>5</v>
      </c>
    </row>
    <row r="329" spans="1:5">
      <c r="A329" s="5" t="s">
        <v>712</v>
      </c>
      <c r="B329" s="6">
        <v>43579</v>
      </c>
      <c r="C329" s="5" t="s">
        <v>713</v>
      </c>
      <c r="D329" s="5" t="s">
        <v>226</v>
      </c>
      <c r="E329" s="5">
        <v>5</v>
      </c>
    </row>
    <row r="330" spans="1:5">
      <c r="A330" s="5" t="s">
        <v>714</v>
      </c>
      <c r="B330" s="6">
        <v>43620</v>
      </c>
      <c r="C330" s="5" t="s">
        <v>715</v>
      </c>
      <c r="D330" s="5" t="s">
        <v>130</v>
      </c>
      <c r="E330" s="5">
        <v>4</v>
      </c>
    </row>
    <row r="331" spans="1:5">
      <c r="A331" s="5" t="s">
        <v>716</v>
      </c>
      <c r="B331" s="6">
        <v>44781</v>
      </c>
      <c r="C331" s="5" t="s">
        <v>717</v>
      </c>
      <c r="D331" s="5" t="s">
        <v>193</v>
      </c>
      <c r="E331" s="5">
        <v>4</v>
      </c>
    </row>
    <row r="332" spans="1:5">
      <c r="A332" s="5" t="s">
        <v>718</v>
      </c>
      <c r="B332" s="6">
        <v>43782</v>
      </c>
      <c r="C332" s="5" t="s">
        <v>695</v>
      </c>
      <c r="D332" s="5" t="s">
        <v>193</v>
      </c>
      <c r="E332" s="5">
        <v>3</v>
      </c>
    </row>
    <row r="333" spans="1:5">
      <c r="A333" s="5" t="s">
        <v>719</v>
      </c>
      <c r="B333" s="6">
        <v>43989</v>
      </c>
      <c r="C333" s="5" t="s">
        <v>720</v>
      </c>
      <c r="D333" s="5" t="s">
        <v>88</v>
      </c>
      <c r="E333" s="5">
        <v>1</v>
      </c>
    </row>
    <row r="334" spans="1:5">
      <c r="A334" s="5" t="s">
        <v>721</v>
      </c>
      <c r="B334" s="6">
        <v>43689</v>
      </c>
      <c r="C334" s="5" t="s">
        <v>722</v>
      </c>
      <c r="D334" s="5" t="s">
        <v>119</v>
      </c>
      <c r="E334" s="5">
        <v>3</v>
      </c>
    </row>
    <row r="335" spans="1:5">
      <c r="A335" s="5" t="s">
        <v>723</v>
      </c>
      <c r="B335" s="6">
        <v>43712</v>
      </c>
      <c r="C335" s="5" t="s">
        <v>724</v>
      </c>
      <c r="D335" s="5" t="s">
        <v>69</v>
      </c>
      <c r="E335" s="5">
        <v>4</v>
      </c>
    </row>
    <row r="336" spans="1:5">
      <c r="A336" s="5" t="s">
        <v>725</v>
      </c>
      <c r="B336" s="6">
        <v>43742</v>
      </c>
      <c r="C336" s="5" t="s">
        <v>726</v>
      </c>
      <c r="D336" s="5" t="s">
        <v>236</v>
      </c>
      <c r="E336" s="5">
        <v>5</v>
      </c>
    </row>
    <row r="337" spans="1:5">
      <c r="A337" s="5" t="s">
        <v>727</v>
      </c>
      <c r="B337" s="6">
        <v>43885</v>
      </c>
      <c r="C337" s="5" t="s">
        <v>728</v>
      </c>
      <c r="D337" s="5" t="s">
        <v>66</v>
      </c>
      <c r="E337" s="5">
        <v>6</v>
      </c>
    </row>
    <row r="338" spans="1:5">
      <c r="A338" s="5" t="s">
        <v>729</v>
      </c>
      <c r="B338" s="6">
        <v>44434</v>
      </c>
      <c r="C338" s="5" t="s">
        <v>730</v>
      </c>
      <c r="D338" s="5" t="s">
        <v>108</v>
      </c>
      <c r="E338" s="5">
        <v>4</v>
      </c>
    </row>
    <row r="339" spans="1:5">
      <c r="A339" s="5" t="s">
        <v>731</v>
      </c>
      <c r="B339" s="6">
        <v>44472</v>
      </c>
      <c r="C339" s="5" t="s">
        <v>711</v>
      </c>
      <c r="D339" s="5" t="s">
        <v>577</v>
      </c>
      <c r="E339" s="5">
        <v>2</v>
      </c>
    </row>
    <row r="340" spans="1:5">
      <c r="A340" s="5" t="s">
        <v>732</v>
      </c>
      <c r="B340" s="6">
        <v>43995</v>
      </c>
      <c r="C340" s="5" t="s">
        <v>733</v>
      </c>
      <c r="D340" s="5" t="s">
        <v>184</v>
      </c>
      <c r="E340" s="5">
        <v>4</v>
      </c>
    </row>
    <row r="341" spans="1:5">
      <c r="A341" s="5" t="s">
        <v>734</v>
      </c>
      <c r="B341" s="6">
        <v>44256</v>
      </c>
      <c r="C341" s="5" t="s">
        <v>735</v>
      </c>
      <c r="D341" s="5" t="s">
        <v>98</v>
      </c>
      <c r="E341" s="5">
        <v>2</v>
      </c>
    </row>
    <row r="342" spans="1:5">
      <c r="A342" s="5" t="s">
        <v>736</v>
      </c>
      <c r="B342" s="6">
        <v>43528</v>
      </c>
      <c r="C342" s="5" t="s">
        <v>737</v>
      </c>
      <c r="D342" s="5" t="s">
        <v>63</v>
      </c>
      <c r="E342" s="5">
        <v>1</v>
      </c>
    </row>
    <row r="343" spans="1:5">
      <c r="A343" s="5" t="s">
        <v>738</v>
      </c>
      <c r="B343" s="6">
        <v>43751</v>
      </c>
      <c r="C343" s="5" t="s">
        <v>739</v>
      </c>
      <c r="D343" s="5" t="s">
        <v>223</v>
      </c>
      <c r="E343" s="5">
        <v>2</v>
      </c>
    </row>
    <row r="344" spans="1:5">
      <c r="A344" s="5" t="s">
        <v>738</v>
      </c>
      <c r="B344" s="6">
        <v>43751</v>
      </c>
      <c r="C344" s="5" t="s">
        <v>739</v>
      </c>
      <c r="D344" s="5" t="s">
        <v>170</v>
      </c>
      <c r="E344" s="5">
        <v>5</v>
      </c>
    </row>
    <row r="345" spans="1:5">
      <c r="A345" s="5" t="s">
        <v>740</v>
      </c>
      <c r="B345" s="6">
        <v>43692</v>
      </c>
      <c r="C345" s="5" t="s">
        <v>741</v>
      </c>
      <c r="D345" s="5" t="s">
        <v>193</v>
      </c>
      <c r="E345" s="5">
        <v>6</v>
      </c>
    </row>
    <row r="346" spans="1:5">
      <c r="A346" s="5" t="s">
        <v>742</v>
      </c>
      <c r="B346" s="6">
        <v>44529</v>
      </c>
      <c r="C346" s="5" t="s">
        <v>743</v>
      </c>
      <c r="D346" s="5" t="s">
        <v>49</v>
      </c>
      <c r="E346" s="5">
        <v>2</v>
      </c>
    </row>
    <row r="347" spans="1:5">
      <c r="A347" s="5" t="s">
        <v>744</v>
      </c>
      <c r="B347" s="6">
        <v>43849</v>
      </c>
      <c r="C347" s="5" t="s">
        <v>745</v>
      </c>
      <c r="D347" s="5" t="s">
        <v>236</v>
      </c>
      <c r="E347" s="5">
        <v>5</v>
      </c>
    </row>
    <row r="348" spans="1:5">
      <c r="A348" s="5" t="s">
        <v>746</v>
      </c>
      <c r="B348" s="6">
        <v>44344</v>
      </c>
      <c r="C348" s="5" t="s">
        <v>747</v>
      </c>
      <c r="D348" s="5" t="s">
        <v>239</v>
      </c>
      <c r="E348" s="5">
        <v>3</v>
      </c>
    </row>
    <row r="349" spans="1:5">
      <c r="A349" s="5" t="s">
        <v>748</v>
      </c>
      <c r="B349" s="6">
        <v>44576</v>
      </c>
      <c r="C349" s="5" t="s">
        <v>749</v>
      </c>
      <c r="D349" s="5" t="s">
        <v>143</v>
      </c>
      <c r="E349" s="5">
        <v>3</v>
      </c>
    </row>
    <row r="350" spans="1:5">
      <c r="A350" s="5" t="s">
        <v>750</v>
      </c>
      <c r="B350" s="6">
        <v>43803</v>
      </c>
      <c r="C350" s="5" t="s">
        <v>751</v>
      </c>
      <c r="D350" s="5" t="s">
        <v>77</v>
      </c>
      <c r="E350" s="5">
        <v>6</v>
      </c>
    </row>
    <row r="351" spans="1:5">
      <c r="A351" s="5" t="s">
        <v>752</v>
      </c>
      <c r="B351" s="6">
        <v>44743</v>
      </c>
      <c r="C351" s="5" t="s">
        <v>753</v>
      </c>
      <c r="D351" s="5" t="s">
        <v>229</v>
      </c>
      <c r="E351" s="5">
        <v>4</v>
      </c>
    </row>
    <row r="352" spans="1:5">
      <c r="A352" s="5" t="s">
        <v>754</v>
      </c>
      <c r="B352" s="6">
        <v>43592</v>
      </c>
      <c r="C352" s="5" t="s">
        <v>755</v>
      </c>
      <c r="D352" s="5" t="s">
        <v>119</v>
      </c>
      <c r="E352" s="5">
        <v>4</v>
      </c>
    </row>
    <row r="353" spans="1:5">
      <c r="A353" s="5" t="s">
        <v>756</v>
      </c>
      <c r="B353" s="6">
        <v>44066</v>
      </c>
      <c r="C353" s="5" t="s">
        <v>757</v>
      </c>
      <c r="D353" s="5" t="s">
        <v>108</v>
      </c>
      <c r="E353" s="5">
        <v>2</v>
      </c>
    </row>
    <row r="354" spans="1:5">
      <c r="A354" s="5" t="s">
        <v>758</v>
      </c>
      <c r="B354" s="6">
        <v>43984</v>
      </c>
      <c r="C354" s="5" t="s">
        <v>711</v>
      </c>
      <c r="D354" s="5" t="s">
        <v>63</v>
      </c>
      <c r="E354" s="5">
        <v>5</v>
      </c>
    </row>
    <row r="355" spans="1:5">
      <c r="A355" s="5" t="s">
        <v>759</v>
      </c>
      <c r="B355" s="6">
        <v>43860</v>
      </c>
      <c r="C355" s="5" t="s">
        <v>760</v>
      </c>
      <c r="D355" s="5" t="s">
        <v>114</v>
      </c>
      <c r="E355" s="5">
        <v>4</v>
      </c>
    </row>
    <row r="356" spans="1:5">
      <c r="A356" s="5" t="s">
        <v>761</v>
      </c>
      <c r="B356" s="6">
        <v>43876</v>
      </c>
      <c r="C356" s="5" t="s">
        <v>762</v>
      </c>
      <c r="D356" s="5" t="s">
        <v>218</v>
      </c>
      <c r="E356" s="5">
        <v>6</v>
      </c>
    </row>
    <row r="357" spans="1:5">
      <c r="A357" s="5" t="s">
        <v>763</v>
      </c>
      <c r="B357" s="6">
        <v>44358</v>
      </c>
      <c r="C357" s="5" t="s">
        <v>764</v>
      </c>
      <c r="D357" s="5" t="s">
        <v>165</v>
      </c>
      <c r="E357" s="5">
        <v>5</v>
      </c>
    </row>
    <row r="358" spans="1:5">
      <c r="A358" s="5" t="s">
        <v>765</v>
      </c>
      <c r="B358" s="6">
        <v>44631</v>
      </c>
      <c r="C358" s="5" t="s">
        <v>766</v>
      </c>
      <c r="D358" s="5" t="s">
        <v>60</v>
      </c>
      <c r="E358" s="5">
        <v>4</v>
      </c>
    </row>
    <row r="359" spans="1:5">
      <c r="A359" s="5" t="s">
        <v>767</v>
      </c>
      <c r="B359" s="6">
        <v>44448</v>
      </c>
      <c r="C359" s="5" t="s">
        <v>768</v>
      </c>
      <c r="D359" s="5" t="s">
        <v>218</v>
      </c>
      <c r="E359" s="5">
        <v>6</v>
      </c>
    </row>
    <row r="360" spans="1:5">
      <c r="A360" s="5" t="s">
        <v>769</v>
      </c>
      <c r="B360" s="6">
        <v>43599</v>
      </c>
      <c r="C360" s="5" t="s">
        <v>770</v>
      </c>
      <c r="D360" s="5" t="s">
        <v>251</v>
      </c>
      <c r="E360" s="5">
        <v>1</v>
      </c>
    </row>
    <row r="361" spans="1:5">
      <c r="A361" s="5" t="s">
        <v>771</v>
      </c>
      <c r="B361" s="6">
        <v>43563</v>
      </c>
      <c r="C361" s="5" t="s">
        <v>772</v>
      </c>
      <c r="D361" s="5" t="s">
        <v>229</v>
      </c>
      <c r="E361" s="5">
        <v>6</v>
      </c>
    </row>
    <row r="362" spans="1:5">
      <c r="A362" s="5" t="s">
        <v>773</v>
      </c>
      <c r="B362" s="6">
        <v>44058</v>
      </c>
      <c r="C362" s="5" t="s">
        <v>774</v>
      </c>
      <c r="D362" s="5" t="s">
        <v>82</v>
      </c>
      <c r="E362" s="5">
        <v>2</v>
      </c>
    </row>
    <row r="363" spans="1:5">
      <c r="A363" s="5" t="s">
        <v>773</v>
      </c>
      <c r="B363" s="6">
        <v>44058</v>
      </c>
      <c r="C363" s="5" t="s">
        <v>774</v>
      </c>
      <c r="D363" s="5" t="s">
        <v>69</v>
      </c>
      <c r="E363" s="5">
        <v>1</v>
      </c>
    </row>
    <row r="364" spans="1:5">
      <c r="A364" s="5" t="s">
        <v>775</v>
      </c>
      <c r="B364" s="6">
        <v>44686</v>
      </c>
      <c r="C364" s="5" t="s">
        <v>776</v>
      </c>
      <c r="D364" s="5" t="s">
        <v>184</v>
      </c>
      <c r="E364" s="5">
        <v>5</v>
      </c>
    </row>
    <row r="365" spans="1:5">
      <c r="A365" s="5" t="s">
        <v>777</v>
      </c>
      <c r="B365" s="6">
        <v>44282</v>
      </c>
      <c r="C365" s="5" t="s">
        <v>778</v>
      </c>
      <c r="D365" s="5" t="s">
        <v>143</v>
      </c>
      <c r="E365" s="5">
        <v>6</v>
      </c>
    </row>
    <row r="366" spans="1:5">
      <c r="A366" s="5" t="s">
        <v>779</v>
      </c>
      <c r="B366" s="6">
        <v>43582</v>
      </c>
      <c r="C366" s="5" t="s">
        <v>780</v>
      </c>
      <c r="D366" s="5" t="s">
        <v>292</v>
      </c>
      <c r="E366" s="5">
        <v>6</v>
      </c>
    </row>
    <row r="367" spans="1:5">
      <c r="A367" s="5" t="s">
        <v>781</v>
      </c>
      <c r="B367" s="6">
        <v>44464</v>
      </c>
      <c r="C367" s="5" t="s">
        <v>782</v>
      </c>
      <c r="D367" s="5" t="s">
        <v>170</v>
      </c>
      <c r="E367" s="5">
        <v>1</v>
      </c>
    </row>
    <row r="368" spans="1:5">
      <c r="A368" s="5" t="s">
        <v>783</v>
      </c>
      <c r="B368" s="6">
        <v>43874</v>
      </c>
      <c r="C368" s="5" t="s">
        <v>784</v>
      </c>
      <c r="D368" s="5" t="s">
        <v>63</v>
      </c>
      <c r="E368" s="5">
        <v>6</v>
      </c>
    </row>
    <row r="369" spans="1:5">
      <c r="A369" s="5" t="s">
        <v>785</v>
      </c>
      <c r="B369" s="6">
        <v>44393</v>
      </c>
      <c r="C369" s="5" t="s">
        <v>786</v>
      </c>
      <c r="D369" s="5" t="s">
        <v>124</v>
      </c>
      <c r="E369" s="5">
        <v>2</v>
      </c>
    </row>
    <row r="370" spans="1:5">
      <c r="A370" s="5" t="s">
        <v>787</v>
      </c>
      <c r="B370" s="6">
        <v>44692</v>
      </c>
      <c r="C370" s="5" t="s">
        <v>788</v>
      </c>
      <c r="D370" s="5" t="s">
        <v>159</v>
      </c>
      <c r="E370" s="5">
        <v>2</v>
      </c>
    </row>
    <row r="371" spans="1:5">
      <c r="A371" s="5" t="s">
        <v>789</v>
      </c>
      <c r="B371" s="6">
        <v>43500</v>
      </c>
      <c r="C371" s="5" t="s">
        <v>790</v>
      </c>
      <c r="D371" s="5" t="s">
        <v>223</v>
      </c>
      <c r="E371" s="5">
        <v>1</v>
      </c>
    </row>
    <row r="372" spans="1:5">
      <c r="A372" s="5" t="s">
        <v>791</v>
      </c>
      <c r="B372" s="6">
        <v>43501</v>
      </c>
      <c r="C372" s="5" t="s">
        <v>792</v>
      </c>
      <c r="D372" s="5" t="s">
        <v>292</v>
      </c>
      <c r="E372" s="5">
        <v>2</v>
      </c>
    </row>
    <row r="373" spans="1:5">
      <c r="A373" s="5" t="s">
        <v>793</v>
      </c>
      <c r="B373" s="6">
        <v>44705</v>
      </c>
      <c r="C373" s="5" t="s">
        <v>794</v>
      </c>
      <c r="D373" s="5" t="s">
        <v>239</v>
      </c>
      <c r="E373" s="5">
        <v>6</v>
      </c>
    </row>
    <row r="374" spans="1:5">
      <c r="A374" s="5" t="s">
        <v>795</v>
      </c>
      <c r="B374" s="6">
        <v>44108</v>
      </c>
      <c r="C374" s="5" t="s">
        <v>796</v>
      </c>
      <c r="D374" s="5" t="s">
        <v>204</v>
      </c>
      <c r="E374" s="5">
        <v>6</v>
      </c>
    </row>
    <row r="375" spans="1:5">
      <c r="A375" s="5" t="s">
        <v>797</v>
      </c>
      <c r="B375" s="6">
        <v>44742</v>
      </c>
      <c r="C375" s="5" t="s">
        <v>798</v>
      </c>
      <c r="D375" s="5" t="s">
        <v>119</v>
      </c>
      <c r="E375" s="5">
        <v>3</v>
      </c>
    </row>
    <row r="376" spans="1:5">
      <c r="A376" s="5" t="s">
        <v>799</v>
      </c>
      <c r="B376" s="6">
        <v>44125</v>
      </c>
      <c r="C376" s="5" t="s">
        <v>800</v>
      </c>
      <c r="D376" s="5" t="s">
        <v>130</v>
      </c>
      <c r="E376" s="5">
        <v>4</v>
      </c>
    </row>
    <row r="377" spans="1:5">
      <c r="A377" s="5" t="s">
        <v>801</v>
      </c>
      <c r="B377" s="6">
        <v>44120</v>
      </c>
      <c r="C377" s="5" t="s">
        <v>802</v>
      </c>
      <c r="D377" s="5" t="s">
        <v>91</v>
      </c>
      <c r="E377" s="5">
        <v>2</v>
      </c>
    </row>
    <row r="378" spans="1:5">
      <c r="A378" s="5" t="s">
        <v>803</v>
      </c>
      <c r="B378" s="6">
        <v>44097</v>
      </c>
      <c r="C378" s="5" t="s">
        <v>804</v>
      </c>
      <c r="D378" s="5" t="s">
        <v>69</v>
      </c>
      <c r="E378" s="5">
        <v>1</v>
      </c>
    </row>
    <row r="379" spans="1:5">
      <c r="A379" s="5" t="s">
        <v>805</v>
      </c>
      <c r="B379" s="6">
        <v>43532</v>
      </c>
      <c r="C379" s="5" t="s">
        <v>806</v>
      </c>
      <c r="D379" s="5" t="s">
        <v>148</v>
      </c>
      <c r="E379" s="5">
        <v>3</v>
      </c>
    </row>
    <row r="380" spans="1:5">
      <c r="A380" s="5" t="s">
        <v>807</v>
      </c>
      <c r="B380" s="6">
        <v>44377</v>
      </c>
      <c r="C380" s="5" t="s">
        <v>808</v>
      </c>
      <c r="D380" s="5" t="s">
        <v>239</v>
      </c>
      <c r="E380" s="5">
        <v>3</v>
      </c>
    </row>
    <row r="381" spans="1:5">
      <c r="A381" s="5" t="s">
        <v>809</v>
      </c>
      <c r="B381" s="6">
        <v>43690</v>
      </c>
      <c r="C381" s="5" t="s">
        <v>810</v>
      </c>
      <c r="D381" s="5" t="s">
        <v>204</v>
      </c>
      <c r="E381" s="5">
        <v>6</v>
      </c>
    </row>
    <row r="382" spans="1:5">
      <c r="A382" s="5" t="s">
        <v>811</v>
      </c>
      <c r="B382" s="6">
        <v>44249</v>
      </c>
      <c r="C382" s="5" t="s">
        <v>711</v>
      </c>
      <c r="D382" s="5" t="s">
        <v>170</v>
      </c>
      <c r="E382" s="5">
        <v>3</v>
      </c>
    </row>
    <row r="383" spans="1:5">
      <c r="A383" s="5" t="s">
        <v>812</v>
      </c>
      <c r="B383" s="6">
        <v>44646</v>
      </c>
      <c r="C383" s="5" t="s">
        <v>813</v>
      </c>
      <c r="D383" s="5" t="s">
        <v>101</v>
      </c>
      <c r="E383" s="5">
        <v>5</v>
      </c>
    </row>
    <row r="384" spans="1:5">
      <c r="A384" s="5" t="s">
        <v>814</v>
      </c>
      <c r="B384" s="6">
        <v>43840</v>
      </c>
      <c r="C384" s="5" t="s">
        <v>815</v>
      </c>
      <c r="D384" s="5" t="s">
        <v>63</v>
      </c>
      <c r="E384" s="5">
        <v>3</v>
      </c>
    </row>
    <row r="385" spans="1:5">
      <c r="A385" s="5" t="s">
        <v>816</v>
      </c>
      <c r="B385" s="6">
        <v>43586</v>
      </c>
      <c r="C385" s="5" t="s">
        <v>817</v>
      </c>
      <c r="D385" s="5" t="s">
        <v>223</v>
      </c>
      <c r="E385" s="5">
        <v>6</v>
      </c>
    </row>
    <row r="386" spans="1:5">
      <c r="A386" s="5" t="s">
        <v>818</v>
      </c>
      <c r="B386" s="6">
        <v>43870</v>
      </c>
      <c r="C386" s="5" t="s">
        <v>819</v>
      </c>
      <c r="D386" s="5" t="s">
        <v>251</v>
      </c>
      <c r="E386" s="5">
        <v>4</v>
      </c>
    </row>
    <row r="387" spans="1:5">
      <c r="A387" s="5" t="s">
        <v>820</v>
      </c>
      <c r="B387" s="6">
        <v>44559</v>
      </c>
      <c r="C387" s="5" t="s">
        <v>821</v>
      </c>
      <c r="D387" s="5" t="s">
        <v>125</v>
      </c>
      <c r="E387" s="5">
        <v>5</v>
      </c>
    </row>
    <row r="388" spans="1:5">
      <c r="A388" s="5" t="s">
        <v>822</v>
      </c>
      <c r="B388" s="6">
        <v>44083</v>
      </c>
      <c r="C388" s="5" t="s">
        <v>823</v>
      </c>
      <c r="D388" s="5" t="s">
        <v>101</v>
      </c>
      <c r="E388" s="5">
        <v>6</v>
      </c>
    </row>
    <row r="389" spans="1:5">
      <c r="A389" s="5" t="s">
        <v>824</v>
      </c>
      <c r="B389" s="6">
        <v>44455</v>
      </c>
      <c r="C389" s="5" t="s">
        <v>825</v>
      </c>
      <c r="D389" s="5" t="s">
        <v>184</v>
      </c>
      <c r="E389" s="5">
        <v>5</v>
      </c>
    </row>
    <row r="390" spans="1:5">
      <c r="A390" s="5" t="s">
        <v>826</v>
      </c>
      <c r="B390" s="6">
        <v>44130</v>
      </c>
      <c r="C390" s="5" t="s">
        <v>827</v>
      </c>
      <c r="D390" s="5" t="s">
        <v>85</v>
      </c>
      <c r="E390" s="5">
        <v>3</v>
      </c>
    </row>
    <row r="391" spans="1:5">
      <c r="A391" s="5" t="s">
        <v>828</v>
      </c>
      <c r="B391" s="6">
        <v>43536</v>
      </c>
      <c r="C391" s="5" t="s">
        <v>829</v>
      </c>
      <c r="D391" s="5" t="s">
        <v>170</v>
      </c>
      <c r="E391" s="5">
        <v>3</v>
      </c>
    </row>
    <row r="392" spans="1:5">
      <c r="A392" s="5" t="s">
        <v>830</v>
      </c>
      <c r="B392" s="6">
        <v>44245</v>
      </c>
      <c r="C392" s="5" t="s">
        <v>831</v>
      </c>
      <c r="D392" s="5" t="s">
        <v>63</v>
      </c>
      <c r="E392" s="5">
        <v>2</v>
      </c>
    </row>
    <row r="393" spans="1:5">
      <c r="A393" s="5" t="s">
        <v>832</v>
      </c>
      <c r="B393" s="6">
        <v>44133</v>
      </c>
      <c r="C393" s="5" t="s">
        <v>833</v>
      </c>
      <c r="D393" s="5" t="s">
        <v>114</v>
      </c>
      <c r="E393" s="5">
        <v>2</v>
      </c>
    </row>
    <row r="394" spans="1:5">
      <c r="A394" s="5" t="s">
        <v>834</v>
      </c>
      <c r="B394" s="6">
        <v>44445</v>
      </c>
      <c r="C394" s="5" t="s">
        <v>835</v>
      </c>
      <c r="D394" s="5" t="s">
        <v>184</v>
      </c>
      <c r="E394" s="5">
        <v>6</v>
      </c>
    </row>
    <row r="395" spans="1:5">
      <c r="A395" s="5" t="s">
        <v>834</v>
      </c>
      <c r="B395" s="6">
        <v>44445</v>
      </c>
      <c r="C395" s="5" t="s">
        <v>835</v>
      </c>
      <c r="D395" s="5" t="s">
        <v>162</v>
      </c>
      <c r="E395" s="5">
        <v>1</v>
      </c>
    </row>
    <row r="396" spans="1:5">
      <c r="A396" s="5" t="s">
        <v>836</v>
      </c>
      <c r="B396" s="6">
        <v>44083</v>
      </c>
      <c r="C396" s="5" t="s">
        <v>837</v>
      </c>
      <c r="D396" s="5" t="s">
        <v>57</v>
      </c>
      <c r="E396" s="5">
        <v>4</v>
      </c>
    </row>
    <row r="397" spans="1:5">
      <c r="A397" s="5" t="s">
        <v>838</v>
      </c>
      <c r="B397" s="6">
        <v>44465</v>
      </c>
      <c r="C397" s="5" t="s">
        <v>839</v>
      </c>
      <c r="D397" s="5" t="s">
        <v>170</v>
      </c>
      <c r="E397" s="5">
        <v>6</v>
      </c>
    </row>
    <row r="398" spans="1:5">
      <c r="A398" s="5" t="s">
        <v>840</v>
      </c>
      <c r="B398" s="6">
        <v>44140</v>
      </c>
      <c r="C398" s="5" t="s">
        <v>841</v>
      </c>
      <c r="D398" s="5" t="s">
        <v>239</v>
      </c>
      <c r="E398" s="5">
        <v>5</v>
      </c>
    </row>
    <row r="399" spans="1:5">
      <c r="A399" s="5" t="s">
        <v>842</v>
      </c>
      <c r="B399" s="6">
        <v>43720</v>
      </c>
      <c r="C399" s="5" t="s">
        <v>843</v>
      </c>
      <c r="D399" s="5" t="s">
        <v>170</v>
      </c>
      <c r="E399" s="5">
        <v>4</v>
      </c>
    </row>
    <row r="400" spans="1:5">
      <c r="A400" s="5" t="s">
        <v>844</v>
      </c>
      <c r="B400" s="6">
        <v>43677</v>
      </c>
      <c r="C400" s="5" t="s">
        <v>845</v>
      </c>
      <c r="D400" s="5" t="s">
        <v>101</v>
      </c>
      <c r="E400" s="5">
        <v>6</v>
      </c>
    </row>
    <row r="401" spans="1:5">
      <c r="A401" s="5" t="s">
        <v>846</v>
      </c>
      <c r="B401" s="6">
        <v>43539</v>
      </c>
      <c r="C401" s="5" t="s">
        <v>847</v>
      </c>
      <c r="D401" s="5" t="s">
        <v>577</v>
      </c>
      <c r="E401" s="5">
        <v>6</v>
      </c>
    </row>
    <row r="402" spans="1:5">
      <c r="A402" s="5" t="s">
        <v>848</v>
      </c>
      <c r="B402" s="6">
        <v>44332</v>
      </c>
      <c r="C402" s="5" t="s">
        <v>849</v>
      </c>
      <c r="D402" s="5" t="s">
        <v>179</v>
      </c>
      <c r="E402" s="5">
        <v>4</v>
      </c>
    </row>
    <row r="403" spans="1:5">
      <c r="A403" s="5" t="s">
        <v>850</v>
      </c>
      <c r="B403" s="6">
        <v>43591</v>
      </c>
      <c r="C403" s="5" t="s">
        <v>851</v>
      </c>
      <c r="D403" s="5" t="s">
        <v>124</v>
      </c>
      <c r="E403" s="5">
        <v>2</v>
      </c>
    </row>
    <row r="404" spans="1:5">
      <c r="A404" s="5" t="s">
        <v>852</v>
      </c>
      <c r="B404" s="6">
        <v>43502</v>
      </c>
      <c r="C404" s="5" t="s">
        <v>853</v>
      </c>
      <c r="D404" s="5" t="s">
        <v>226</v>
      </c>
      <c r="E404" s="5">
        <v>3</v>
      </c>
    </row>
    <row r="405" spans="1:5">
      <c r="A405" s="5" t="s">
        <v>854</v>
      </c>
      <c r="B405" s="6">
        <v>44295</v>
      </c>
      <c r="C405" s="5" t="s">
        <v>855</v>
      </c>
      <c r="D405" s="5" t="s">
        <v>66</v>
      </c>
      <c r="E405" s="5">
        <v>2</v>
      </c>
    </row>
    <row r="406" spans="1:5">
      <c r="A406" s="5" t="s">
        <v>856</v>
      </c>
      <c r="B406" s="6">
        <v>43971</v>
      </c>
      <c r="C406" s="5" t="s">
        <v>857</v>
      </c>
      <c r="D406" s="5" t="s">
        <v>74</v>
      </c>
      <c r="E406" s="5">
        <v>4</v>
      </c>
    </row>
    <row r="407" spans="1:5">
      <c r="A407" s="5" t="s">
        <v>858</v>
      </c>
      <c r="B407" s="6">
        <v>44167</v>
      </c>
      <c r="C407" s="5" t="s">
        <v>859</v>
      </c>
      <c r="D407" s="5" t="s">
        <v>50</v>
      </c>
      <c r="E407" s="5">
        <v>3</v>
      </c>
    </row>
    <row r="408" spans="1:5">
      <c r="A408" s="5" t="s">
        <v>860</v>
      </c>
      <c r="B408" s="6">
        <v>44416</v>
      </c>
      <c r="C408" s="5" t="s">
        <v>861</v>
      </c>
      <c r="D408" s="5" t="s">
        <v>56</v>
      </c>
      <c r="E408" s="5">
        <v>5</v>
      </c>
    </row>
    <row r="409" spans="1:5">
      <c r="A409" s="5" t="s">
        <v>862</v>
      </c>
      <c r="B409" s="6">
        <v>44595</v>
      </c>
      <c r="C409" s="5" t="s">
        <v>863</v>
      </c>
      <c r="D409" s="5" t="s">
        <v>50</v>
      </c>
      <c r="E409" s="5">
        <v>6</v>
      </c>
    </row>
    <row r="410" spans="1:5">
      <c r="A410" s="5" t="s">
        <v>864</v>
      </c>
      <c r="B410" s="6">
        <v>44659</v>
      </c>
      <c r="C410" s="5" t="s">
        <v>865</v>
      </c>
      <c r="D410" s="5" t="s">
        <v>218</v>
      </c>
      <c r="E410" s="5">
        <v>2</v>
      </c>
    </row>
    <row r="411" spans="1:5">
      <c r="A411" s="5" t="s">
        <v>866</v>
      </c>
      <c r="B411" s="6">
        <v>44203</v>
      </c>
      <c r="C411" s="5" t="s">
        <v>867</v>
      </c>
      <c r="D411" s="5" t="s">
        <v>179</v>
      </c>
      <c r="E411" s="5">
        <v>3</v>
      </c>
    </row>
    <row r="412" spans="1:5">
      <c r="A412" s="5" t="s">
        <v>868</v>
      </c>
      <c r="B412" s="6">
        <v>44441</v>
      </c>
      <c r="C412" s="5" t="s">
        <v>869</v>
      </c>
      <c r="D412" s="5" t="s">
        <v>162</v>
      </c>
      <c r="E412" s="5">
        <v>4</v>
      </c>
    </row>
    <row r="413" spans="1:5">
      <c r="A413" s="5" t="s">
        <v>870</v>
      </c>
      <c r="B413" s="6">
        <v>44504</v>
      </c>
      <c r="C413" s="5" t="s">
        <v>871</v>
      </c>
      <c r="D413" s="5" t="s">
        <v>143</v>
      </c>
      <c r="E413" s="5">
        <v>6</v>
      </c>
    </row>
    <row r="414" spans="1:5">
      <c r="A414" s="5" t="s">
        <v>872</v>
      </c>
      <c r="B414" s="6">
        <v>44410</v>
      </c>
      <c r="C414" s="5" t="s">
        <v>873</v>
      </c>
      <c r="D414" s="5" t="s">
        <v>108</v>
      </c>
      <c r="E414" s="5">
        <v>5</v>
      </c>
    </row>
    <row r="415" spans="1:5">
      <c r="A415" s="5" t="s">
        <v>874</v>
      </c>
      <c r="B415" s="6">
        <v>43857</v>
      </c>
      <c r="C415" s="5" t="s">
        <v>875</v>
      </c>
      <c r="D415" s="5" t="s">
        <v>151</v>
      </c>
      <c r="E415" s="5">
        <v>1</v>
      </c>
    </row>
    <row r="416" spans="1:5">
      <c r="A416" s="5" t="s">
        <v>876</v>
      </c>
      <c r="B416" s="6">
        <v>43802</v>
      </c>
      <c r="C416" s="5" t="s">
        <v>877</v>
      </c>
      <c r="D416" s="5" t="s">
        <v>229</v>
      </c>
      <c r="E416" s="5">
        <v>3</v>
      </c>
    </row>
    <row r="417" spans="1:5">
      <c r="A417" s="5" t="s">
        <v>878</v>
      </c>
      <c r="B417" s="6">
        <v>43683</v>
      </c>
      <c r="C417" s="5" t="s">
        <v>879</v>
      </c>
      <c r="D417" s="5" t="s">
        <v>209</v>
      </c>
      <c r="E417" s="5">
        <v>3</v>
      </c>
    </row>
    <row r="418" spans="1:5">
      <c r="A418" s="5" t="s">
        <v>880</v>
      </c>
      <c r="B418" s="6">
        <v>43901</v>
      </c>
      <c r="C418" s="5" t="s">
        <v>881</v>
      </c>
      <c r="D418" s="5" t="s">
        <v>239</v>
      </c>
      <c r="E418" s="5">
        <v>3</v>
      </c>
    </row>
    <row r="419" spans="1:5">
      <c r="A419" s="5" t="s">
        <v>882</v>
      </c>
      <c r="B419" s="6">
        <v>44457</v>
      </c>
      <c r="C419" s="5" t="s">
        <v>883</v>
      </c>
      <c r="D419" s="5" t="s">
        <v>251</v>
      </c>
      <c r="E419" s="5">
        <v>1</v>
      </c>
    </row>
    <row r="420" spans="1:5">
      <c r="A420" s="5" t="s">
        <v>884</v>
      </c>
      <c r="B420" s="6">
        <v>44142</v>
      </c>
      <c r="C420" s="5" t="s">
        <v>885</v>
      </c>
      <c r="D420" s="5" t="s">
        <v>251</v>
      </c>
      <c r="E420" s="5">
        <v>5</v>
      </c>
    </row>
    <row r="421" spans="1:5">
      <c r="A421" s="5" t="s">
        <v>886</v>
      </c>
      <c r="B421" s="6">
        <v>44739</v>
      </c>
      <c r="C421" s="5" t="s">
        <v>887</v>
      </c>
      <c r="D421" s="5" t="s">
        <v>125</v>
      </c>
      <c r="E421" s="5">
        <v>1</v>
      </c>
    </row>
    <row r="422" spans="1:5">
      <c r="A422" s="5" t="s">
        <v>888</v>
      </c>
      <c r="B422" s="6">
        <v>43866</v>
      </c>
      <c r="C422" s="5" t="s">
        <v>796</v>
      </c>
      <c r="D422" s="5" t="s">
        <v>170</v>
      </c>
      <c r="E422" s="5">
        <v>4</v>
      </c>
    </row>
    <row r="423" spans="1:5">
      <c r="A423" s="5" t="s">
        <v>888</v>
      </c>
      <c r="B423" s="6">
        <v>43866</v>
      </c>
      <c r="C423" s="5" t="s">
        <v>796</v>
      </c>
      <c r="D423" s="5" t="s">
        <v>165</v>
      </c>
      <c r="E423" s="5">
        <v>6</v>
      </c>
    </row>
    <row r="424" spans="1:5">
      <c r="A424" s="5" t="s">
        <v>889</v>
      </c>
      <c r="B424" s="6">
        <v>43868</v>
      </c>
      <c r="C424" s="5" t="s">
        <v>890</v>
      </c>
      <c r="D424" s="5" t="s">
        <v>119</v>
      </c>
      <c r="E424" s="5">
        <v>5</v>
      </c>
    </row>
    <row r="425" spans="1:5">
      <c r="A425" s="5" t="s">
        <v>891</v>
      </c>
      <c r="B425" s="6">
        <v>44183</v>
      </c>
      <c r="C425" s="5" t="s">
        <v>892</v>
      </c>
      <c r="D425" s="5" t="s">
        <v>69</v>
      </c>
      <c r="E425" s="5">
        <v>3</v>
      </c>
    </row>
    <row r="426" spans="1:5">
      <c r="A426" s="5" t="s">
        <v>893</v>
      </c>
      <c r="B426" s="6">
        <v>44431</v>
      </c>
      <c r="C426" s="5" t="s">
        <v>894</v>
      </c>
      <c r="D426" s="5" t="s">
        <v>223</v>
      </c>
      <c r="E426" s="5">
        <v>3</v>
      </c>
    </row>
    <row r="427" spans="1:5">
      <c r="A427" s="5" t="s">
        <v>895</v>
      </c>
      <c r="B427" s="6">
        <v>44428</v>
      </c>
      <c r="C427" s="5" t="s">
        <v>896</v>
      </c>
      <c r="D427" s="5" t="s">
        <v>226</v>
      </c>
      <c r="E427" s="5">
        <v>2</v>
      </c>
    </row>
    <row r="428" spans="1:5">
      <c r="A428" s="5" t="s">
        <v>897</v>
      </c>
      <c r="B428" s="6">
        <v>43556</v>
      </c>
      <c r="C428" s="5" t="s">
        <v>898</v>
      </c>
      <c r="D428" s="5" t="s">
        <v>229</v>
      </c>
      <c r="E428" s="5">
        <v>4</v>
      </c>
    </row>
    <row r="429" spans="1:5">
      <c r="A429" s="5" t="s">
        <v>899</v>
      </c>
      <c r="B429" s="6">
        <v>44224</v>
      </c>
      <c r="C429" s="5" t="s">
        <v>900</v>
      </c>
      <c r="D429" s="5" t="s">
        <v>218</v>
      </c>
      <c r="E429" s="5">
        <v>3</v>
      </c>
    </row>
    <row r="430" spans="1:5">
      <c r="A430" s="5" t="s">
        <v>901</v>
      </c>
      <c r="B430" s="6">
        <v>43759</v>
      </c>
      <c r="C430" s="5" t="s">
        <v>902</v>
      </c>
      <c r="D430" s="5" t="s">
        <v>236</v>
      </c>
      <c r="E430" s="5">
        <v>5</v>
      </c>
    </row>
    <row r="431" spans="1:5">
      <c r="A431" s="5" t="s">
        <v>903</v>
      </c>
      <c r="B431" s="6">
        <v>44367</v>
      </c>
      <c r="C431" s="5" t="s">
        <v>796</v>
      </c>
      <c r="D431" s="5" t="s">
        <v>53</v>
      </c>
      <c r="E431" s="5">
        <v>6</v>
      </c>
    </row>
    <row r="432" spans="1:5">
      <c r="A432" s="5" t="s">
        <v>904</v>
      </c>
      <c r="B432" s="6">
        <v>44504</v>
      </c>
      <c r="C432" s="5" t="s">
        <v>905</v>
      </c>
      <c r="D432" s="5" t="s">
        <v>148</v>
      </c>
      <c r="E432" s="5">
        <v>2</v>
      </c>
    </row>
    <row r="433" spans="1:5">
      <c r="A433" s="5" t="s">
        <v>906</v>
      </c>
      <c r="B433" s="6">
        <v>44291</v>
      </c>
      <c r="C433" s="5" t="s">
        <v>907</v>
      </c>
      <c r="D433" s="5" t="s">
        <v>577</v>
      </c>
      <c r="E433" s="5">
        <v>3</v>
      </c>
    </row>
    <row r="434" spans="1:5">
      <c r="A434" s="5" t="s">
        <v>908</v>
      </c>
      <c r="B434" s="6">
        <v>43808</v>
      </c>
      <c r="C434" s="5" t="s">
        <v>909</v>
      </c>
      <c r="D434" s="5" t="s">
        <v>108</v>
      </c>
      <c r="E434" s="5">
        <v>2</v>
      </c>
    </row>
    <row r="435" spans="1:5">
      <c r="A435" s="5" t="s">
        <v>910</v>
      </c>
      <c r="B435" s="6">
        <v>44563</v>
      </c>
      <c r="C435" s="5" t="s">
        <v>911</v>
      </c>
      <c r="D435" s="5" t="s">
        <v>244</v>
      </c>
      <c r="E435" s="5">
        <v>6</v>
      </c>
    </row>
    <row r="436" spans="1:5">
      <c r="A436" s="5" t="s">
        <v>912</v>
      </c>
      <c r="B436" s="6">
        <v>43807</v>
      </c>
      <c r="C436" s="5" t="s">
        <v>913</v>
      </c>
      <c r="D436" s="5" t="s">
        <v>108</v>
      </c>
      <c r="E436" s="5">
        <v>6</v>
      </c>
    </row>
    <row r="437" spans="1:5">
      <c r="A437" s="5" t="s">
        <v>914</v>
      </c>
      <c r="B437" s="6">
        <v>44528</v>
      </c>
      <c r="C437" s="5" t="s">
        <v>915</v>
      </c>
      <c r="D437" s="5" t="s">
        <v>50</v>
      </c>
      <c r="E437" s="5">
        <v>1</v>
      </c>
    </row>
    <row r="438" spans="1:5">
      <c r="A438" s="5" t="s">
        <v>916</v>
      </c>
      <c r="B438" s="6">
        <v>44631</v>
      </c>
      <c r="C438" s="5" t="s">
        <v>917</v>
      </c>
      <c r="D438" s="5" t="s">
        <v>66</v>
      </c>
      <c r="E438" s="5">
        <v>2</v>
      </c>
    </row>
    <row r="439" spans="1:5">
      <c r="A439" s="5" t="s">
        <v>918</v>
      </c>
      <c r="B439" s="6">
        <v>44213</v>
      </c>
      <c r="C439" s="5" t="s">
        <v>919</v>
      </c>
      <c r="D439" s="5" t="s">
        <v>156</v>
      </c>
      <c r="E439" s="5">
        <v>1</v>
      </c>
    </row>
    <row r="440" spans="1:5">
      <c r="A440" s="5" t="s">
        <v>920</v>
      </c>
      <c r="B440" s="6">
        <v>43483</v>
      </c>
      <c r="C440" s="5" t="s">
        <v>921</v>
      </c>
      <c r="D440" s="5" t="s">
        <v>170</v>
      </c>
      <c r="E440" s="5">
        <v>2</v>
      </c>
    </row>
    <row r="441" spans="1:5">
      <c r="A441" s="5" t="s">
        <v>922</v>
      </c>
      <c r="B441" s="6">
        <v>43562</v>
      </c>
      <c r="C441" s="5" t="s">
        <v>923</v>
      </c>
      <c r="D441" s="5" t="s">
        <v>223</v>
      </c>
      <c r="E441" s="5">
        <v>4</v>
      </c>
    </row>
    <row r="442" spans="1:5">
      <c r="A442" s="5" t="s">
        <v>924</v>
      </c>
      <c r="B442" s="6">
        <v>44230</v>
      </c>
      <c r="C442" s="5" t="s">
        <v>925</v>
      </c>
      <c r="D442" s="5" t="s">
        <v>218</v>
      </c>
      <c r="E442" s="5">
        <v>4</v>
      </c>
    </row>
    <row r="443" spans="1:5">
      <c r="A443" s="5" t="s">
        <v>926</v>
      </c>
      <c r="B443" s="6">
        <v>43573</v>
      </c>
      <c r="C443" s="5" t="s">
        <v>927</v>
      </c>
      <c r="D443" s="5" t="s">
        <v>292</v>
      </c>
      <c r="E443" s="5">
        <v>3</v>
      </c>
    </row>
    <row r="444" spans="1:5">
      <c r="A444" s="5" t="s">
        <v>928</v>
      </c>
      <c r="B444" s="6">
        <v>44384</v>
      </c>
      <c r="C444" s="5" t="s">
        <v>929</v>
      </c>
      <c r="D444" s="5" t="s">
        <v>204</v>
      </c>
      <c r="E444" s="5">
        <v>5</v>
      </c>
    </row>
    <row r="445" spans="1:5">
      <c r="A445" s="5" t="s">
        <v>930</v>
      </c>
      <c r="B445" s="6">
        <v>44250</v>
      </c>
      <c r="C445" s="5" t="s">
        <v>931</v>
      </c>
      <c r="D445" s="5" t="s">
        <v>301</v>
      </c>
      <c r="E445" s="5">
        <v>5</v>
      </c>
    </row>
    <row r="446" spans="1:5">
      <c r="A446" s="5" t="s">
        <v>932</v>
      </c>
      <c r="B446" s="6">
        <v>44418</v>
      </c>
      <c r="C446" s="5" t="s">
        <v>933</v>
      </c>
      <c r="D446" s="5" t="s">
        <v>111</v>
      </c>
      <c r="E446" s="5">
        <v>6</v>
      </c>
    </row>
    <row r="447" spans="1:5">
      <c r="A447" s="5" t="s">
        <v>934</v>
      </c>
      <c r="B447" s="6">
        <v>43784</v>
      </c>
      <c r="C447" s="5" t="s">
        <v>935</v>
      </c>
      <c r="D447" s="5" t="s">
        <v>244</v>
      </c>
      <c r="E447" s="5">
        <v>2</v>
      </c>
    </row>
    <row r="448" spans="1:5">
      <c r="A448" s="5" t="s">
        <v>936</v>
      </c>
      <c r="B448" s="6">
        <v>43816</v>
      </c>
      <c r="C448" s="5" t="s">
        <v>937</v>
      </c>
      <c r="D448" s="5" t="s">
        <v>125</v>
      </c>
      <c r="E448" s="5">
        <v>1</v>
      </c>
    </row>
    <row r="449" spans="1:5">
      <c r="A449" s="5" t="s">
        <v>938</v>
      </c>
      <c r="B449" s="6">
        <v>43908</v>
      </c>
      <c r="C449" s="5" t="s">
        <v>939</v>
      </c>
      <c r="D449" s="5" t="s">
        <v>69</v>
      </c>
      <c r="E449" s="5">
        <v>3</v>
      </c>
    </row>
    <row r="450" spans="1:5">
      <c r="A450" s="5" t="s">
        <v>940</v>
      </c>
      <c r="B450" s="6">
        <v>44718</v>
      </c>
      <c r="C450" s="5" t="s">
        <v>941</v>
      </c>
      <c r="D450" s="5" t="s">
        <v>204</v>
      </c>
      <c r="E450" s="5">
        <v>1</v>
      </c>
    </row>
    <row r="451" spans="1:5">
      <c r="A451" s="5" t="s">
        <v>942</v>
      </c>
      <c r="B451" s="6">
        <v>44336</v>
      </c>
      <c r="C451" s="5" t="s">
        <v>943</v>
      </c>
      <c r="D451" s="5" t="s">
        <v>148</v>
      </c>
      <c r="E451" s="5">
        <v>2</v>
      </c>
    </row>
    <row r="452" spans="1:5">
      <c r="A452" s="5" t="s">
        <v>944</v>
      </c>
      <c r="B452" s="6">
        <v>44207</v>
      </c>
      <c r="C452" s="5" t="s">
        <v>945</v>
      </c>
      <c r="D452" s="5" t="s">
        <v>66</v>
      </c>
      <c r="E452" s="5">
        <v>5</v>
      </c>
    </row>
    <row r="453" spans="1:5">
      <c r="A453" s="5" t="s">
        <v>946</v>
      </c>
      <c r="B453" s="6">
        <v>43518</v>
      </c>
      <c r="C453" s="5" t="s">
        <v>947</v>
      </c>
      <c r="D453" s="5" t="s">
        <v>82</v>
      </c>
      <c r="E453" s="5">
        <v>2</v>
      </c>
    </row>
    <row r="454" spans="1:5">
      <c r="A454" s="5" t="s">
        <v>948</v>
      </c>
      <c r="B454" s="6">
        <v>44524</v>
      </c>
      <c r="C454" s="5" t="s">
        <v>921</v>
      </c>
      <c r="D454" s="5" t="s">
        <v>162</v>
      </c>
      <c r="E454" s="5">
        <v>3</v>
      </c>
    </row>
    <row r="455" spans="1:5">
      <c r="A455" s="5" t="s">
        <v>949</v>
      </c>
      <c r="B455" s="6">
        <v>44579</v>
      </c>
      <c r="C455" s="5" t="s">
        <v>950</v>
      </c>
      <c r="D455" s="5" t="s">
        <v>130</v>
      </c>
      <c r="E455" s="5">
        <v>4</v>
      </c>
    </row>
    <row r="456" spans="1:5">
      <c r="A456" s="5" t="s">
        <v>951</v>
      </c>
      <c r="B456" s="6">
        <v>44421</v>
      </c>
      <c r="C456" s="5" t="s">
        <v>952</v>
      </c>
      <c r="D456" s="5" t="s">
        <v>82</v>
      </c>
      <c r="E456" s="5">
        <v>4</v>
      </c>
    </row>
    <row r="457" spans="1:5">
      <c r="A457" s="5" t="s">
        <v>953</v>
      </c>
      <c r="B457" s="6">
        <v>43841</v>
      </c>
      <c r="C457" s="5" t="s">
        <v>954</v>
      </c>
      <c r="D457" s="5" t="s">
        <v>66</v>
      </c>
      <c r="E457" s="5">
        <v>2</v>
      </c>
    </row>
    <row r="458" spans="1:5">
      <c r="A458" s="5" t="s">
        <v>955</v>
      </c>
      <c r="B458" s="6">
        <v>44017</v>
      </c>
      <c r="C458" s="5" t="s">
        <v>956</v>
      </c>
      <c r="D458" s="5" t="s">
        <v>82</v>
      </c>
      <c r="E458" s="5">
        <v>2</v>
      </c>
    </row>
    <row r="459" spans="1:5">
      <c r="A459" s="5" t="s">
        <v>957</v>
      </c>
      <c r="B459" s="6">
        <v>43671</v>
      </c>
      <c r="C459" s="5" t="s">
        <v>958</v>
      </c>
      <c r="D459" s="5" t="s">
        <v>130</v>
      </c>
      <c r="E459" s="5">
        <v>5</v>
      </c>
    </row>
    <row r="460" spans="1:5">
      <c r="A460" s="5" t="s">
        <v>959</v>
      </c>
      <c r="B460" s="6">
        <v>44707</v>
      </c>
      <c r="C460" s="5" t="s">
        <v>960</v>
      </c>
      <c r="D460" s="5" t="s">
        <v>108</v>
      </c>
      <c r="E460" s="5">
        <v>4</v>
      </c>
    </row>
    <row r="461" spans="1:5">
      <c r="A461" s="5" t="s">
        <v>961</v>
      </c>
      <c r="B461" s="6">
        <v>43840</v>
      </c>
      <c r="C461" s="5" t="s">
        <v>962</v>
      </c>
      <c r="D461" s="5" t="s">
        <v>66</v>
      </c>
      <c r="E461" s="5">
        <v>5</v>
      </c>
    </row>
    <row r="462" spans="1:5">
      <c r="A462" s="5" t="s">
        <v>963</v>
      </c>
      <c r="B462" s="6">
        <v>43602</v>
      </c>
      <c r="C462" s="5" t="s">
        <v>964</v>
      </c>
      <c r="D462" s="5" t="s">
        <v>193</v>
      </c>
      <c r="E462" s="5">
        <v>3</v>
      </c>
    </row>
    <row r="463" spans="1:5">
      <c r="A463" s="5" t="s">
        <v>965</v>
      </c>
      <c r="B463" s="6">
        <v>44036</v>
      </c>
      <c r="C463" s="5" t="s">
        <v>966</v>
      </c>
      <c r="D463" s="5" t="s">
        <v>148</v>
      </c>
      <c r="E463" s="5">
        <v>4</v>
      </c>
    </row>
    <row r="464" spans="1:5">
      <c r="A464" s="5" t="s">
        <v>967</v>
      </c>
      <c r="B464" s="6">
        <v>44124</v>
      </c>
      <c r="C464" s="5" t="s">
        <v>968</v>
      </c>
      <c r="D464" s="5" t="s">
        <v>74</v>
      </c>
      <c r="E464" s="5">
        <v>5</v>
      </c>
    </row>
    <row r="465" spans="1:5">
      <c r="A465" s="5" t="s">
        <v>969</v>
      </c>
      <c r="B465" s="6">
        <v>43730</v>
      </c>
      <c r="C465" s="5" t="s">
        <v>970</v>
      </c>
      <c r="D465" s="5" t="s">
        <v>56</v>
      </c>
      <c r="E465" s="5">
        <v>2</v>
      </c>
    </row>
    <row r="466" spans="1:5">
      <c r="A466" s="5" t="s">
        <v>971</v>
      </c>
      <c r="B466" s="6">
        <v>43989</v>
      </c>
      <c r="C466" s="5" t="s">
        <v>972</v>
      </c>
      <c r="D466" s="5" t="s">
        <v>156</v>
      </c>
      <c r="E466" s="5">
        <v>4</v>
      </c>
    </row>
    <row r="467" spans="1:5">
      <c r="A467" s="5" t="s">
        <v>973</v>
      </c>
      <c r="B467" s="6">
        <v>43814</v>
      </c>
      <c r="C467" s="5" t="s">
        <v>974</v>
      </c>
      <c r="D467" s="5" t="s">
        <v>82</v>
      </c>
      <c r="E467" s="5">
        <v>1</v>
      </c>
    </row>
    <row r="468" spans="1:5">
      <c r="A468" s="5" t="s">
        <v>975</v>
      </c>
      <c r="B468" s="6">
        <v>44171</v>
      </c>
      <c r="C468" s="5" t="s">
        <v>976</v>
      </c>
      <c r="D468" s="5" t="s">
        <v>101</v>
      </c>
      <c r="E468" s="5">
        <v>3</v>
      </c>
    </row>
    <row r="469" spans="1:5">
      <c r="A469" s="5" t="s">
        <v>977</v>
      </c>
      <c r="B469" s="6">
        <v>44536</v>
      </c>
      <c r="C469" s="5" t="s">
        <v>978</v>
      </c>
      <c r="D469" s="5" t="s">
        <v>119</v>
      </c>
      <c r="E469" s="5">
        <v>1</v>
      </c>
    </row>
    <row r="470" spans="1:5">
      <c r="A470" s="5" t="s">
        <v>979</v>
      </c>
      <c r="B470" s="6">
        <v>44023</v>
      </c>
      <c r="C470" s="5" t="s">
        <v>980</v>
      </c>
      <c r="D470" s="5" t="s">
        <v>56</v>
      </c>
      <c r="E470" s="5">
        <v>3</v>
      </c>
    </row>
    <row r="471" spans="1:5">
      <c r="A471" s="5" t="s">
        <v>981</v>
      </c>
      <c r="B471" s="6">
        <v>44375</v>
      </c>
      <c r="C471" s="5" t="s">
        <v>982</v>
      </c>
      <c r="D471" s="5" t="s">
        <v>301</v>
      </c>
      <c r="E471" s="5">
        <v>5</v>
      </c>
    </row>
    <row r="472" spans="1:5">
      <c r="A472" s="5" t="s">
        <v>983</v>
      </c>
      <c r="B472" s="6">
        <v>44656</v>
      </c>
      <c r="C472" s="5" t="s">
        <v>984</v>
      </c>
      <c r="D472" s="5" t="s">
        <v>114</v>
      </c>
      <c r="E472" s="5">
        <v>1</v>
      </c>
    </row>
    <row r="473" spans="1:5">
      <c r="A473" s="5" t="s">
        <v>985</v>
      </c>
      <c r="B473" s="6">
        <v>44644</v>
      </c>
      <c r="C473" s="5" t="s">
        <v>986</v>
      </c>
      <c r="D473" s="5" t="s">
        <v>244</v>
      </c>
      <c r="E473" s="5">
        <v>4</v>
      </c>
    </row>
    <row r="474" spans="1:5">
      <c r="A474" s="5" t="s">
        <v>987</v>
      </c>
      <c r="B474" s="6">
        <v>43869</v>
      </c>
      <c r="C474" s="5" t="s">
        <v>988</v>
      </c>
      <c r="D474" s="5" t="s">
        <v>101</v>
      </c>
      <c r="E474" s="5">
        <v>2</v>
      </c>
    </row>
    <row r="475" spans="1:5">
      <c r="A475" s="5" t="s">
        <v>989</v>
      </c>
      <c r="B475" s="6">
        <v>44603</v>
      </c>
      <c r="C475" s="5" t="s">
        <v>990</v>
      </c>
      <c r="D475" s="5" t="s">
        <v>53</v>
      </c>
      <c r="E475" s="5">
        <v>2</v>
      </c>
    </row>
    <row r="476" spans="1:5">
      <c r="A476" s="5" t="s">
        <v>991</v>
      </c>
      <c r="B476" s="6">
        <v>44014</v>
      </c>
      <c r="C476" s="5" t="s">
        <v>992</v>
      </c>
      <c r="D476" s="5" t="s">
        <v>159</v>
      </c>
      <c r="E476" s="5">
        <v>1</v>
      </c>
    </row>
    <row r="477" spans="1:5">
      <c r="A477" s="5" t="s">
        <v>993</v>
      </c>
      <c r="B477" s="6">
        <v>44767</v>
      </c>
      <c r="C477" s="5" t="s">
        <v>994</v>
      </c>
      <c r="D477" s="5" t="s">
        <v>124</v>
      </c>
      <c r="E477" s="5">
        <v>2</v>
      </c>
    </row>
    <row r="478" spans="1:5">
      <c r="A478" s="5" t="s">
        <v>995</v>
      </c>
      <c r="B478" s="6">
        <v>44274</v>
      </c>
      <c r="C478" s="5" t="s">
        <v>996</v>
      </c>
      <c r="D478" s="5" t="s">
        <v>301</v>
      </c>
      <c r="E478" s="5">
        <v>6</v>
      </c>
    </row>
    <row r="479" spans="1:5">
      <c r="A479" s="5" t="s">
        <v>997</v>
      </c>
      <c r="B479" s="6">
        <v>43962</v>
      </c>
      <c r="C479" s="5" t="s">
        <v>998</v>
      </c>
      <c r="D479" s="5" t="s">
        <v>124</v>
      </c>
      <c r="E479" s="5">
        <v>6</v>
      </c>
    </row>
    <row r="480" spans="1:5">
      <c r="A480" s="5" t="s">
        <v>999</v>
      </c>
      <c r="B480" s="6">
        <v>43624</v>
      </c>
      <c r="C480" s="5" t="s">
        <v>982</v>
      </c>
      <c r="D480" s="5" t="s">
        <v>226</v>
      </c>
      <c r="E480" s="5">
        <v>6</v>
      </c>
    </row>
    <row r="481" spans="1:5">
      <c r="A481" s="5" t="s">
        <v>999</v>
      </c>
      <c r="B481" s="6">
        <v>43624</v>
      </c>
      <c r="C481" s="5" t="s">
        <v>982</v>
      </c>
      <c r="D481" s="5" t="s">
        <v>159</v>
      </c>
      <c r="E481" s="5">
        <v>4</v>
      </c>
    </row>
    <row r="482" spans="1:5">
      <c r="A482" s="5" t="s">
        <v>999</v>
      </c>
      <c r="B482" s="6">
        <v>43624</v>
      </c>
      <c r="C482" s="5" t="s">
        <v>982</v>
      </c>
      <c r="D482" s="5" t="s">
        <v>111</v>
      </c>
      <c r="E482" s="5">
        <v>1</v>
      </c>
    </row>
    <row r="483" spans="1:5">
      <c r="A483" s="5" t="s">
        <v>1000</v>
      </c>
      <c r="B483" s="6">
        <v>43747</v>
      </c>
      <c r="C483" s="5" t="s">
        <v>1001</v>
      </c>
      <c r="D483" s="5" t="s">
        <v>236</v>
      </c>
      <c r="E483" s="5">
        <v>2</v>
      </c>
    </row>
    <row r="484" spans="1:5">
      <c r="A484" s="5" t="s">
        <v>1002</v>
      </c>
      <c r="B484" s="6">
        <v>44247</v>
      </c>
      <c r="C484" s="5" t="s">
        <v>1003</v>
      </c>
      <c r="D484" s="5" t="s">
        <v>577</v>
      </c>
      <c r="E484" s="5">
        <v>5</v>
      </c>
    </row>
    <row r="485" spans="1:5">
      <c r="A485" s="5" t="s">
        <v>1004</v>
      </c>
      <c r="B485" s="6">
        <v>43790</v>
      </c>
      <c r="C485" s="5" t="s">
        <v>1005</v>
      </c>
      <c r="D485" s="5" t="s">
        <v>156</v>
      </c>
      <c r="E485" s="5">
        <v>2</v>
      </c>
    </row>
    <row r="486" spans="1:5">
      <c r="A486" s="5" t="s">
        <v>1006</v>
      </c>
      <c r="B486" s="6">
        <v>44479</v>
      </c>
      <c r="C486" s="5" t="s">
        <v>1007</v>
      </c>
      <c r="D486" s="5" t="s">
        <v>130</v>
      </c>
      <c r="E486" s="5">
        <v>6</v>
      </c>
    </row>
    <row r="487" spans="1:5">
      <c r="A487" s="5" t="s">
        <v>1008</v>
      </c>
      <c r="B487" s="6">
        <v>44413</v>
      </c>
      <c r="C487" s="5" t="s">
        <v>1009</v>
      </c>
      <c r="D487" s="5" t="s">
        <v>229</v>
      </c>
      <c r="E487" s="5">
        <v>6</v>
      </c>
    </row>
    <row r="488" spans="1:5">
      <c r="A488" s="5" t="s">
        <v>1010</v>
      </c>
      <c r="B488" s="6">
        <v>44043</v>
      </c>
      <c r="C488" s="5" t="s">
        <v>1011</v>
      </c>
      <c r="D488" s="5" t="s">
        <v>125</v>
      </c>
      <c r="E488" s="5">
        <v>6</v>
      </c>
    </row>
    <row r="489" spans="1:5">
      <c r="A489" s="5" t="s">
        <v>1012</v>
      </c>
      <c r="B489" s="6">
        <v>44093</v>
      </c>
      <c r="C489" s="5" t="s">
        <v>1013</v>
      </c>
      <c r="D489" s="5" t="s">
        <v>292</v>
      </c>
      <c r="E489" s="5">
        <v>6</v>
      </c>
    </row>
    <row r="490" spans="1:5">
      <c r="A490" s="5" t="s">
        <v>1014</v>
      </c>
      <c r="B490" s="6">
        <v>43954</v>
      </c>
      <c r="C490" s="5" t="s">
        <v>1015</v>
      </c>
      <c r="D490" s="5" t="s">
        <v>209</v>
      </c>
      <c r="E490" s="5">
        <v>5</v>
      </c>
    </row>
    <row r="491" spans="1:5">
      <c r="A491" s="5" t="s">
        <v>1016</v>
      </c>
      <c r="B491" s="6">
        <v>43654</v>
      </c>
      <c r="C491" s="5" t="s">
        <v>1017</v>
      </c>
      <c r="D491" s="5" t="s">
        <v>179</v>
      </c>
      <c r="E491" s="5">
        <v>6</v>
      </c>
    </row>
    <row r="492" spans="1:5">
      <c r="A492" s="5" t="s">
        <v>1018</v>
      </c>
      <c r="B492" s="6">
        <v>43764</v>
      </c>
      <c r="C492" s="5" t="s">
        <v>1019</v>
      </c>
      <c r="D492" s="5" t="s">
        <v>170</v>
      </c>
      <c r="E492" s="5">
        <v>2</v>
      </c>
    </row>
    <row r="493" spans="1:5">
      <c r="A493" s="5" t="s">
        <v>1020</v>
      </c>
      <c r="B493" s="6">
        <v>44101</v>
      </c>
      <c r="C493" s="5" t="s">
        <v>1021</v>
      </c>
      <c r="D493" s="5" t="s">
        <v>85</v>
      </c>
      <c r="E493" s="5">
        <v>6</v>
      </c>
    </row>
    <row r="494" spans="1:5">
      <c r="A494" s="5" t="s">
        <v>1022</v>
      </c>
      <c r="B494" s="6">
        <v>44620</v>
      </c>
      <c r="C494" s="5" t="s">
        <v>1023</v>
      </c>
      <c r="D494" s="5" t="s">
        <v>111</v>
      </c>
      <c r="E494" s="5">
        <v>1</v>
      </c>
    </row>
    <row r="495" spans="1:5">
      <c r="A495" s="5" t="s">
        <v>1024</v>
      </c>
      <c r="B495" s="6">
        <v>44090</v>
      </c>
      <c r="C495" s="5" t="s">
        <v>1025</v>
      </c>
      <c r="D495" s="5" t="s">
        <v>69</v>
      </c>
      <c r="E495" s="5">
        <v>6</v>
      </c>
    </row>
    <row r="496" spans="1:5">
      <c r="A496" s="5" t="s">
        <v>1026</v>
      </c>
      <c r="B496" s="6">
        <v>44132</v>
      </c>
      <c r="C496" s="5" t="s">
        <v>1027</v>
      </c>
      <c r="D496" s="5" t="s">
        <v>179</v>
      </c>
      <c r="E496" s="5">
        <v>2</v>
      </c>
    </row>
    <row r="497" spans="1:5">
      <c r="A497" s="5" t="s">
        <v>1028</v>
      </c>
      <c r="B497" s="6">
        <v>43710</v>
      </c>
      <c r="C497" s="5" t="s">
        <v>1029</v>
      </c>
      <c r="D497" s="5" t="s">
        <v>179</v>
      </c>
      <c r="E497" s="5">
        <v>5</v>
      </c>
    </row>
    <row r="498" spans="1:5">
      <c r="A498" s="5" t="s">
        <v>1030</v>
      </c>
      <c r="B498" s="6">
        <v>44438</v>
      </c>
      <c r="C498" s="5" t="s">
        <v>1031</v>
      </c>
      <c r="D498" s="5" t="s">
        <v>98</v>
      </c>
      <c r="E498" s="5">
        <v>3</v>
      </c>
    </row>
    <row r="499" spans="1:5">
      <c r="A499" s="5" t="s">
        <v>1032</v>
      </c>
      <c r="B499" s="6">
        <v>44351</v>
      </c>
      <c r="C499" s="5" t="s">
        <v>1033</v>
      </c>
      <c r="D499" s="5" t="s">
        <v>74</v>
      </c>
      <c r="E499" s="5">
        <v>4</v>
      </c>
    </row>
    <row r="500" spans="1:5">
      <c r="A500" s="5" t="s">
        <v>1034</v>
      </c>
      <c r="B500" s="6">
        <v>44159</v>
      </c>
      <c r="C500" s="5" t="s">
        <v>1035</v>
      </c>
      <c r="D500" s="5" t="s">
        <v>49</v>
      </c>
      <c r="E500" s="5">
        <v>5</v>
      </c>
    </row>
    <row r="501" spans="1:5">
      <c r="A501" s="5" t="s">
        <v>1036</v>
      </c>
      <c r="B501" s="6">
        <v>44003</v>
      </c>
      <c r="C501" s="5" t="s">
        <v>1037</v>
      </c>
      <c r="D501" s="5" t="s">
        <v>148</v>
      </c>
      <c r="E501" s="5">
        <v>3</v>
      </c>
    </row>
    <row r="502" spans="1:5">
      <c r="A502" s="5" t="s">
        <v>1038</v>
      </c>
      <c r="B502" s="6">
        <v>44025</v>
      </c>
      <c r="C502" s="5" t="s">
        <v>1039</v>
      </c>
      <c r="D502" s="5" t="s">
        <v>236</v>
      </c>
      <c r="E502" s="5">
        <v>4</v>
      </c>
    </row>
    <row r="503" spans="1:5">
      <c r="A503" s="5" t="s">
        <v>1040</v>
      </c>
      <c r="B503" s="6">
        <v>43467</v>
      </c>
      <c r="C503" s="5" t="s">
        <v>1041</v>
      </c>
      <c r="D503" s="5" t="s">
        <v>209</v>
      </c>
      <c r="E503" s="5">
        <v>4</v>
      </c>
    </row>
    <row r="504" spans="1:5">
      <c r="A504" s="5" t="s">
        <v>1040</v>
      </c>
      <c r="B504" s="6">
        <v>43467</v>
      </c>
      <c r="C504" s="5" t="s">
        <v>1041</v>
      </c>
      <c r="D504" s="5" t="s">
        <v>111</v>
      </c>
      <c r="E504" s="5">
        <v>4</v>
      </c>
    </row>
    <row r="505" spans="1:5">
      <c r="A505" s="5" t="s">
        <v>1040</v>
      </c>
      <c r="B505" s="6">
        <v>43467</v>
      </c>
      <c r="C505" s="5" t="s">
        <v>1041</v>
      </c>
      <c r="D505" s="5" t="s">
        <v>60</v>
      </c>
      <c r="E505" s="5">
        <v>4</v>
      </c>
    </row>
    <row r="506" spans="1:5">
      <c r="A506" s="5" t="s">
        <v>1040</v>
      </c>
      <c r="B506" s="6">
        <v>43467</v>
      </c>
      <c r="C506" s="5" t="s">
        <v>1041</v>
      </c>
      <c r="D506" s="5" t="s">
        <v>66</v>
      </c>
      <c r="E506" s="5">
        <v>3</v>
      </c>
    </row>
    <row r="507" spans="1:5">
      <c r="A507" s="5" t="s">
        <v>1042</v>
      </c>
      <c r="B507" s="6">
        <v>44609</v>
      </c>
      <c r="C507" s="5" t="s">
        <v>1043</v>
      </c>
      <c r="D507" s="5" t="s">
        <v>124</v>
      </c>
      <c r="E507" s="5">
        <v>6</v>
      </c>
    </row>
    <row r="508" spans="1:5">
      <c r="A508" s="5" t="s">
        <v>1044</v>
      </c>
      <c r="B508" s="6">
        <v>44184</v>
      </c>
      <c r="C508" s="5" t="s">
        <v>1045</v>
      </c>
      <c r="D508" s="5" t="s">
        <v>53</v>
      </c>
      <c r="E508" s="5">
        <v>2</v>
      </c>
    </row>
    <row r="509" spans="1:5">
      <c r="A509" s="5" t="s">
        <v>1046</v>
      </c>
      <c r="B509" s="6">
        <v>43516</v>
      </c>
      <c r="C509" s="5" t="s">
        <v>1047</v>
      </c>
      <c r="D509" s="5" t="s">
        <v>251</v>
      </c>
      <c r="E509" s="5">
        <v>3</v>
      </c>
    </row>
    <row r="510" spans="1:5">
      <c r="A510" s="5" t="s">
        <v>1048</v>
      </c>
      <c r="B510" s="6">
        <v>44210</v>
      </c>
      <c r="C510" s="5" t="s">
        <v>1049</v>
      </c>
      <c r="D510" s="5" t="s">
        <v>170</v>
      </c>
      <c r="E510" s="5">
        <v>6</v>
      </c>
    </row>
    <row r="511" spans="1:5">
      <c r="A511" s="5" t="s">
        <v>1050</v>
      </c>
      <c r="B511" s="6">
        <v>43785</v>
      </c>
      <c r="C511" s="5" t="s">
        <v>1035</v>
      </c>
      <c r="D511" s="5" t="s">
        <v>74</v>
      </c>
      <c r="E511" s="5">
        <v>3</v>
      </c>
    </row>
    <row r="512" spans="1:5">
      <c r="A512" s="5" t="s">
        <v>1051</v>
      </c>
      <c r="B512" s="6">
        <v>43803</v>
      </c>
      <c r="C512" s="5" t="s">
        <v>1052</v>
      </c>
      <c r="D512" s="5" t="s">
        <v>229</v>
      </c>
      <c r="E512" s="5">
        <v>3</v>
      </c>
    </row>
    <row r="513" spans="1:5">
      <c r="A513" s="5" t="s">
        <v>1053</v>
      </c>
      <c r="B513" s="6">
        <v>44043</v>
      </c>
      <c r="C513" s="5" t="s">
        <v>1054</v>
      </c>
      <c r="D513" s="5" t="s">
        <v>91</v>
      </c>
      <c r="E513" s="5">
        <v>4</v>
      </c>
    </row>
    <row r="514" spans="1:5">
      <c r="A514" s="5" t="s">
        <v>1055</v>
      </c>
      <c r="B514" s="6">
        <v>43535</v>
      </c>
      <c r="C514" s="5" t="s">
        <v>1056</v>
      </c>
      <c r="D514" s="5" t="s">
        <v>179</v>
      </c>
      <c r="E514" s="5">
        <v>3</v>
      </c>
    </row>
    <row r="515" spans="1:5">
      <c r="A515" s="5" t="s">
        <v>1057</v>
      </c>
      <c r="B515" s="6">
        <v>44691</v>
      </c>
      <c r="C515" s="5" t="s">
        <v>1058</v>
      </c>
      <c r="D515" s="5" t="s">
        <v>179</v>
      </c>
      <c r="E515" s="5">
        <v>5</v>
      </c>
    </row>
    <row r="516" spans="1:5">
      <c r="A516" s="5" t="s">
        <v>1059</v>
      </c>
      <c r="B516" s="6">
        <v>44555</v>
      </c>
      <c r="C516" s="5" t="s">
        <v>1060</v>
      </c>
      <c r="D516" s="5" t="s">
        <v>124</v>
      </c>
      <c r="E516" s="5">
        <v>6</v>
      </c>
    </row>
    <row r="517" spans="1:5">
      <c r="A517" s="5" t="s">
        <v>1061</v>
      </c>
      <c r="B517" s="6">
        <v>44673</v>
      </c>
      <c r="C517" s="5" t="s">
        <v>1062</v>
      </c>
      <c r="D517" s="5" t="s">
        <v>204</v>
      </c>
      <c r="E517" s="5">
        <v>3</v>
      </c>
    </row>
    <row r="518" spans="1:5">
      <c r="A518" s="5" t="s">
        <v>1063</v>
      </c>
      <c r="B518" s="6">
        <v>44723</v>
      </c>
      <c r="C518" s="5" t="s">
        <v>1064</v>
      </c>
      <c r="D518" s="5" t="s">
        <v>82</v>
      </c>
      <c r="E518" s="5">
        <v>5</v>
      </c>
    </row>
    <row r="519" spans="1:5">
      <c r="A519" s="5" t="s">
        <v>1065</v>
      </c>
      <c r="B519" s="6">
        <v>44678</v>
      </c>
      <c r="C519" s="5" t="s">
        <v>1066</v>
      </c>
      <c r="D519" s="5" t="s">
        <v>85</v>
      </c>
      <c r="E519" s="5">
        <v>2</v>
      </c>
    </row>
    <row r="520" spans="1:5">
      <c r="A520" s="5" t="s">
        <v>1067</v>
      </c>
      <c r="B520" s="6">
        <v>44194</v>
      </c>
      <c r="C520" s="5" t="s">
        <v>1068</v>
      </c>
      <c r="D520" s="5" t="s">
        <v>577</v>
      </c>
      <c r="E520" s="5">
        <v>5</v>
      </c>
    </row>
    <row r="521" spans="1:5">
      <c r="A521" s="5" t="s">
        <v>1069</v>
      </c>
      <c r="B521" s="6">
        <v>44026</v>
      </c>
      <c r="C521" s="5" t="s">
        <v>1035</v>
      </c>
      <c r="D521" s="5" t="s">
        <v>119</v>
      </c>
      <c r="E521" s="5">
        <v>2</v>
      </c>
    </row>
    <row r="522" spans="1:5">
      <c r="A522" s="5" t="s">
        <v>1070</v>
      </c>
      <c r="B522" s="6">
        <v>44446</v>
      </c>
      <c r="C522" s="5" t="s">
        <v>1071</v>
      </c>
      <c r="D522" s="5" t="s">
        <v>85</v>
      </c>
      <c r="E522" s="5">
        <v>1</v>
      </c>
    </row>
    <row r="523" spans="1:5">
      <c r="A523" s="5" t="s">
        <v>1070</v>
      </c>
      <c r="B523" s="6">
        <v>44446</v>
      </c>
      <c r="C523" s="5" t="s">
        <v>1071</v>
      </c>
      <c r="D523" s="5" t="s">
        <v>49</v>
      </c>
      <c r="E523" s="5">
        <v>4</v>
      </c>
    </row>
    <row r="524" spans="1:5">
      <c r="A524" s="5" t="s">
        <v>1072</v>
      </c>
      <c r="B524" s="6">
        <v>43625</v>
      </c>
      <c r="C524" s="5" t="s">
        <v>1073</v>
      </c>
      <c r="D524" s="5" t="s">
        <v>69</v>
      </c>
      <c r="E524" s="5">
        <v>5</v>
      </c>
    </row>
    <row r="525" spans="1:5">
      <c r="A525" s="5" t="s">
        <v>1074</v>
      </c>
      <c r="B525" s="6">
        <v>44129</v>
      </c>
      <c r="C525" s="5" t="s">
        <v>1075</v>
      </c>
      <c r="D525" s="5" t="s">
        <v>156</v>
      </c>
      <c r="E525" s="5">
        <v>1</v>
      </c>
    </row>
    <row r="526" spans="1:5">
      <c r="A526" s="5" t="s">
        <v>1076</v>
      </c>
      <c r="B526" s="6">
        <v>44255</v>
      </c>
      <c r="C526" s="5" t="s">
        <v>1077</v>
      </c>
      <c r="D526" s="5" t="s">
        <v>151</v>
      </c>
      <c r="E526" s="5">
        <v>2</v>
      </c>
    </row>
    <row r="527" spans="1:5">
      <c r="A527" s="5" t="s">
        <v>1078</v>
      </c>
      <c r="B527" s="6">
        <v>44038</v>
      </c>
      <c r="C527" s="5" t="s">
        <v>1079</v>
      </c>
      <c r="D527" s="5" t="s">
        <v>148</v>
      </c>
      <c r="E527" s="5">
        <v>5</v>
      </c>
    </row>
    <row r="528" spans="1:5">
      <c r="A528" s="5" t="s">
        <v>1080</v>
      </c>
      <c r="B528" s="6">
        <v>44717</v>
      </c>
      <c r="C528" s="5" t="s">
        <v>1081</v>
      </c>
      <c r="D528" s="5" t="s">
        <v>159</v>
      </c>
      <c r="E528" s="5">
        <v>4</v>
      </c>
    </row>
    <row r="529" spans="1:5">
      <c r="A529" s="5" t="s">
        <v>1082</v>
      </c>
      <c r="B529" s="6">
        <v>43517</v>
      </c>
      <c r="C529" s="5" t="s">
        <v>1083</v>
      </c>
      <c r="D529" s="5" t="s">
        <v>50</v>
      </c>
      <c r="E529" s="5">
        <v>5</v>
      </c>
    </row>
    <row r="530" spans="1:5">
      <c r="A530" s="5" t="s">
        <v>1084</v>
      </c>
      <c r="B530" s="6">
        <v>43926</v>
      </c>
      <c r="C530" s="5" t="s">
        <v>1085</v>
      </c>
      <c r="D530" s="5" t="s">
        <v>223</v>
      </c>
      <c r="E530" s="5">
        <v>6</v>
      </c>
    </row>
    <row r="531" spans="1:5">
      <c r="A531" s="5" t="s">
        <v>1086</v>
      </c>
      <c r="B531" s="6">
        <v>43475</v>
      </c>
      <c r="C531" s="5" t="s">
        <v>1087</v>
      </c>
      <c r="D531" s="5" t="s">
        <v>49</v>
      </c>
      <c r="E531" s="5">
        <v>6</v>
      </c>
    </row>
    <row r="532" spans="1:5">
      <c r="A532" s="5" t="s">
        <v>1088</v>
      </c>
      <c r="B532" s="6">
        <v>44663</v>
      </c>
      <c r="C532" s="5" t="s">
        <v>1089</v>
      </c>
      <c r="D532" s="5" t="s">
        <v>49</v>
      </c>
      <c r="E532" s="5">
        <v>6</v>
      </c>
    </row>
    <row r="533" spans="1:5">
      <c r="A533" s="5" t="s">
        <v>1090</v>
      </c>
      <c r="B533" s="6">
        <v>44591</v>
      </c>
      <c r="C533" s="5" t="s">
        <v>1091</v>
      </c>
      <c r="D533" s="5" t="s">
        <v>226</v>
      </c>
      <c r="E533" s="5">
        <v>5</v>
      </c>
    </row>
    <row r="534" spans="1:5">
      <c r="A534" s="5" t="s">
        <v>1092</v>
      </c>
      <c r="B534" s="6">
        <v>44330</v>
      </c>
      <c r="C534" s="5" t="s">
        <v>1093</v>
      </c>
      <c r="D534" s="5" t="s">
        <v>50</v>
      </c>
      <c r="E534" s="5">
        <v>2</v>
      </c>
    </row>
    <row r="535" spans="1:5">
      <c r="A535" s="5" t="s">
        <v>1094</v>
      </c>
      <c r="B535" s="6">
        <v>44724</v>
      </c>
      <c r="C535" s="5" t="s">
        <v>1095</v>
      </c>
      <c r="D535" s="5" t="s">
        <v>193</v>
      </c>
      <c r="E535" s="5">
        <v>4</v>
      </c>
    </row>
    <row r="536" spans="1:5">
      <c r="A536" s="5" t="s">
        <v>1096</v>
      </c>
      <c r="B536" s="6">
        <v>44563</v>
      </c>
      <c r="C536" s="5" t="s">
        <v>1097</v>
      </c>
      <c r="D536" s="5" t="s">
        <v>88</v>
      </c>
      <c r="E536" s="5">
        <v>2</v>
      </c>
    </row>
    <row r="537" spans="1:5">
      <c r="A537" s="5" t="s">
        <v>1098</v>
      </c>
      <c r="B537" s="6">
        <v>44585</v>
      </c>
      <c r="C537" s="5" t="s">
        <v>1099</v>
      </c>
      <c r="D537" s="5" t="s">
        <v>66</v>
      </c>
      <c r="E537" s="5">
        <v>2</v>
      </c>
    </row>
    <row r="538" spans="1:5">
      <c r="A538" s="5" t="s">
        <v>1100</v>
      </c>
      <c r="B538" s="6">
        <v>43544</v>
      </c>
      <c r="C538" s="5" t="s">
        <v>1035</v>
      </c>
      <c r="D538" s="5" t="s">
        <v>148</v>
      </c>
      <c r="E538" s="5">
        <v>3</v>
      </c>
    </row>
    <row r="539" spans="1:5">
      <c r="A539" s="5" t="s">
        <v>1101</v>
      </c>
      <c r="B539" s="6">
        <v>44156</v>
      </c>
      <c r="C539" s="5" t="s">
        <v>1102</v>
      </c>
      <c r="D539" s="5" t="s">
        <v>577</v>
      </c>
      <c r="E539" s="5">
        <v>4</v>
      </c>
    </row>
    <row r="540" spans="1:5">
      <c r="A540" s="5" t="s">
        <v>1103</v>
      </c>
      <c r="B540" s="6">
        <v>44482</v>
      </c>
      <c r="C540" s="5" t="s">
        <v>1104</v>
      </c>
      <c r="D540" s="5" t="s">
        <v>148</v>
      </c>
      <c r="E540" s="5">
        <v>4</v>
      </c>
    </row>
    <row r="541" spans="1:5">
      <c r="A541" s="5" t="s">
        <v>1105</v>
      </c>
      <c r="B541" s="6">
        <v>44488</v>
      </c>
      <c r="C541" s="5" t="s">
        <v>1106</v>
      </c>
      <c r="D541" s="5" t="s">
        <v>193</v>
      </c>
      <c r="E541" s="5">
        <v>5</v>
      </c>
    </row>
    <row r="542" spans="1:5">
      <c r="A542" s="5" t="s">
        <v>1107</v>
      </c>
      <c r="B542" s="6">
        <v>43584</v>
      </c>
      <c r="C542" s="5" t="s">
        <v>1108</v>
      </c>
      <c r="D542" s="5" t="s">
        <v>179</v>
      </c>
      <c r="E542" s="5">
        <v>4</v>
      </c>
    </row>
    <row r="543" spans="1:5">
      <c r="A543" s="5" t="s">
        <v>1109</v>
      </c>
      <c r="B543" s="6">
        <v>43750</v>
      </c>
      <c r="C543" s="5" t="s">
        <v>1110</v>
      </c>
      <c r="D543" s="5" t="s">
        <v>165</v>
      </c>
      <c r="E543" s="5">
        <v>1</v>
      </c>
    </row>
    <row r="544" spans="1:5">
      <c r="A544" s="5" t="s">
        <v>1111</v>
      </c>
      <c r="B544" s="6">
        <v>44335</v>
      </c>
      <c r="C544" s="5" t="s">
        <v>1112</v>
      </c>
      <c r="D544" s="5" t="s">
        <v>218</v>
      </c>
      <c r="E544" s="5">
        <v>4</v>
      </c>
    </row>
    <row r="545" spans="1:5">
      <c r="A545" s="5" t="s">
        <v>1113</v>
      </c>
      <c r="B545" s="6">
        <v>44380</v>
      </c>
      <c r="C545" s="5" t="s">
        <v>1114</v>
      </c>
      <c r="D545" s="5" t="s">
        <v>57</v>
      </c>
      <c r="E545" s="5">
        <v>2</v>
      </c>
    </row>
    <row r="546" spans="1:5">
      <c r="A546" s="5" t="s">
        <v>1115</v>
      </c>
      <c r="B546" s="6">
        <v>43869</v>
      </c>
      <c r="C546" s="5" t="s">
        <v>1116</v>
      </c>
      <c r="D546" s="5" t="s">
        <v>239</v>
      </c>
      <c r="E546" s="5">
        <v>2</v>
      </c>
    </row>
    <row r="547" spans="1:5">
      <c r="A547" s="5" t="s">
        <v>1117</v>
      </c>
      <c r="B547" s="6">
        <v>44120</v>
      </c>
      <c r="C547" s="5" t="s">
        <v>1118</v>
      </c>
      <c r="D547" s="5" t="s">
        <v>85</v>
      </c>
      <c r="E547" s="5">
        <v>4</v>
      </c>
    </row>
    <row r="548" spans="1:5">
      <c r="A548" s="5" t="s">
        <v>1119</v>
      </c>
      <c r="B548" s="6">
        <v>44127</v>
      </c>
      <c r="C548" s="5" t="s">
        <v>1120</v>
      </c>
      <c r="D548" s="5" t="s">
        <v>577</v>
      </c>
      <c r="E548" s="5">
        <v>3</v>
      </c>
    </row>
    <row r="549" spans="1:5">
      <c r="A549" s="5" t="s">
        <v>1121</v>
      </c>
      <c r="B549" s="6">
        <v>44265</v>
      </c>
      <c r="C549" s="5" t="s">
        <v>1122</v>
      </c>
      <c r="D549" s="5" t="s">
        <v>229</v>
      </c>
      <c r="E549" s="5">
        <v>3</v>
      </c>
    </row>
    <row r="550" spans="1:5">
      <c r="A550" s="5" t="s">
        <v>1123</v>
      </c>
      <c r="B550" s="6">
        <v>44384</v>
      </c>
      <c r="C550" s="5" t="s">
        <v>1124</v>
      </c>
      <c r="D550" s="5" t="s">
        <v>301</v>
      </c>
      <c r="E550" s="5">
        <v>3</v>
      </c>
    </row>
    <row r="551" spans="1:5">
      <c r="A551" s="5" t="s">
        <v>1125</v>
      </c>
      <c r="B551" s="6">
        <v>44232</v>
      </c>
      <c r="C551" s="5" t="s">
        <v>1122</v>
      </c>
      <c r="D551" s="5" t="s">
        <v>301</v>
      </c>
      <c r="E551" s="5">
        <v>4</v>
      </c>
    </row>
    <row r="552" spans="1:5">
      <c r="A552" s="5" t="s">
        <v>1126</v>
      </c>
      <c r="B552" s="6">
        <v>44176</v>
      </c>
      <c r="C552" s="5" t="s">
        <v>1127</v>
      </c>
      <c r="D552" s="5" t="s">
        <v>85</v>
      </c>
      <c r="E552" s="5">
        <v>6</v>
      </c>
    </row>
    <row r="553" spans="1:5">
      <c r="A553" s="5" t="s">
        <v>1128</v>
      </c>
      <c r="B553" s="6">
        <v>44694</v>
      </c>
      <c r="C553" s="5" t="s">
        <v>1129</v>
      </c>
      <c r="D553" s="5" t="s">
        <v>98</v>
      </c>
      <c r="E553" s="5">
        <v>2</v>
      </c>
    </row>
    <row r="554" spans="1:5">
      <c r="A554" s="5" t="s">
        <v>1130</v>
      </c>
      <c r="B554" s="6">
        <v>43761</v>
      </c>
      <c r="C554" s="5" t="s">
        <v>1131</v>
      </c>
      <c r="D554" s="5" t="s">
        <v>301</v>
      </c>
      <c r="E554" s="5">
        <v>4</v>
      </c>
    </row>
    <row r="555" spans="1:5">
      <c r="A555" s="5" t="s">
        <v>1132</v>
      </c>
      <c r="B555" s="6">
        <v>44085</v>
      </c>
      <c r="C555" s="5" t="s">
        <v>1133</v>
      </c>
      <c r="D555" s="5" t="s">
        <v>56</v>
      </c>
      <c r="E555" s="5">
        <v>5</v>
      </c>
    </row>
    <row r="556" spans="1:5">
      <c r="A556" s="5" t="s">
        <v>1134</v>
      </c>
      <c r="B556" s="6">
        <v>43737</v>
      </c>
      <c r="C556" s="5" t="s">
        <v>1135</v>
      </c>
      <c r="D556" s="5" t="s">
        <v>57</v>
      </c>
      <c r="E556" s="5">
        <v>2</v>
      </c>
    </row>
    <row r="557" spans="1:5">
      <c r="A557" s="5" t="s">
        <v>1136</v>
      </c>
      <c r="B557" s="6">
        <v>44258</v>
      </c>
      <c r="C557" s="5" t="s">
        <v>1137</v>
      </c>
      <c r="D557" s="5" t="s">
        <v>56</v>
      </c>
      <c r="E557" s="5">
        <v>6</v>
      </c>
    </row>
    <row r="558" spans="1:5">
      <c r="A558" s="5" t="s">
        <v>1138</v>
      </c>
      <c r="B558" s="6">
        <v>44523</v>
      </c>
      <c r="C558" s="5" t="s">
        <v>1139</v>
      </c>
      <c r="D558" s="5" t="s">
        <v>124</v>
      </c>
      <c r="E558" s="5">
        <v>2</v>
      </c>
    </row>
    <row r="559" spans="1:5">
      <c r="A559" s="5" t="s">
        <v>1140</v>
      </c>
      <c r="B559" s="6">
        <v>44506</v>
      </c>
      <c r="C559" s="5" t="s">
        <v>1035</v>
      </c>
      <c r="D559" s="5" t="s">
        <v>184</v>
      </c>
      <c r="E559" s="5">
        <v>4</v>
      </c>
    </row>
    <row r="560" spans="1:5">
      <c r="A560" s="5" t="s">
        <v>1141</v>
      </c>
      <c r="B560" s="6">
        <v>44225</v>
      </c>
      <c r="C560" s="5" t="s">
        <v>1142</v>
      </c>
      <c r="D560" s="5" t="s">
        <v>85</v>
      </c>
      <c r="E560" s="5">
        <v>4</v>
      </c>
    </row>
    <row r="561" spans="1:5">
      <c r="A561" s="5" t="s">
        <v>1143</v>
      </c>
      <c r="B561" s="6">
        <v>44667</v>
      </c>
      <c r="C561" s="5" t="s">
        <v>1144</v>
      </c>
      <c r="D561" s="5" t="s">
        <v>53</v>
      </c>
      <c r="E561" s="5">
        <v>3</v>
      </c>
    </row>
    <row r="562" spans="1:5">
      <c r="A562" s="5" t="s">
        <v>1145</v>
      </c>
      <c r="B562" s="6">
        <v>44401</v>
      </c>
      <c r="C562" s="5" t="s">
        <v>1146</v>
      </c>
      <c r="D562" s="5" t="s">
        <v>159</v>
      </c>
      <c r="E562" s="5">
        <v>6</v>
      </c>
    </row>
    <row r="563" spans="1:5">
      <c r="A563" s="5" t="s">
        <v>1147</v>
      </c>
      <c r="B563" s="6">
        <v>43688</v>
      </c>
      <c r="C563" s="5" t="s">
        <v>1148</v>
      </c>
      <c r="D563" s="5" t="s">
        <v>101</v>
      </c>
      <c r="E563" s="5">
        <v>6</v>
      </c>
    </row>
    <row r="564" spans="1:5">
      <c r="A564" s="5" t="s">
        <v>1149</v>
      </c>
      <c r="B564" s="6">
        <v>43669</v>
      </c>
      <c r="C564" s="5" t="s">
        <v>1150</v>
      </c>
      <c r="D564" s="5" t="s">
        <v>66</v>
      </c>
      <c r="E564" s="5">
        <v>6</v>
      </c>
    </row>
    <row r="565" spans="1:5">
      <c r="A565" s="5" t="s">
        <v>1151</v>
      </c>
      <c r="B565" s="6">
        <v>43991</v>
      </c>
      <c r="C565" s="5" t="s">
        <v>1152</v>
      </c>
      <c r="D565" s="5" t="s">
        <v>56</v>
      </c>
      <c r="E565" s="5">
        <v>6</v>
      </c>
    </row>
    <row r="566" spans="1:5">
      <c r="A566" s="5" t="s">
        <v>1153</v>
      </c>
      <c r="B566" s="6">
        <v>43883</v>
      </c>
      <c r="C566" s="5" t="s">
        <v>1154</v>
      </c>
      <c r="D566" s="5" t="s">
        <v>204</v>
      </c>
      <c r="E566" s="5">
        <v>2</v>
      </c>
    </row>
    <row r="567" spans="1:5">
      <c r="A567" s="5" t="s">
        <v>1155</v>
      </c>
      <c r="B567" s="6">
        <v>44031</v>
      </c>
      <c r="C567" s="5" t="s">
        <v>1156</v>
      </c>
      <c r="D567" s="5" t="s">
        <v>82</v>
      </c>
      <c r="E567" s="5">
        <v>4</v>
      </c>
    </row>
    <row r="568" spans="1:5">
      <c r="A568" s="5" t="s">
        <v>1157</v>
      </c>
      <c r="B568" s="6">
        <v>44459</v>
      </c>
      <c r="C568" s="5" t="s">
        <v>1158</v>
      </c>
      <c r="D568" s="5" t="s">
        <v>91</v>
      </c>
      <c r="E568" s="5">
        <v>6</v>
      </c>
    </row>
    <row r="569" spans="1:5">
      <c r="A569" s="5" t="s">
        <v>1159</v>
      </c>
      <c r="B569" s="6">
        <v>44318</v>
      </c>
      <c r="C569" s="5" t="s">
        <v>1160</v>
      </c>
      <c r="D569" s="5" t="s">
        <v>57</v>
      </c>
      <c r="E569" s="5">
        <v>6</v>
      </c>
    </row>
    <row r="570" spans="1:5">
      <c r="A570" s="5" t="s">
        <v>1161</v>
      </c>
      <c r="B570" s="6">
        <v>44526</v>
      </c>
      <c r="C570" s="5" t="s">
        <v>1162</v>
      </c>
      <c r="D570" s="5" t="s">
        <v>66</v>
      </c>
      <c r="E570" s="5">
        <v>4</v>
      </c>
    </row>
    <row r="571" spans="1:5">
      <c r="A571" s="5" t="s">
        <v>1163</v>
      </c>
      <c r="B571" s="6">
        <v>43879</v>
      </c>
      <c r="C571" s="5" t="s">
        <v>1152</v>
      </c>
      <c r="D571" s="5" t="s">
        <v>165</v>
      </c>
      <c r="E571" s="5">
        <v>6</v>
      </c>
    </row>
    <row r="572" spans="1:5">
      <c r="A572" s="5" t="s">
        <v>1164</v>
      </c>
      <c r="B572" s="6">
        <v>43928</v>
      </c>
      <c r="C572" s="5" t="s">
        <v>1165</v>
      </c>
      <c r="D572" s="5" t="s">
        <v>114</v>
      </c>
      <c r="E572" s="5">
        <v>4</v>
      </c>
    </row>
    <row r="573" spans="1:5">
      <c r="A573" s="5" t="s">
        <v>1166</v>
      </c>
      <c r="B573" s="6">
        <v>44592</v>
      </c>
      <c r="C573" s="5" t="s">
        <v>1167</v>
      </c>
      <c r="D573" s="5" t="s">
        <v>223</v>
      </c>
      <c r="E573" s="5">
        <v>4</v>
      </c>
    </row>
    <row r="574" spans="1:5">
      <c r="A574" s="5" t="s">
        <v>1168</v>
      </c>
      <c r="B574" s="6">
        <v>43515</v>
      </c>
      <c r="C574" s="5" t="s">
        <v>1169</v>
      </c>
      <c r="D574" s="5" t="s">
        <v>101</v>
      </c>
      <c r="E574" s="5">
        <v>2</v>
      </c>
    </row>
    <row r="575" spans="1:5">
      <c r="A575" s="5" t="s">
        <v>1170</v>
      </c>
      <c r="B575" s="6">
        <v>43781</v>
      </c>
      <c r="C575" s="5" t="s">
        <v>1171</v>
      </c>
      <c r="D575" s="5" t="s">
        <v>108</v>
      </c>
      <c r="E575" s="5">
        <v>6</v>
      </c>
    </row>
    <row r="576" spans="1:5">
      <c r="A576" s="5" t="s">
        <v>1172</v>
      </c>
      <c r="B576" s="6">
        <v>44697</v>
      </c>
      <c r="C576" s="5" t="s">
        <v>1173</v>
      </c>
      <c r="D576" s="5" t="s">
        <v>229</v>
      </c>
      <c r="E576" s="5">
        <v>6</v>
      </c>
    </row>
    <row r="577" spans="1:5">
      <c r="A577" s="5" t="s">
        <v>1174</v>
      </c>
      <c r="B577" s="6">
        <v>44239</v>
      </c>
      <c r="C577" s="5" t="s">
        <v>1175</v>
      </c>
      <c r="D577" s="5" t="s">
        <v>244</v>
      </c>
      <c r="E577" s="5">
        <v>2</v>
      </c>
    </row>
    <row r="578" spans="1:5">
      <c r="A578" s="5" t="s">
        <v>1176</v>
      </c>
      <c r="B578" s="6">
        <v>44290</v>
      </c>
      <c r="C578" s="5" t="s">
        <v>1177</v>
      </c>
      <c r="D578" s="5" t="s">
        <v>101</v>
      </c>
      <c r="E578" s="5">
        <v>6</v>
      </c>
    </row>
    <row r="579" spans="1:5">
      <c r="A579" s="5" t="s">
        <v>1178</v>
      </c>
      <c r="B579" s="6">
        <v>44410</v>
      </c>
      <c r="C579" s="5" t="s">
        <v>1152</v>
      </c>
      <c r="D579" s="5" t="s">
        <v>143</v>
      </c>
      <c r="E579" s="5">
        <v>4</v>
      </c>
    </row>
    <row r="580" spans="1:5">
      <c r="A580" s="5" t="s">
        <v>1179</v>
      </c>
      <c r="B580" s="6">
        <v>44720</v>
      </c>
      <c r="C580" s="5" t="s">
        <v>1180</v>
      </c>
      <c r="D580" s="5" t="s">
        <v>301</v>
      </c>
      <c r="E580" s="5">
        <v>3</v>
      </c>
    </row>
    <row r="581" spans="1:5">
      <c r="A581" s="5" t="s">
        <v>1179</v>
      </c>
      <c r="B581" s="6">
        <v>44720</v>
      </c>
      <c r="C581" s="5" t="s">
        <v>1180</v>
      </c>
      <c r="D581" s="5" t="s">
        <v>114</v>
      </c>
      <c r="E581" s="5">
        <v>5</v>
      </c>
    </row>
    <row r="582" spans="1:5">
      <c r="A582" s="5" t="s">
        <v>1181</v>
      </c>
      <c r="B582" s="6">
        <v>43965</v>
      </c>
      <c r="C582" s="5" t="s">
        <v>1182</v>
      </c>
      <c r="D582" s="5" t="s">
        <v>184</v>
      </c>
      <c r="E582" s="5">
        <v>3</v>
      </c>
    </row>
    <row r="583" spans="1:5">
      <c r="A583" s="5" t="s">
        <v>1183</v>
      </c>
      <c r="B583" s="6">
        <v>44190</v>
      </c>
      <c r="C583" s="5" t="s">
        <v>1184</v>
      </c>
      <c r="D583" s="5" t="s">
        <v>223</v>
      </c>
      <c r="E583" s="5">
        <v>5</v>
      </c>
    </row>
    <row r="584" spans="1:5">
      <c r="A584" s="5" t="s">
        <v>1185</v>
      </c>
      <c r="B584" s="6">
        <v>44382</v>
      </c>
      <c r="C584" s="5" t="s">
        <v>1186</v>
      </c>
      <c r="D584" s="5" t="s">
        <v>292</v>
      </c>
      <c r="E584" s="5">
        <v>5</v>
      </c>
    </row>
    <row r="585" spans="1:5">
      <c r="A585" s="5" t="s">
        <v>1187</v>
      </c>
      <c r="B585" s="6">
        <v>43538</v>
      </c>
      <c r="C585" s="5" t="s">
        <v>1188</v>
      </c>
      <c r="D585" s="5" t="s">
        <v>229</v>
      </c>
      <c r="E585" s="5">
        <v>1</v>
      </c>
    </row>
    <row r="586" spans="1:5">
      <c r="A586" s="5" t="s">
        <v>1189</v>
      </c>
      <c r="B586" s="6">
        <v>44262</v>
      </c>
      <c r="C586" s="5" t="s">
        <v>1190</v>
      </c>
      <c r="D586" s="5" t="s">
        <v>229</v>
      </c>
      <c r="E586" s="5">
        <v>6</v>
      </c>
    </row>
    <row r="587" spans="1:5">
      <c r="A587" s="5" t="s">
        <v>1191</v>
      </c>
      <c r="B587" s="6">
        <v>44505</v>
      </c>
      <c r="C587" s="5" t="s">
        <v>1192</v>
      </c>
      <c r="D587" s="5" t="s">
        <v>50</v>
      </c>
      <c r="E587" s="5">
        <v>2</v>
      </c>
    </row>
    <row r="588" spans="1:5">
      <c r="A588" s="5" t="s">
        <v>1193</v>
      </c>
      <c r="B588" s="6">
        <v>43867</v>
      </c>
      <c r="C588" s="5" t="s">
        <v>1194</v>
      </c>
      <c r="D588" s="5" t="s">
        <v>57</v>
      </c>
      <c r="E588" s="5">
        <v>3</v>
      </c>
    </row>
    <row r="589" spans="1:5">
      <c r="A589" s="5" t="s">
        <v>1195</v>
      </c>
      <c r="B589" s="6">
        <v>44267</v>
      </c>
      <c r="C589" s="5" t="s">
        <v>1196</v>
      </c>
      <c r="D589" s="5" t="s">
        <v>170</v>
      </c>
      <c r="E589" s="5">
        <v>1</v>
      </c>
    </row>
    <row r="590" spans="1:5">
      <c r="A590" s="5" t="s">
        <v>1197</v>
      </c>
      <c r="B590" s="6">
        <v>44046</v>
      </c>
      <c r="C590" s="5" t="s">
        <v>1198</v>
      </c>
      <c r="D590" s="5" t="s">
        <v>69</v>
      </c>
      <c r="E590" s="5">
        <v>2</v>
      </c>
    </row>
    <row r="591" spans="1:5">
      <c r="A591" s="5" t="s">
        <v>1199</v>
      </c>
      <c r="B591" s="6">
        <v>43671</v>
      </c>
      <c r="C591" s="5" t="s">
        <v>1200</v>
      </c>
      <c r="D591" s="5" t="s">
        <v>77</v>
      </c>
      <c r="E591" s="5">
        <v>6</v>
      </c>
    </row>
    <row r="592" spans="1:5">
      <c r="A592" s="5" t="s">
        <v>1201</v>
      </c>
      <c r="B592" s="6">
        <v>43950</v>
      </c>
      <c r="C592" s="5" t="s">
        <v>1202</v>
      </c>
      <c r="D592" s="5" t="s">
        <v>159</v>
      </c>
      <c r="E592" s="5">
        <v>2</v>
      </c>
    </row>
    <row r="593" spans="1:5">
      <c r="A593" s="5" t="s">
        <v>1203</v>
      </c>
      <c r="B593" s="6">
        <v>43587</v>
      </c>
      <c r="C593" s="5" t="s">
        <v>1204</v>
      </c>
      <c r="D593" s="5" t="s">
        <v>148</v>
      </c>
      <c r="E593" s="5">
        <v>3</v>
      </c>
    </row>
    <row r="594" spans="1:5">
      <c r="A594" s="5" t="s">
        <v>1205</v>
      </c>
      <c r="B594" s="6">
        <v>44437</v>
      </c>
      <c r="C594" s="5" t="s">
        <v>1206</v>
      </c>
      <c r="D594" s="5" t="s">
        <v>218</v>
      </c>
      <c r="E594" s="5">
        <v>2</v>
      </c>
    </row>
    <row r="595" spans="1:5">
      <c r="A595" s="5" t="s">
        <v>1207</v>
      </c>
      <c r="B595" s="6">
        <v>43903</v>
      </c>
      <c r="C595" s="5" t="s">
        <v>1192</v>
      </c>
      <c r="D595" s="5" t="s">
        <v>577</v>
      </c>
      <c r="E595" s="5">
        <v>1</v>
      </c>
    </row>
    <row r="596" spans="1:5">
      <c r="A596" s="5" t="s">
        <v>1208</v>
      </c>
      <c r="B596" s="6">
        <v>43512</v>
      </c>
      <c r="C596" s="5" t="s">
        <v>1209</v>
      </c>
      <c r="D596" s="5" t="s">
        <v>251</v>
      </c>
      <c r="E596" s="5">
        <v>2</v>
      </c>
    </row>
    <row r="597" spans="1:5">
      <c r="A597" s="5" t="s">
        <v>1210</v>
      </c>
      <c r="B597" s="6">
        <v>44527</v>
      </c>
      <c r="C597" s="5" t="s">
        <v>1211</v>
      </c>
      <c r="D597" s="5" t="s">
        <v>184</v>
      </c>
      <c r="E597" s="5">
        <v>1</v>
      </c>
    </row>
    <row r="598" spans="1:5">
      <c r="A598" s="5" t="s">
        <v>1212</v>
      </c>
      <c r="B598" s="6">
        <v>44523</v>
      </c>
      <c r="C598" s="5" t="s">
        <v>1213</v>
      </c>
      <c r="D598" s="5" t="s">
        <v>114</v>
      </c>
      <c r="E598" s="5">
        <v>5</v>
      </c>
    </row>
    <row r="599" spans="1:5">
      <c r="A599" s="5" t="s">
        <v>1214</v>
      </c>
      <c r="B599" s="6">
        <v>44532</v>
      </c>
      <c r="C599" s="5" t="s">
        <v>1215</v>
      </c>
      <c r="D599" s="5" t="s">
        <v>151</v>
      </c>
      <c r="E599" s="5">
        <v>4</v>
      </c>
    </row>
    <row r="600" spans="1:5">
      <c r="A600" s="5" t="s">
        <v>1216</v>
      </c>
      <c r="B600" s="6">
        <v>43471</v>
      </c>
      <c r="C600" s="5" t="s">
        <v>1217</v>
      </c>
      <c r="D600" s="5" t="s">
        <v>209</v>
      </c>
      <c r="E600" s="5">
        <v>4</v>
      </c>
    </row>
    <row r="601" spans="1:5">
      <c r="A601" s="5" t="s">
        <v>1218</v>
      </c>
      <c r="B601" s="6">
        <v>44321</v>
      </c>
      <c r="C601" s="5" t="s">
        <v>1219</v>
      </c>
      <c r="D601" s="5" t="s">
        <v>101</v>
      </c>
      <c r="E601" s="5">
        <v>4</v>
      </c>
    </row>
    <row r="602" spans="1:5">
      <c r="A602" s="5" t="s">
        <v>1220</v>
      </c>
      <c r="B602" s="6">
        <v>44492</v>
      </c>
      <c r="C602" s="5" t="s">
        <v>1221</v>
      </c>
      <c r="D602" s="5" t="s">
        <v>170</v>
      </c>
      <c r="E602" s="5">
        <v>1</v>
      </c>
    </row>
    <row r="603" spans="1:5">
      <c r="A603" s="5" t="s">
        <v>1222</v>
      </c>
      <c r="B603" s="6">
        <v>43815</v>
      </c>
      <c r="C603" s="5" t="s">
        <v>1223</v>
      </c>
      <c r="D603" s="5" t="s">
        <v>57</v>
      </c>
      <c r="E603" s="5">
        <v>4</v>
      </c>
    </row>
    <row r="604" spans="1:5">
      <c r="A604" s="5" t="s">
        <v>1224</v>
      </c>
      <c r="B604" s="6">
        <v>43603</v>
      </c>
      <c r="C604" s="5" t="s">
        <v>1225</v>
      </c>
      <c r="D604" s="5" t="s">
        <v>301</v>
      </c>
      <c r="E604" s="5">
        <v>5</v>
      </c>
    </row>
    <row r="605" spans="1:5">
      <c r="A605" s="5" t="s">
        <v>1226</v>
      </c>
      <c r="B605" s="6">
        <v>43660</v>
      </c>
      <c r="C605" s="5" t="s">
        <v>1227</v>
      </c>
      <c r="D605" s="5" t="s">
        <v>209</v>
      </c>
      <c r="E605" s="5">
        <v>3</v>
      </c>
    </row>
    <row r="606" spans="1:5">
      <c r="A606" s="5" t="s">
        <v>1228</v>
      </c>
      <c r="B606" s="6">
        <v>44148</v>
      </c>
      <c r="C606" s="5" t="s">
        <v>1229</v>
      </c>
      <c r="D606" s="5" t="s">
        <v>156</v>
      </c>
      <c r="E606" s="5">
        <v>4</v>
      </c>
    </row>
    <row r="607" spans="1:5">
      <c r="A607" s="5" t="s">
        <v>1230</v>
      </c>
      <c r="B607" s="6">
        <v>44028</v>
      </c>
      <c r="C607" s="5" t="s">
        <v>1231</v>
      </c>
      <c r="D607" s="5" t="s">
        <v>251</v>
      </c>
      <c r="E607" s="5">
        <v>5</v>
      </c>
    </row>
    <row r="608" spans="1:5">
      <c r="A608" s="5" t="s">
        <v>1232</v>
      </c>
      <c r="B608" s="6">
        <v>44138</v>
      </c>
      <c r="C608" s="5" t="s">
        <v>1192</v>
      </c>
      <c r="D608" s="5" t="s">
        <v>151</v>
      </c>
      <c r="E608" s="5">
        <v>3</v>
      </c>
    </row>
    <row r="609" spans="1:5">
      <c r="A609" s="5" t="s">
        <v>1233</v>
      </c>
      <c r="B609" s="6">
        <v>44640</v>
      </c>
      <c r="C609" s="5" t="s">
        <v>1234</v>
      </c>
      <c r="D609" s="5" t="s">
        <v>98</v>
      </c>
      <c r="E609" s="5">
        <v>1</v>
      </c>
    </row>
    <row r="610" spans="1:5">
      <c r="A610" s="5" t="s">
        <v>1235</v>
      </c>
      <c r="B610" s="6">
        <v>44608</v>
      </c>
      <c r="C610" s="5" t="s">
        <v>1236</v>
      </c>
      <c r="D610" s="5" t="s">
        <v>577</v>
      </c>
      <c r="E610" s="5">
        <v>2</v>
      </c>
    </row>
    <row r="611" spans="1:5">
      <c r="A611" s="5" t="s">
        <v>1237</v>
      </c>
      <c r="B611" s="6">
        <v>44147</v>
      </c>
      <c r="C611" s="5" t="s">
        <v>1238</v>
      </c>
      <c r="D611" s="5" t="s">
        <v>124</v>
      </c>
      <c r="E611" s="5">
        <v>6</v>
      </c>
    </row>
    <row r="612" spans="1:5">
      <c r="A612" s="5" t="s">
        <v>1239</v>
      </c>
      <c r="B612" s="6">
        <v>43743</v>
      </c>
      <c r="C612" s="5" t="s">
        <v>1240</v>
      </c>
      <c r="D612" s="5" t="s">
        <v>49</v>
      </c>
      <c r="E612" s="5">
        <v>4</v>
      </c>
    </row>
    <row r="613" spans="1:5">
      <c r="A613" s="5" t="s">
        <v>1241</v>
      </c>
      <c r="B613" s="6">
        <v>43739</v>
      </c>
      <c r="C613" s="5" t="s">
        <v>1242</v>
      </c>
      <c r="D613" s="5" t="s">
        <v>77</v>
      </c>
      <c r="E613" s="5">
        <v>2</v>
      </c>
    </row>
    <row r="614" spans="1:5">
      <c r="A614" s="5" t="s">
        <v>1243</v>
      </c>
      <c r="B614" s="6">
        <v>43896</v>
      </c>
      <c r="C614" s="5" t="s">
        <v>1244</v>
      </c>
      <c r="D614" s="5" t="s">
        <v>91</v>
      </c>
      <c r="E614" s="5">
        <v>4</v>
      </c>
    </row>
    <row r="615" spans="1:5">
      <c r="A615" s="5" t="s">
        <v>1245</v>
      </c>
      <c r="B615" s="6">
        <v>43761</v>
      </c>
      <c r="C615" s="5" t="s">
        <v>1246</v>
      </c>
      <c r="D615" s="5" t="s">
        <v>69</v>
      </c>
      <c r="E615" s="5">
        <v>1</v>
      </c>
    </row>
    <row r="616" spans="1:5">
      <c r="A616" s="5" t="s">
        <v>1247</v>
      </c>
      <c r="B616" s="6">
        <v>43944</v>
      </c>
      <c r="C616" s="5" t="s">
        <v>1192</v>
      </c>
      <c r="D616" s="5" t="s">
        <v>69</v>
      </c>
      <c r="E616" s="5">
        <v>5</v>
      </c>
    </row>
    <row r="617" spans="1:5">
      <c r="A617" s="5" t="s">
        <v>1248</v>
      </c>
      <c r="B617" s="6">
        <v>44006</v>
      </c>
      <c r="C617" s="5" t="s">
        <v>1249</v>
      </c>
      <c r="D617" s="5" t="s">
        <v>151</v>
      </c>
      <c r="E617" s="5">
        <v>2</v>
      </c>
    </row>
    <row r="618" spans="1:5">
      <c r="A618" s="5" t="s">
        <v>1250</v>
      </c>
      <c r="B618" s="6">
        <v>44271</v>
      </c>
      <c r="C618" s="5" t="s">
        <v>1251</v>
      </c>
      <c r="D618" s="5" t="s">
        <v>159</v>
      </c>
      <c r="E618" s="5">
        <v>4</v>
      </c>
    </row>
    <row r="619" spans="1:5">
      <c r="A619" s="5" t="s">
        <v>1252</v>
      </c>
      <c r="B619" s="6">
        <v>43928</v>
      </c>
      <c r="C619" s="5" t="s">
        <v>1253</v>
      </c>
      <c r="D619" s="5" t="s">
        <v>244</v>
      </c>
      <c r="E619" s="5">
        <v>1</v>
      </c>
    </row>
    <row r="620" spans="1:5">
      <c r="A620" s="5" t="s">
        <v>1254</v>
      </c>
      <c r="B620" s="6">
        <v>44469</v>
      </c>
      <c r="C620" s="5" t="s">
        <v>1255</v>
      </c>
      <c r="D620" s="5" t="s">
        <v>292</v>
      </c>
      <c r="E620" s="5">
        <v>6</v>
      </c>
    </row>
    <row r="621" spans="1:5">
      <c r="A621" s="5" t="s">
        <v>1256</v>
      </c>
      <c r="B621" s="6">
        <v>44682</v>
      </c>
      <c r="C621" s="5" t="s">
        <v>1257</v>
      </c>
      <c r="D621" s="5" t="s">
        <v>170</v>
      </c>
      <c r="E621" s="5">
        <v>2</v>
      </c>
    </row>
    <row r="622" spans="1:5">
      <c r="A622" s="5" t="s">
        <v>1258</v>
      </c>
      <c r="B622" s="6">
        <v>44217</v>
      </c>
      <c r="C622" s="5" t="s">
        <v>1259</v>
      </c>
      <c r="D622" s="5" t="s">
        <v>91</v>
      </c>
      <c r="E622" s="5">
        <v>6</v>
      </c>
    </row>
    <row r="623" spans="1:5">
      <c r="A623" s="5" t="s">
        <v>1260</v>
      </c>
      <c r="B623" s="6">
        <v>44006</v>
      </c>
      <c r="C623" s="5" t="s">
        <v>1261</v>
      </c>
      <c r="D623" s="5" t="s">
        <v>53</v>
      </c>
      <c r="E623" s="5">
        <v>6</v>
      </c>
    </row>
    <row r="624" spans="1:5">
      <c r="A624" s="5" t="s">
        <v>1262</v>
      </c>
      <c r="B624" s="6">
        <v>43527</v>
      </c>
      <c r="C624" s="5" t="s">
        <v>1263</v>
      </c>
      <c r="D624" s="5" t="s">
        <v>244</v>
      </c>
      <c r="E624" s="5">
        <v>4</v>
      </c>
    </row>
    <row r="625" spans="1:5">
      <c r="A625" s="5" t="s">
        <v>1264</v>
      </c>
      <c r="B625" s="6">
        <v>44224</v>
      </c>
      <c r="C625" s="5" t="s">
        <v>1265</v>
      </c>
      <c r="D625" s="5" t="s">
        <v>292</v>
      </c>
      <c r="E625" s="5">
        <v>1</v>
      </c>
    </row>
    <row r="626" spans="1:5">
      <c r="A626" s="5" t="s">
        <v>1266</v>
      </c>
      <c r="B626" s="6">
        <v>44010</v>
      </c>
      <c r="C626" s="5" t="s">
        <v>1267</v>
      </c>
      <c r="D626" s="5" t="s">
        <v>159</v>
      </c>
      <c r="E626" s="5">
        <v>2</v>
      </c>
    </row>
    <row r="627" spans="1:5">
      <c r="A627" s="5" t="s">
        <v>1268</v>
      </c>
      <c r="B627" s="6">
        <v>44017</v>
      </c>
      <c r="C627" s="5" t="s">
        <v>1269</v>
      </c>
      <c r="D627" s="5" t="s">
        <v>204</v>
      </c>
      <c r="E627" s="5">
        <v>5</v>
      </c>
    </row>
    <row r="628" spans="1:5">
      <c r="A628" s="5" t="s">
        <v>1270</v>
      </c>
      <c r="B628" s="6">
        <v>43526</v>
      </c>
      <c r="C628" s="5" t="s">
        <v>1271</v>
      </c>
      <c r="D628" s="5" t="s">
        <v>218</v>
      </c>
      <c r="E628" s="5">
        <v>3</v>
      </c>
    </row>
    <row r="629" spans="1:5">
      <c r="A629" s="5" t="s">
        <v>1272</v>
      </c>
      <c r="B629" s="6">
        <v>44682</v>
      </c>
      <c r="C629" s="5" t="s">
        <v>1273</v>
      </c>
      <c r="D629" s="5" t="s">
        <v>159</v>
      </c>
      <c r="E629" s="5">
        <v>2</v>
      </c>
    </row>
    <row r="630" spans="1:5">
      <c r="A630" s="5" t="s">
        <v>1274</v>
      </c>
      <c r="B630" s="6">
        <v>44680</v>
      </c>
      <c r="C630" s="5" t="s">
        <v>1275</v>
      </c>
      <c r="D630" s="5" t="s">
        <v>301</v>
      </c>
      <c r="E630" s="5">
        <v>6</v>
      </c>
    </row>
    <row r="631" spans="1:5">
      <c r="A631" s="5" t="s">
        <v>1274</v>
      </c>
      <c r="B631" s="6">
        <v>44680</v>
      </c>
      <c r="C631" s="5" t="s">
        <v>1275</v>
      </c>
      <c r="D631" s="5" t="s">
        <v>170</v>
      </c>
      <c r="E631" s="5">
        <v>4</v>
      </c>
    </row>
    <row r="632" spans="1:5">
      <c r="A632" s="5" t="s">
        <v>1274</v>
      </c>
      <c r="B632" s="6">
        <v>44680</v>
      </c>
      <c r="C632" s="5" t="s">
        <v>1275</v>
      </c>
      <c r="D632" s="5" t="s">
        <v>101</v>
      </c>
      <c r="E632" s="5">
        <v>1</v>
      </c>
    </row>
    <row r="633" spans="1:5">
      <c r="A633" s="5" t="s">
        <v>1274</v>
      </c>
      <c r="B633" s="6">
        <v>44680</v>
      </c>
      <c r="C633" s="5" t="s">
        <v>1275</v>
      </c>
      <c r="D633" s="5" t="s">
        <v>82</v>
      </c>
      <c r="E633" s="5">
        <v>5</v>
      </c>
    </row>
    <row r="634" spans="1:5">
      <c r="A634" s="5" t="s">
        <v>1276</v>
      </c>
      <c r="B634" s="6">
        <v>44049</v>
      </c>
      <c r="C634" s="5" t="s">
        <v>1277</v>
      </c>
      <c r="D634" s="5" t="s">
        <v>223</v>
      </c>
      <c r="E634" s="5">
        <v>4</v>
      </c>
    </row>
    <row r="635" spans="1:5">
      <c r="A635" s="5" t="s">
        <v>1278</v>
      </c>
      <c r="B635" s="6">
        <v>43820</v>
      </c>
      <c r="C635" s="5" t="s">
        <v>1279</v>
      </c>
      <c r="D635" s="5" t="s">
        <v>236</v>
      </c>
      <c r="E635" s="5">
        <v>4</v>
      </c>
    </row>
    <row r="636" spans="1:5">
      <c r="A636" s="5" t="s">
        <v>1280</v>
      </c>
      <c r="B636" s="6">
        <v>43940</v>
      </c>
      <c r="C636" s="5" t="s">
        <v>1281</v>
      </c>
      <c r="D636" s="5" t="s">
        <v>143</v>
      </c>
      <c r="E636" s="5">
        <v>3</v>
      </c>
    </row>
    <row r="637" spans="1:5">
      <c r="A637" s="5" t="s">
        <v>1282</v>
      </c>
      <c r="B637" s="6">
        <v>44578</v>
      </c>
      <c r="C637" s="5" t="s">
        <v>1283</v>
      </c>
      <c r="D637" s="5" t="s">
        <v>223</v>
      </c>
      <c r="E637" s="5">
        <v>4</v>
      </c>
    </row>
    <row r="638" spans="1:5">
      <c r="A638" s="5" t="s">
        <v>1284</v>
      </c>
      <c r="B638" s="6">
        <v>43487</v>
      </c>
      <c r="C638" s="5" t="s">
        <v>1285</v>
      </c>
      <c r="D638" s="5" t="s">
        <v>179</v>
      </c>
      <c r="E638" s="5">
        <v>6</v>
      </c>
    </row>
    <row r="639" spans="1:5">
      <c r="A639" s="5" t="s">
        <v>1286</v>
      </c>
      <c r="B639" s="6">
        <v>43889</v>
      </c>
      <c r="C639" s="5" t="s">
        <v>1287</v>
      </c>
      <c r="D639" s="5" t="s">
        <v>159</v>
      </c>
      <c r="E639" s="5">
        <v>1</v>
      </c>
    </row>
    <row r="640" spans="1:5">
      <c r="A640" s="5" t="s">
        <v>1288</v>
      </c>
      <c r="B640" s="6">
        <v>43684</v>
      </c>
      <c r="C640" s="5" t="s">
        <v>1289</v>
      </c>
      <c r="D640" s="5" t="s">
        <v>218</v>
      </c>
      <c r="E640" s="5">
        <v>3</v>
      </c>
    </row>
    <row r="641" spans="1:5">
      <c r="A641" s="5" t="s">
        <v>1290</v>
      </c>
      <c r="B641" s="6">
        <v>44331</v>
      </c>
      <c r="C641" s="5" t="s">
        <v>1291</v>
      </c>
      <c r="D641" s="5" t="s">
        <v>85</v>
      </c>
      <c r="E641" s="5">
        <v>1</v>
      </c>
    </row>
    <row r="642" spans="1:5">
      <c r="A642" s="5" t="s">
        <v>1292</v>
      </c>
      <c r="B642" s="6">
        <v>44547</v>
      </c>
      <c r="C642" s="5" t="s">
        <v>1293</v>
      </c>
      <c r="D642" s="5" t="s">
        <v>57</v>
      </c>
      <c r="E642" s="5">
        <v>5</v>
      </c>
    </row>
    <row r="643" spans="1:5">
      <c r="A643" s="5" t="s">
        <v>1294</v>
      </c>
      <c r="B643" s="6">
        <v>44448</v>
      </c>
      <c r="C643" s="5" t="s">
        <v>1295</v>
      </c>
      <c r="D643" s="5" t="s">
        <v>236</v>
      </c>
      <c r="E643" s="5">
        <v>3</v>
      </c>
    </row>
    <row r="644" spans="1:5">
      <c r="A644" s="5" t="s">
        <v>1296</v>
      </c>
      <c r="B644" s="6">
        <v>43880</v>
      </c>
      <c r="C644" s="5" t="s">
        <v>1297</v>
      </c>
      <c r="D644" s="5" t="s">
        <v>111</v>
      </c>
      <c r="E644" s="5">
        <v>2</v>
      </c>
    </row>
    <row r="645" spans="1:5">
      <c r="A645" s="5" t="s">
        <v>1298</v>
      </c>
      <c r="B645" s="6">
        <v>44011</v>
      </c>
      <c r="C645" s="5" t="s">
        <v>1299</v>
      </c>
      <c r="D645" s="5" t="s">
        <v>77</v>
      </c>
      <c r="E645" s="5">
        <v>3</v>
      </c>
    </row>
    <row r="646" spans="1:5">
      <c r="A646" s="5" t="s">
        <v>1300</v>
      </c>
      <c r="B646" s="6">
        <v>44694</v>
      </c>
      <c r="C646" s="5" t="s">
        <v>1301</v>
      </c>
      <c r="D646" s="5" t="s">
        <v>82</v>
      </c>
      <c r="E646" s="5">
        <v>2</v>
      </c>
    </row>
    <row r="647" spans="1:5">
      <c r="A647" s="5" t="s">
        <v>1302</v>
      </c>
      <c r="B647" s="6">
        <v>44106</v>
      </c>
      <c r="C647" s="5" t="s">
        <v>1303</v>
      </c>
      <c r="D647" s="5" t="s">
        <v>165</v>
      </c>
      <c r="E647" s="5">
        <v>3</v>
      </c>
    </row>
    <row r="648" spans="1:5">
      <c r="A648" s="5" t="s">
        <v>1304</v>
      </c>
      <c r="B648" s="6">
        <v>44532</v>
      </c>
      <c r="C648" s="5" t="s">
        <v>1305</v>
      </c>
      <c r="D648" s="5" t="s">
        <v>74</v>
      </c>
      <c r="E648" s="5">
        <v>1</v>
      </c>
    </row>
    <row r="649" spans="1:5">
      <c r="A649" s="5" t="s">
        <v>1306</v>
      </c>
      <c r="B649" s="6">
        <v>44502</v>
      </c>
      <c r="C649" s="5" t="s">
        <v>1307</v>
      </c>
      <c r="D649" s="5" t="s">
        <v>130</v>
      </c>
      <c r="E649" s="5">
        <v>3</v>
      </c>
    </row>
    <row r="650" spans="1:5">
      <c r="A650" s="5" t="s">
        <v>1308</v>
      </c>
      <c r="B650" s="6">
        <v>43884</v>
      </c>
      <c r="C650" s="5" t="s">
        <v>1293</v>
      </c>
      <c r="D650" s="5" t="s">
        <v>148</v>
      </c>
      <c r="E650" s="5">
        <v>6</v>
      </c>
    </row>
    <row r="651" spans="1:5">
      <c r="A651" s="5" t="s">
        <v>1309</v>
      </c>
      <c r="B651" s="6">
        <v>44015</v>
      </c>
      <c r="C651" s="5" t="s">
        <v>1310</v>
      </c>
      <c r="D651" s="5" t="s">
        <v>179</v>
      </c>
      <c r="E651" s="5">
        <v>6</v>
      </c>
    </row>
    <row r="652" spans="1:5">
      <c r="A652" s="5" t="s">
        <v>1311</v>
      </c>
      <c r="B652" s="6">
        <v>43507</v>
      </c>
      <c r="C652" s="5" t="s">
        <v>1312</v>
      </c>
      <c r="D652" s="5" t="s">
        <v>193</v>
      </c>
      <c r="E652" s="5">
        <v>1</v>
      </c>
    </row>
    <row r="653" spans="1:5">
      <c r="A653" s="5" t="s">
        <v>1313</v>
      </c>
      <c r="B653" s="6">
        <v>44084</v>
      </c>
      <c r="C653" s="5" t="s">
        <v>1314</v>
      </c>
      <c r="D653" s="5" t="s">
        <v>236</v>
      </c>
      <c r="E653" s="5">
        <v>4</v>
      </c>
    </row>
    <row r="654" spans="1:5">
      <c r="A654" s="5" t="s">
        <v>1315</v>
      </c>
      <c r="B654" s="6">
        <v>43892</v>
      </c>
      <c r="C654" s="5" t="s">
        <v>1316</v>
      </c>
      <c r="D654" s="5" t="s">
        <v>179</v>
      </c>
      <c r="E654" s="5">
        <v>4</v>
      </c>
    </row>
    <row r="655" spans="1:5">
      <c r="A655" s="5" t="s">
        <v>1317</v>
      </c>
      <c r="B655" s="6">
        <v>44375</v>
      </c>
      <c r="C655" s="5" t="s">
        <v>1318</v>
      </c>
      <c r="D655" s="5" t="s">
        <v>218</v>
      </c>
      <c r="E655" s="5">
        <v>4</v>
      </c>
    </row>
    <row r="656" spans="1:5">
      <c r="A656" s="5" t="s">
        <v>1319</v>
      </c>
      <c r="B656" s="6">
        <v>43476</v>
      </c>
      <c r="C656" s="5" t="s">
        <v>1320</v>
      </c>
      <c r="D656" s="5" t="s">
        <v>165</v>
      </c>
      <c r="E656" s="5">
        <v>3</v>
      </c>
    </row>
    <row r="657" spans="1:5">
      <c r="A657" s="5" t="s">
        <v>1321</v>
      </c>
      <c r="B657" s="6">
        <v>43728</v>
      </c>
      <c r="C657" s="5" t="s">
        <v>1322</v>
      </c>
      <c r="D657" s="5" t="s">
        <v>88</v>
      </c>
      <c r="E657" s="5">
        <v>2</v>
      </c>
    </row>
    <row r="658" spans="1:5">
      <c r="A658" s="5" t="s">
        <v>1323</v>
      </c>
      <c r="B658" s="6">
        <v>44485</v>
      </c>
      <c r="C658" s="5" t="s">
        <v>1324</v>
      </c>
      <c r="D658" s="5" t="s">
        <v>60</v>
      </c>
      <c r="E658" s="5">
        <v>4</v>
      </c>
    </row>
    <row r="659" spans="1:5">
      <c r="A659" s="5" t="s">
        <v>1325</v>
      </c>
      <c r="B659" s="6">
        <v>43831</v>
      </c>
      <c r="C659" s="5" t="s">
        <v>1326</v>
      </c>
      <c r="D659" s="5" t="s">
        <v>114</v>
      </c>
      <c r="E659" s="5">
        <v>2</v>
      </c>
    </row>
    <row r="660" spans="1:5">
      <c r="A660" s="5" t="s">
        <v>1327</v>
      </c>
      <c r="B660" s="6">
        <v>44630</v>
      </c>
      <c r="C660" s="5" t="s">
        <v>1328</v>
      </c>
      <c r="D660" s="5" t="s">
        <v>50</v>
      </c>
      <c r="E660" s="5">
        <v>3</v>
      </c>
    </row>
    <row r="661" spans="1:5">
      <c r="A661" s="5" t="s">
        <v>1329</v>
      </c>
      <c r="B661" s="6">
        <v>44693</v>
      </c>
      <c r="C661" s="5" t="s">
        <v>1330</v>
      </c>
      <c r="D661" s="5" t="s">
        <v>165</v>
      </c>
      <c r="E661" s="5">
        <v>2</v>
      </c>
    </row>
    <row r="662" spans="1:5">
      <c r="A662" s="5" t="s">
        <v>1331</v>
      </c>
      <c r="B662" s="6">
        <v>44084</v>
      </c>
      <c r="C662" s="5" t="s">
        <v>1332</v>
      </c>
      <c r="D662" s="5" t="s">
        <v>223</v>
      </c>
      <c r="E662" s="5">
        <v>6</v>
      </c>
    </row>
    <row r="663" spans="1:5">
      <c r="A663" s="5" t="s">
        <v>1333</v>
      </c>
      <c r="B663" s="6">
        <v>44485</v>
      </c>
      <c r="C663" s="5" t="s">
        <v>1334</v>
      </c>
      <c r="D663" s="5" t="s">
        <v>91</v>
      </c>
      <c r="E663" s="5">
        <v>6</v>
      </c>
    </row>
    <row r="664" spans="1:5">
      <c r="A664" s="5" t="s">
        <v>1335</v>
      </c>
      <c r="B664" s="6">
        <v>44364</v>
      </c>
      <c r="C664" s="5" t="s">
        <v>1336</v>
      </c>
      <c r="D664" s="5" t="s">
        <v>156</v>
      </c>
      <c r="E664" s="5">
        <v>5</v>
      </c>
    </row>
    <row r="665" spans="1:5">
      <c r="A665" s="5" t="s">
        <v>1337</v>
      </c>
      <c r="B665" s="6">
        <v>43554</v>
      </c>
      <c r="C665" s="5" t="s">
        <v>1338</v>
      </c>
      <c r="D665" s="5" t="s">
        <v>108</v>
      </c>
      <c r="E665" s="5">
        <v>6</v>
      </c>
    </row>
    <row r="666" spans="1:5">
      <c r="A666" s="5" t="s">
        <v>1339</v>
      </c>
      <c r="B666" s="6">
        <v>44549</v>
      </c>
      <c r="C666" s="5" t="s">
        <v>1340</v>
      </c>
      <c r="D666" s="5" t="s">
        <v>292</v>
      </c>
      <c r="E666" s="5">
        <v>6</v>
      </c>
    </row>
    <row r="667" spans="1:5">
      <c r="A667" s="5" t="s">
        <v>1339</v>
      </c>
      <c r="B667" s="6">
        <v>44549</v>
      </c>
      <c r="C667" s="5" t="s">
        <v>1340</v>
      </c>
      <c r="D667" s="5" t="s">
        <v>85</v>
      </c>
      <c r="E667" s="5">
        <v>2</v>
      </c>
    </row>
    <row r="668" spans="1:5">
      <c r="A668" s="5" t="s">
        <v>1341</v>
      </c>
      <c r="B668" s="6">
        <v>43987</v>
      </c>
      <c r="C668" s="5" t="s">
        <v>1342</v>
      </c>
      <c r="D668" s="5" t="s">
        <v>165</v>
      </c>
      <c r="E668" s="5">
        <v>4</v>
      </c>
    </row>
    <row r="669" spans="1:5">
      <c r="A669" s="5" t="s">
        <v>1343</v>
      </c>
      <c r="B669" s="6">
        <v>44451</v>
      </c>
      <c r="C669" s="5" t="s">
        <v>1344</v>
      </c>
      <c r="D669" s="5" t="s">
        <v>74</v>
      </c>
      <c r="E669" s="5">
        <v>6</v>
      </c>
    </row>
    <row r="670" spans="1:5">
      <c r="A670" s="5" t="s">
        <v>1345</v>
      </c>
      <c r="B670" s="6">
        <v>44636</v>
      </c>
      <c r="C670" s="5" t="s">
        <v>1328</v>
      </c>
      <c r="D670" s="5" t="s">
        <v>57</v>
      </c>
      <c r="E670" s="5">
        <v>5</v>
      </c>
    </row>
    <row r="671" spans="1:5">
      <c r="A671" s="5" t="s">
        <v>1346</v>
      </c>
      <c r="B671" s="6">
        <v>44551</v>
      </c>
      <c r="C671" s="5" t="s">
        <v>1347</v>
      </c>
      <c r="D671" s="5" t="s">
        <v>244</v>
      </c>
      <c r="E671" s="5">
        <v>2</v>
      </c>
    </row>
    <row r="672" spans="1:5">
      <c r="A672" s="5" t="s">
        <v>1348</v>
      </c>
      <c r="B672" s="6">
        <v>43606</v>
      </c>
      <c r="C672" s="5" t="s">
        <v>1349</v>
      </c>
      <c r="D672" s="5" t="s">
        <v>124</v>
      </c>
      <c r="E672" s="5">
        <v>3</v>
      </c>
    </row>
    <row r="673" spans="1:5">
      <c r="A673" s="5" t="s">
        <v>1350</v>
      </c>
      <c r="B673" s="6">
        <v>44495</v>
      </c>
      <c r="C673" s="5" t="s">
        <v>1351</v>
      </c>
      <c r="D673" s="5" t="s">
        <v>236</v>
      </c>
      <c r="E673" s="5">
        <v>5</v>
      </c>
    </row>
    <row r="674" spans="1:5">
      <c r="A674" s="5" t="s">
        <v>1352</v>
      </c>
      <c r="B674" s="6">
        <v>43916</v>
      </c>
      <c r="C674" s="5" t="s">
        <v>1353</v>
      </c>
      <c r="D674" s="5" t="s">
        <v>125</v>
      </c>
      <c r="E674" s="5">
        <v>5</v>
      </c>
    </row>
    <row r="675" spans="1:5">
      <c r="A675" s="5" t="s">
        <v>1354</v>
      </c>
      <c r="B675" s="6">
        <v>44118</v>
      </c>
      <c r="C675" s="5" t="s">
        <v>1355</v>
      </c>
      <c r="D675" s="5" t="s">
        <v>56</v>
      </c>
      <c r="E675" s="5">
        <v>6</v>
      </c>
    </row>
    <row r="676" spans="1:5">
      <c r="A676" s="5" t="s">
        <v>1356</v>
      </c>
      <c r="B676" s="6">
        <v>44543</v>
      </c>
      <c r="C676" s="5" t="s">
        <v>1357</v>
      </c>
      <c r="D676" s="5" t="s">
        <v>251</v>
      </c>
      <c r="E676" s="5">
        <v>6</v>
      </c>
    </row>
    <row r="677" spans="1:5">
      <c r="A677" s="5" t="s">
        <v>1358</v>
      </c>
      <c r="B677" s="6">
        <v>44263</v>
      </c>
      <c r="C677" s="5" t="s">
        <v>1359</v>
      </c>
      <c r="D677" s="5" t="s">
        <v>156</v>
      </c>
      <c r="E677" s="5">
        <v>4</v>
      </c>
    </row>
    <row r="678" spans="1:5">
      <c r="A678" s="5" t="s">
        <v>1360</v>
      </c>
      <c r="B678" s="6">
        <v>44217</v>
      </c>
      <c r="C678" s="5" t="s">
        <v>1361</v>
      </c>
      <c r="D678" s="5" t="s">
        <v>130</v>
      </c>
      <c r="E678" s="5">
        <v>5</v>
      </c>
    </row>
    <row r="679" spans="1:5">
      <c r="A679" s="5" t="s">
        <v>1362</v>
      </c>
      <c r="B679" s="6">
        <v>44206</v>
      </c>
      <c r="C679" s="5" t="s">
        <v>1363</v>
      </c>
      <c r="D679" s="5" t="s">
        <v>125</v>
      </c>
      <c r="E679" s="5">
        <v>5</v>
      </c>
    </row>
    <row r="680" spans="1:5">
      <c r="A680" s="5" t="s">
        <v>1364</v>
      </c>
      <c r="B680" s="6">
        <v>44281</v>
      </c>
      <c r="C680" s="5" t="s">
        <v>1365</v>
      </c>
      <c r="D680" s="5" t="s">
        <v>251</v>
      </c>
      <c r="E680" s="5">
        <v>6</v>
      </c>
    </row>
    <row r="681" spans="1:5">
      <c r="A681" s="5" t="s">
        <v>1366</v>
      </c>
      <c r="B681" s="6">
        <v>44645</v>
      </c>
      <c r="C681" s="5" t="s">
        <v>1367</v>
      </c>
      <c r="D681" s="5" t="s">
        <v>57</v>
      </c>
      <c r="E681" s="5">
        <v>1</v>
      </c>
    </row>
    <row r="682" spans="1:5">
      <c r="A682" s="5" t="s">
        <v>1368</v>
      </c>
      <c r="B682" s="6">
        <v>44399</v>
      </c>
      <c r="C682" s="5" t="s">
        <v>1369</v>
      </c>
      <c r="D682" s="5" t="s">
        <v>108</v>
      </c>
      <c r="E682" s="5">
        <v>5</v>
      </c>
    </row>
    <row r="683" spans="1:5">
      <c r="A683" s="5" t="s">
        <v>1370</v>
      </c>
      <c r="B683" s="6">
        <v>44080</v>
      </c>
      <c r="C683" s="5" t="s">
        <v>1371</v>
      </c>
      <c r="D683" s="5" t="s">
        <v>66</v>
      </c>
      <c r="E683" s="5">
        <v>2</v>
      </c>
    </row>
    <row r="684" spans="1:5">
      <c r="A684" s="5" t="s">
        <v>1372</v>
      </c>
      <c r="B684" s="6">
        <v>43827</v>
      </c>
      <c r="C684" s="5" t="s">
        <v>1373</v>
      </c>
      <c r="D684" s="5" t="s">
        <v>111</v>
      </c>
      <c r="E684" s="5">
        <v>2</v>
      </c>
    </row>
    <row r="685" spans="1:5">
      <c r="A685" s="5" t="s">
        <v>1374</v>
      </c>
      <c r="B685" s="6">
        <v>43941</v>
      </c>
      <c r="C685" s="5" t="s">
        <v>1375</v>
      </c>
      <c r="D685" s="5" t="s">
        <v>170</v>
      </c>
      <c r="E685" s="5">
        <v>6</v>
      </c>
    </row>
    <row r="686" spans="1:5">
      <c r="A686" s="5" t="s">
        <v>1376</v>
      </c>
      <c r="B686" s="6">
        <v>43517</v>
      </c>
      <c r="C686" s="5" t="s">
        <v>1377</v>
      </c>
      <c r="D686" s="5" t="s">
        <v>236</v>
      </c>
      <c r="E686" s="5">
        <v>6</v>
      </c>
    </row>
    <row r="687" spans="1:5">
      <c r="A687" s="5" t="s">
        <v>1378</v>
      </c>
      <c r="B687" s="6">
        <v>44637</v>
      </c>
      <c r="C687" s="5" t="s">
        <v>1379</v>
      </c>
      <c r="D687" s="5" t="s">
        <v>151</v>
      </c>
      <c r="E687" s="5">
        <v>2</v>
      </c>
    </row>
    <row r="688" spans="1:5">
      <c r="A688" s="5" t="s">
        <v>1380</v>
      </c>
      <c r="B688" s="6">
        <v>44330</v>
      </c>
      <c r="C688" s="5" t="s">
        <v>1381</v>
      </c>
      <c r="D688" s="5" t="s">
        <v>148</v>
      </c>
      <c r="E688" s="5">
        <v>3</v>
      </c>
    </row>
    <row r="689" spans="1:5">
      <c r="A689" s="5" t="s">
        <v>1382</v>
      </c>
      <c r="B689" s="6">
        <v>43471</v>
      </c>
      <c r="C689" s="5" t="s">
        <v>1383</v>
      </c>
      <c r="D689" s="5" t="s">
        <v>50</v>
      </c>
      <c r="E689" s="5">
        <v>2</v>
      </c>
    </row>
    <row r="690" spans="1:5">
      <c r="A690" s="5" t="s">
        <v>1384</v>
      </c>
      <c r="B690" s="6">
        <v>43579</v>
      </c>
      <c r="C690" s="5" t="s">
        <v>1385</v>
      </c>
      <c r="D690" s="5" t="s">
        <v>53</v>
      </c>
      <c r="E690" s="5">
        <v>5</v>
      </c>
    </row>
    <row r="691" spans="1:5">
      <c r="A691" s="5" t="s">
        <v>1386</v>
      </c>
      <c r="B691" s="6">
        <v>44346</v>
      </c>
      <c r="C691" s="5" t="s">
        <v>1387</v>
      </c>
      <c r="D691" s="5" t="s">
        <v>114</v>
      </c>
      <c r="E691" s="5">
        <v>5</v>
      </c>
    </row>
    <row r="692" spans="1:5">
      <c r="A692" s="5" t="s">
        <v>1388</v>
      </c>
      <c r="B692" s="6">
        <v>44754</v>
      </c>
      <c r="C692" s="5" t="s">
        <v>1389</v>
      </c>
      <c r="D692" s="5" t="s">
        <v>156</v>
      </c>
      <c r="E692" s="5">
        <v>6</v>
      </c>
    </row>
    <row r="693" spans="1:5">
      <c r="A693" s="5" t="s">
        <v>1390</v>
      </c>
      <c r="B693" s="6">
        <v>44227</v>
      </c>
      <c r="C693" s="5" t="s">
        <v>1391</v>
      </c>
      <c r="D693" s="5" t="s">
        <v>108</v>
      </c>
      <c r="E693" s="5">
        <v>2</v>
      </c>
    </row>
    <row r="694" spans="1:5">
      <c r="A694" s="5" t="s">
        <v>1392</v>
      </c>
      <c r="B694" s="6">
        <v>43720</v>
      </c>
      <c r="C694" s="5" t="s">
        <v>1393</v>
      </c>
      <c r="D694" s="5" t="s">
        <v>60</v>
      </c>
      <c r="E694" s="5">
        <v>1</v>
      </c>
    </row>
    <row r="695" spans="1:5">
      <c r="A695" s="5" t="s">
        <v>1394</v>
      </c>
      <c r="B695" s="6">
        <v>44012</v>
      </c>
      <c r="C695" s="5" t="s">
        <v>1395</v>
      </c>
      <c r="D695" s="5" t="s">
        <v>218</v>
      </c>
      <c r="E695" s="5">
        <v>2</v>
      </c>
    </row>
    <row r="696" spans="1:5">
      <c r="A696" s="5" t="s">
        <v>1396</v>
      </c>
      <c r="B696" s="6">
        <v>43915</v>
      </c>
      <c r="C696" s="5" t="s">
        <v>1397</v>
      </c>
      <c r="D696" s="5" t="s">
        <v>63</v>
      </c>
      <c r="E696" s="5">
        <v>5</v>
      </c>
    </row>
    <row r="697" spans="1:5">
      <c r="A697" s="5" t="s">
        <v>1398</v>
      </c>
      <c r="B697" s="6">
        <v>44300</v>
      </c>
      <c r="C697" s="5" t="s">
        <v>1399</v>
      </c>
      <c r="D697" s="5" t="s">
        <v>151</v>
      </c>
      <c r="E697" s="5">
        <v>5</v>
      </c>
    </row>
    <row r="698" spans="1:5">
      <c r="A698" s="5" t="s">
        <v>1400</v>
      </c>
      <c r="B698" s="6">
        <v>43693</v>
      </c>
      <c r="C698" s="5" t="s">
        <v>1401</v>
      </c>
      <c r="D698" s="5" t="s">
        <v>170</v>
      </c>
      <c r="E698" s="5">
        <v>4</v>
      </c>
    </row>
    <row r="699" spans="1:5">
      <c r="A699" s="5" t="s">
        <v>1402</v>
      </c>
      <c r="B699" s="6">
        <v>44547</v>
      </c>
      <c r="C699" s="5" t="s">
        <v>1403</v>
      </c>
      <c r="D699" s="5" t="s">
        <v>114</v>
      </c>
      <c r="E699" s="5">
        <v>3</v>
      </c>
    </row>
    <row r="700" spans="1:5">
      <c r="A700" s="5" t="s">
        <v>1404</v>
      </c>
      <c r="B700" s="6">
        <v>43830</v>
      </c>
      <c r="C700" s="5" t="s">
        <v>1391</v>
      </c>
      <c r="D700" s="5" t="s">
        <v>60</v>
      </c>
      <c r="E700" s="5">
        <v>2</v>
      </c>
    </row>
    <row r="701" spans="1:5">
      <c r="A701" s="5" t="s">
        <v>1405</v>
      </c>
      <c r="B701" s="6">
        <v>44298</v>
      </c>
      <c r="C701" s="5" t="s">
        <v>1406</v>
      </c>
      <c r="D701" s="5" t="s">
        <v>119</v>
      </c>
      <c r="E701" s="5">
        <v>4</v>
      </c>
    </row>
    <row r="702" spans="1:5">
      <c r="A702" s="5" t="s">
        <v>1407</v>
      </c>
      <c r="B702" s="6">
        <v>43736</v>
      </c>
      <c r="C702" s="5" t="s">
        <v>1408</v>
      </c>
      <c r="D702" s="5" t="s">
        <v>130</v>
      </c>
      <c r="E702" s="5">
        <v>2</v>
      </c>
    </row>
    <row r="703" spans="1:5">
      <c r="A703" s="5" t="s">
        <v>1409</v>
      </c>
      <c r="B703" s="6">
        <v>44727</v>
      </c>
      <c r="C703" s="5" t="s">
        <v>1410</v>
      </c>
      <c r="D703" s="5" t="s">
        <v>119</v>
      </c>
      <c r="E703" s="5">
        <v>5</v>
      </c>
    </row>
    <row r="704" spans="1:5">
      <c r="A704" s="5" t="s">
        <v>1411</v>
      </c>
      <c r="B704" s="6">
        <v>43661</v>
      </c>
      <c r="C704" s="5" t="s">
        <v>1412</v>
      </c>
      <c r="D704" s="5" t="s">
        <v>239</v>
      </c>
      <c r="E704" s="5">
        <v>1</v>
      </c>
    </row>
    <row r="705" spans="1:5">
      <c r="A705" s="5" t="s">
        <v>1413</v>
      </c>
      <c r="B705" s="6">
        <v>43506</v>
      </c>
      <c r="C705" s="5" t="s">
        <v>1414</v>
      </c>
      <c r="D705" s="5" t="s">
        <v>156</v>
      </c>
      <c r="E705" s="5">
        <v>4</v>
      </c>
    </row>
    <row r="706" spans="1:5">
      <c r="A706" s="5" t="s">
        <v>1415</v>
      </c>
      <c r="B706" s="6">
        <v>44716</v>
      </c>
      <c r="C706" s="5" t="s">
        <v>1416</v>
      </c>
      <c r="D706" s="5" t="s">
        <v>98</v>
      </c>
      <c r="E706" s="5">
        <v>6</v>
      </c>
    </row>
    <row r="707" spans="1:5">
      <c r="A707" s="5" t="s">
        <v>1417</v>
      </c>
      <c r="B707" s="6">
        <v>44114</v>
      </c>
      <c r="C707" s="5" t="s">
        <v>1418</v>
      </c>
      <c r="D707" s="5" t="s">
        <v>223</v>
      </c>
      <c r="E707" s="5">
        <v>2</v>
      </c>
    </row>
    <row r="708" spans="1:5">
      <c r="A708" s="5" t="s">
        <v>1419</v>
      </c>
      <c r="B708" s="6">
        <v>44353</v>
      </c>
      <c r="C708" s="5" t="s">
        <v>1420</v>
      </c>
      <c r="D708" s="5" t="s">
        <v>111</v>
      </c>
      <c r="E708" s="5">
        <v>3</v>
      </c>
    </row>
    <row r="709" spans="1:5">
      <c r="A709" s="5" t="s">
        <v>1421</v>
      </c>
      <c r="B709" s="6">
        <v>43540</v>
      </c>
      <c r="C709" s="5" t="s">
        <v>1422</v>
      </c>
      <c r="D709" s="5" t="s">
        <v>60</v>
      </c>
      <c r="E709" s="5">
        <v>2</v>
      </c>
    </row>
    <row r="710" spans="1:5">
      <c r="A710" s="5" t="s">
        <v>1423</v>
      </c>
      <c r="B710" s="6">
        <v>43804</v>
      </c>
      <c r="C710" s="5" t="s">
        <v>1424</v>
      </c>
      <c r="D710" s="5" t="s">
        <v>114</v>
      </c>
      <c r="E710" s="5">
        <v>2</v>
      </c>
    </row>
    <row r="711" spans="1:5">
      <c r="A711" s="5" t="s">
        <v>1425</v>
      </c>
      <c r="B711" s="6">
        <v>43485</v>
      </c>
      <c r="C711" s="5" t="s">
        <v>1426</v>
      </c>
      <c r="D711" s="5" t="s">
        <v>223</v>
      </c>
      <c r="E711" s="5">
        <v>2</v>
      </c>
    </row>
    <row r="712" spans="1:5">
      <c r="A712" s="5" t="s">
        <v>1427</v>
      </c>
      <c r="B712" s="6">
        <v>44655</v>
      </c>
      <c r="C712" s="5" t="s">
        <v>1428</v>
      </c>
      <c r="D712" s="5" t="s">
        <v>50</v>
      </c>
      <c r="E712" s="5">
        <v>3</v>
      </c>
    </row>
    <row r="713" spans="1:5">
      <c r="A713" s="5" t="s">
        <v>1429</v>
      </c>
      <c r="B713" s="6">
        <v>44600</v>
      </c>
      <c r="C713" s="5" t="s">
        <v>1430</v>
      </c>
      <c r="D713" s="5" t="s">
        <v>209</v>
      </c>
      <c r="E713" s="5">
        <v>6</v>
      </c>
    </row>
    <row r="714" spans="1:5">
      <c r="A714" s="5" t="s">
        <v>1431</v>
      </c>
      <c r="B714" s="6">
        <v>43646</v>
      </c>
      <c r="C714" s="5" t="s">
        <v>1432</v>
      </c>
      <c r="D714" s="5" t="s">
        <v>50</v>
      </c>
      <c r="E714" s="5">
        <v>2</v>
      </c>
    </row>
    <row r="715" spans="1:5">
      <c r="A715" s="5" t="s">
        <v>1433</v>
      </c>
      <c r="B715" s="6">
        <v>43960</v>
      </c>
      <c r="C715" s="5" t="s">
        <v>1434</v>
      </c>
      <c r="D715" s="5" t="s">
        <v>209</v>
      </c>
      <c r="E715" s="5">
        <v>1</v>
      </c>
    </row>
    <row r="716" spans="1:5">
      <c r="A716" s="5" t="s">
        <v>1435</v>
      </c>
      <c r="B716" s="6">
        <v>44358</v>
      </c>
      <c r="C716" s="5" t="s">
        <v>1436</v>
      </c>
      <c r="D716" s="5" t="s">
        <v>98</v>
      </c>
      <c r="E716" s="5">
        <v>4</v>
      </c>
    </row>
    <row r="717" spans="1:5">
      <c r="A717" s="5" t="s">
        <v>1437</v>
      </c>
      <c r="B717" s="6">
        <v>44504</v>
      </c>
      <c r="C717" s="5" t="s">
        <v>1438</v>
      </c>
      <c r="D717" s="5" t="s">
        <v>184</v>
      </c>
      <c r="E717" s="5">
        <v>6</v>
      </c>
    </row>
    <row r="718" spans="1:5">
      <c r="A718" s="5" t="s">
        <v>1439</v>
      </c>
      <c r="B718" s="6">
        <v>44612</v>
      </c>
      <c r="C718" s="5" t="s">
        <v>1391</v>
      </c>
      <c r="D718" s="5" t="s">
        <v>236</v>
      </c>
      <c r="E718" s="5">
        <v>3</v>
      </c>
    </row>
    <row r="719" spans="1:5">
      <c r="A719" s="5" t="s">
        <v>1440</v>
      </c>
      <c r="B719" s="6">
        <v>43649</v>
      </c>
      <c r="C719" s="5" t="s">
        <v>1441</v>
      </c>
      <c r="D719" s="5" t="s">
        <v>165</v>
      </c>
      <c r="E719" s="5">
        <v>3</v>
      </c>
    </row>
    <row r="720" spans="1:5">
      <c r="A720" s="5" t="s">
        <v>1442</v>
      </c>
      <c r="B720" s="6">
        <v>44348</v>
      </c>
      <c r="C720" s="5" t="s">
        <v>1443</v>
      </c>
      <c r="D720" s="5" t="s">
        <v>60</v>
      </c>
      <c r="E720" s="5">
        <v>3</v>
      </c>
    </row>
    <row r="721" spans="1:5">
      <c r="A721" s="5" t="s">
        <v>1444</v>
      </c>
      <c r="B721" s="6">
        <v>44150</v>
      </c>
      <c r="C721" s="5" t="s">
        <v>1445</v>
      </c>
      <c r="D721" s="5" t="s">
        <v>179</v>
      </c>
      <c r="E721" s="5">
        <v>5</v>
      </c>
    </row>
    <row r="722" spans="1:5">
      <c r="A722" s="5" t="s">
        <v>1446</v>
      </c>
      <c r="B722" s="6">
        <v>44215</v>
      </c>
      <c r="C722" s="5" t="s">
        <v>1447</v>
      </c>
      <c r="D722" s="5" t="s">
        <v>63</v>
      </c>
      <c r="E722" s="5">
        <v>5</v>
      </c>
    </row>
    <row r="723" spans="1:5">
      <c r="A723" s="5" t="s">
        <v>1448</v>
      </c>
      <c r="B723" s="6">
        <v>44479</v>
      </c>
      <c r="C723" s="5" t="s">
        <v>1449</v>
      </c>
      <c r="D723" s="5" t="s">
        <v>209</v>
      </c>
      <c r="E723" s="5">
        <v>3</v>
      </c>
    </row>
    <row r="724" spans="1:5">
      <c r="A724" s="5" t="s">
        <v>1450</v>
      </c>
      <c r="B724" s="6">
        <v>44620</v>
      </c>
      <c r="C724" s="5" t="s">
        <v>1451</v>
      </c>
      <c r="D724" s="5" t="s">
        <v>292</v>
      </c>
      <c r="E724" s="5">
        <v>2</v>
      </c>
    </row>
    <row r="725" spans="1:5">
      <c r="A725" s="5" t="s">
        <v>1452</v>
      </c>
      <c r="B725" s="6">
        <v>44470</v>
      </c>
      <c r="C725" s="5" t="s">
        <v>1453</v>
      </c>
      <c r="D725" s="5" t="s">
        <v>159</v>
      </c>
      <c r="E725" s="5">
        <v>2</v>
      </c>
    </row>
    <row r="726" spans="1:5">
      <c r="A726" s="5" t="s">
        <v>1454</v>
      </c>
      <c r="B726" s="6">
        <v>44076</v>
      </c>
      <c r="C726" s="5" t="s">
        <v>1455</v>
      </c>
      <c r="D726" s="5" t="s">
        <v>91</v>
      </c>
      <c r="E726" s="5">
        <v>2</v>
      </c>
    </row>
    <row r="727" spans="1:5">
      <c r="A727" s="5" t="s">
        <v>1456</v>
      </c>
      <c r="B727" s="6">
        <v>44043</v>
      </c>
      <c r="C727" s="5" t="s">
        <v>1457</v>
      </c>
      <c r="D727" s="5" t="s">
        <v>162</v>
      </c>
      <c r="E727" s="5">
        <v>6</v>
      </c>
    </row>
    <row r="728" spans="1:5">
      <c r="A728" s="5" t="s">
        <v>1458</v>
      </c>
      <c r="B728" s="6">
        <v>44571</v>
      </c>
      <c r="C728" s="5" t="s">
        <v>1459</v>
      </c>
      <c r="D728" s="5" t="s">
        <v>151</v>
      </c>
      <c r="E728" s="5">
        <v>4</v>
      </c>
    </row>
    <row r="729" spans="1:5">
      <c r="A729" s="5" t="s">
        <v>1460</v>
      </c>
      <c r="B729" s="6">
        <v>44264</v>
      </c>
      <c r="C729" s="5" t="s">
        <v>1461</v>
      </c>
      <c r="D729" s="5" t="s">
        <v>69</v>
      </c>
      <c r="E729" s="5">
        <v>5</v>
      </c>
    </row>
    <row r="730" spans="1:5">
      <c r="A730" s="5" t="s">
        <v>1462</v>
      </c>
      <c r="B730" s="6">
        <v>44155</v>
      </c>
      <c r="C730" s="5" t="s">
        <v>1463</v>
      </c>
      <c r="D730" s="5" t="s">
        <v>63</v>
      </c>
      <c r="E730" s="5">
        <v>3</v>
      </c>
    </row>
    <row r="731" spans="1:5">
      <c r="A731" s="5" t="s">
        <v>1464</v>
      </c>
      <c r="B731" s="6">
        <v>44634</v>
      </c>
      <c r="C731" s="5" t="s">
        <v>1465</v>
      </c>
      <c r="D731" s="5" t="s">
        <v>124</v>
      </c>
      <c r="E731" s="5">
        <v>1</v>
      </c>
    </row>
    <row r="732" spans="1:5">
      <c r="A732" s="5" t="s">
        <v>1466</v>
      </c>
      <c r="B732" s="6">
        <v>43475</v>
      </c>
      <c r="C732" s="5" t="s">
        <v>1467</v>
      </c>
      <c r="D732" s="5" t="s">
        <v>151</v>
      </c>
      <c r="E732" s="5">
        <v>1</v>
      </c>
    </row>
    <row r="733" spans="1:5">
      <c r="A733" s="5" t="s">
        <v>1468</v>
      </c>
      <c r="B733" s="6">
        <v>44222</v>
      </c>
      <c r="C733" s="5" t="s">
        <v>1469</v>
      </c>
      <c r="D733" s="5" t="s">
        <v>85</v>
      </c>
      <c r="E733" s="5">
        <v>4</v>
      </c>
    </row>
    <row r="734" spans="1:5">
      <c r="A734" s="5" t="s">
        <v>1470</v>
      </c>
      <c r="B734" s="6">
        <v>44312</v>
      </c>
      <c r="C734" s="5" t="s">
        <v>1471</v>
      </c>
      <c r="D734" s="5" t="s">
        <v>301</v>
      </c>
      <c r="E734" s="5">
        <v>2</v>
      </c>
    </row>
    <row r="735" spans="1:5">
      <c r="A735" s="5" t="s">
        <v>1472</v>
      </c>
      <c r="B735" s="6">
        <v>44565</v>
      </c>
      <c r="C735" s="5" t="s">
        <v>1473</v>
      </c>
      <c r="D735" s="5" t="s">
        <v>244</v>
      </c>
      <c r="E735" s="5">
        <v>3</v>
      </c>
    </row>
    <row r="736" spans="1:5">
      <c r="A736" s="5" t="s">
        <v>1474</v>
      </c>
      <c r="B736" s="6">
        <v>43697</v>
      </c>
      <c r="C736" s="5" t="s">
        <v>1475</v>
      </c>
      <c r="D736" s="5" t="s">
        <v>148</v>
      </c>
      <c r="E736" s="5">
        <v>5</v>
      </c>
    </row>
    <row r="737" spans="1:5">
      <c r="A737" s="5" t="s">
        <v>1476</v>
      </c>
      <c r="B737" s="6">
        <v>44757</v>
      </c>
      <c r="C737" s="5" t="s">
        <v>1477</v>
      </c>
      <c r="D737" s="5" t="s">
        <v>98</v>
      </c>
      <c r="E737" s="5">
        <v>6</v>
      </c>
    </row>
    <row r="738" spans="1:5">
      <c r="A738" s="5" t="s">
        <v>1478</v>
      </c>
      <c r="B738" s="6">
        <v>43508</v>
      </c>
      <c r="C738" s="5" t="s">
        <v>1479</v>
      </c>
      <c r="D738" s="5" t="s">
        <v>60</v>
      </c>
      <c r="E738" s="5">
        <v>2</v>
      </c>
    </row>
    <row r="739" spans="1:5">
      <c r="A739" s="5" t="s">
        <v>1480</v>
      </c>
      <c r="B739" s="6">
        <v>44447</v>
      </c>
      <c r="C739" s="5" t="s">
        <v>1481</v>
      </c>
      <c r="D739" s="5" t="s">
        <v>108</v>
      </c>
      <c r="E739" s="5">
        <v>5</v>
      </c>
    </row>
    <row r="740" spans="1:5">
      <c r="A740" s="5" t="s">
        <v>1482</v>
      </c>
      <c r="B740" s="6">
        <v>43812</v>
      </c>
      <c r="C740" s="5" t="s">
        <v>1483</v>
      </c>
      <c r="D740" s="5" t="s">
        <v>229</v>
      </c>
      <c r="E740" s="5">
        <v>3</v>
      </c>
    </row>
    <row r="741" spans="1:5">
      <c r="A741" s="5" t="s">
        <v>1484</v>
      </c>
      <c r="B741" s="6">
        <v>44433</v>
      </c>
      <c r="C741" s="5" t="s">
        <v>1391</v>
      </c>
      <c r="D741" s="5" t="s">
        <v>98</v>
      </c>
      <c r="E741" s="5">
        <v>5</v>
      </c>
    </row>
    <row r="742" spans="1:5">
      <c r="A742" s="5" t="s">
        <v>1485</v>
      </c>
      <c r="B742" s="6">
        <v>44643</v>
      </c>
      <c r="C742" s="5" t="s">
        <v>1486</v>
      </c>
      <c r="D742" s="5" t="s">
        <v>204</v>
      </c>
      <c r="E742" s="5">
        <v>4</v>
      </c>
    </row>
    <row r="743" spans="1:5">
      <c r="A743" s="5" t="s">
        <v>1487</v>
      </c>
      <c r="B743" s="6">
        <v>43566</v>
      </c>
      <c r="C743" s="5" t="s">
        <v>1488</v>
      </c>
      <c r="D743" s="5" t="s">
        <v>124</v>
      </c>
      <c r="E743" s="5">
        <v>2</v>
      </c>
    </row>
    <row r="744" spans="1:5">
      <c r="A744" s="5" t="s">
        <v>1489</v>
      </c>
      <c r="B744" s="6">
        <v>44133</v>
      </c>
      <c r="C744" s="5" t="s">
        <v>1490</v>
      </c>
      <c r="D744" s="5" t="s">
        <v>143</v>
      </c>
      <c r="E744" s="5">
        <v>4</v>
      </c>
    </row>
    <row r="745" spans="1:5">
      <c r="A745" s="5" t="s">
        <v>1491</v>
      </c>
      <c r="B745" s="6">
        <v>44042</v>
      </c>
      <c r="C745" s="5" t="s">
        <v>1492</v>
      </c>
      <c r="D745" s="5" t="s">
        <v>119</v>
      </c>
      <c r="E745" s="5">
        <v>3</v>
      </c>
    </row>
    <row r="746" spans="1:5">
      <c r="A746" s="5" t="s">
        <v>1493</v>
      </c>
      <c r="B746" s="6">
        <v>43539</v>
      </c>
      <c r="C746" s="5" t="s">
        <v>1494</v>
      </c>
      <c r="D746" s="5" t="s">
        <v>209</v>
      </c>
      <c r="E746" s="5">
        <v>6</v>
      </c>
    </row>
    <row r="747" spans="1:5">
      <c r="A747" s="5" t="s">
        <v>1495</v>
      </c>
      <c r="B747" s="6">
        <v>44557</v>
      </c>
      <c r="C747" s="5" t="s">
        <v>1496</v>
      </c>
      <c r="D747" s="5" t="s">
        <v>63</v>
      </c>
      <c r="E747" s="5">
        <v>2</v>
      </c>
    </row>
    <row r="748" spans="1:5">
      <c r="A748" s="5" t="s">
        <v>1497</v>
      </c>
      <c r="B748" s="6">
        <v>43741</v>
      </c>
      <c r="C748" s="5" t="s">
        <v>1498</v>
      </c>
      <c r="D748" s="5" t="s">
        <v>108</v>
      </c>
      <c r="E748" s="5">
        <v>3</v>
      </c>
    </row>
    <row r="749" spans="1:5">
      <c r="A749" s="5" t="s">
        <v>1499</v>
      </c>
      <c r="B749" s="6">
        <v>43501</v>
      </c>
      <c r="C749" s="5" t="s">
        <v>1500</v>
      </c>
      <c r="D749" s="5" t="s">
        <v>125</v>
      </c>
      <c r="E749" s="5">
        <v>4</v>
      </c>
    </row>
    <row r="750" spans="1:5">
      <c r="A750" s="5" t="s">
        <v>1501</v>
      </c>
      <c r="B750" s="6">
        <v>44074</v>
      </c>
      <c r="C750" s="5" t="s">
        <v>1502</v>
      </c>
      <c r="D750" s="5" t="s">
        <v>63</v>
      </c>
      <c r="E750" s="5">
        <v>2</v>
      </c>
    </row>
    <row r="751" spans="1:5">
      <c r="A751" s="5" t="s">
        <v>1503</v>
      </c>
      <c r="B751" s="6">
        <v>44209</v>
      </c>
      <c r="C751" s="5" t="s">
        <v>1504</v>
      </c>
      <c r="D751" s="5" t="s">
        <v>148</v>
      </c>
      <c r="E751" s="5">
        <v>2</v>
      </c>
    </row>
    <row r="752" spans="1:5">
      <c r="A752" s="5" t="s">
        <v>1505</v>
      </c>
      <c r="B752" s="6">
        <v>44277</v>
      </c>
      <c r="C752" s="5" t="s">
        <v>1506</v>
      </c>
      <c r="D752" s="5" t="s">
        <v>69</v>
      </c>
      <c r="E752" s="5">
        <v>1</v>
      </c>
    </row>
    <row r="753" spans="1:5">
      <c r="A753" s="5" t="s">
        <v>1507</v>
      </c>
      <c r="B753" s="6">
        <v>43847</v>
      </c>
      <c r="C753" s="5" t="s">
        <v>1508</v>
      </c>
      <c r="D753" s="5" t="s">
        <v>130</v>
      </c>
      <c r="E753" s="5">
        <v>2</v>
      </c>
    </row>
    <row r="754" spans="1:5">
      <c r="A754" s="5" t="s">
        <v>1509</v>
      </c>
      <c r="B754" s="6">
        <v>43648</v>
      </c>
      <c r="C754" s="5" t="s">
        <v>1510</v>
      </c>
      <c r="D754" s="5" t="s">
        <v>56</v>
      </c>
      <c r="E754" s="5">
        <v>2</v>
      </c>
    </row>
    <row r="755" spans="1:5">
      <c r="A755" s="5" t="s">
        <v>1511</v>
      </c>
      <c r="B755" s="6">
        <v>44704</v>
      </c>
      <c r="C755" s="5" t="s">
        <v>1512</v>
      </c>
      <c r="D755" s="5" t="s">
        <v>119</v>
      </c>
      <c r="E755" s="5">
        <v>5</v>
      </c>
    </row>
    <row r="756" spans="1:5">
      <c r="A756" s="5" t="s">
        <v>1513</v>
      </c>
      <c r="B756" s="6">
        <v>44726</v>
      </c>
      <c r="C756" s="5" t="s">
        <v>1391</v>
      </c>
      <c r="D756" s="5" t="s">
        <v>101</v>
      </c>
      <c r="E756" s="5">
        <v>6</v>
      </c>
    </row>
    <row r="757" spans="1:5">
      <c r="A757" s="5" t="s">
        <v>1514</v>
      </c>
      <c r="B757" s="6">
        <v>44397</v>
      </c>
      <c r="C757" s="5" t="s">
        <v>1515</v>
      </c>
      <c r="D757" s="5" t="s">
        <v>66</v>
      </c>
      <c r="E757" s="5">
        <v>6</v>
      </c>
    </row>
    <row r="758" spans="1:5">
      <c r="A758" s="5" t="s">
        <v>1516</v>
      </c>
      <c r="B758" s="6">
        <v>44715</v>
      </c>
      <c r="C758" s="5" t="s">
        <v>1517</v>
      </c>
      <c r="D758" s="5" t="s">
        <v>226</v>
      </c>
      <c r="E758" s="5">
        <v>4</v>
      </c>
    </row>
    <row r="759" spans="1:5">
      <c r="A759" s="5" t="s">
        <v>1518</v>
      </c>
      <c r="B759" s="6">
        <v>43977</v>
      </c>
      <c r="C759" s="5" t="s">
        <v>1519</v>
      </c>
      <c r="D759" s="5" t="s">
        <v>119</v>
      </c>
      <c r="E759" s="5">
        <v>3</v>
      </c>
    </row>
    <row r="760" spans="1:5">
      <c r="A760" s="5" t="s">
        <v>1520</v>
      </c>
      <c r="B760" s="6">
        <v>43672</v>
      </c>
      <c r="C760" s="5" t="s">
        <v>1521</v>
      </c>
      <c r="D760" s="5" t="s">
        <v>226</v>
      </c>
      <c r="E760" s="5">
        <v>1</v>
      </c>
    </row>
    <row r="761" spans="1:5">
      <c r="A761" s="5" t="s">
        <v>1522</v>
      </c>
      <c r="B761" s="6">
        <v>44126</v>
      </c>
      <c r="C761" s="5" t="s">
        <v>1523</v>
      </c>
      <c r="D761" s="5" t="s">
        <v>156</v>
      </c>
      <c r="E761" s="5">
        <v>1</v>
      </c>
    </row>
    <row r="762" spans="1:5">
      <c r="A762" s="5" t="s">
        <v>1524</v>
      </c>
      <c r="B762" s="6">
        <v>44189</v>
      </c>
      <c r="C762" s="5" t="s">
        <v>1525</v>
      </c>
      <c r="D762" s="5" t="s">
        <v>223</v>
      </c>
      <c r="E762" s="5">
        <v>5</v>
      </c>
    </row>
    <row r="763" spans="1:5">
      <c r="A763" s="5" t="s">
        <v>1526</v>
      </c>
      <c r="B763" s="6">
        <v>43714</v>
      </c>
      <c r="C763" s="5" t="s">
        <v>1527</v>
      </c>
      <c r="D763" s="5" t="s">
        <v>184</v>
      </c>
      <c r="E763" s="5">
        <v>6</v>
      </c>
    </row>
    <row r="764" spans="1:5">
      <c r="A764" s="5" t="s">
        <v>1528</v>
      </c>
      <c r="B764" s="6">
        <v>43563</v>
      </c>
      <c r="C764" s="5" t="s">
        <v>1529</v>
      </c>
      <c r="D764" s="5" t="s">
        <v>125</v>
      </c>
      <c r="E764" s="5">
        <v>5</v>
      </c>
    </row>
    <row r="765" spans="1:5">
      <c r="A765" s="5" t="s">
        <v>1530</v>
      </c>
      <c r="B765" s="6">
        <v>44587</v>
      </c>
      <c r="C765" s="5" t="s">
        <v>1531</v>
      </c>
      <c r="D765" s="5" t="s">
        <v>239</v>
      </c>
      <c r="E765" s="5">
        <v>3</v>
      </c>
    </row>
    <row r="766" spans="1:5">
      <c r="A766" s="5" t="s">
        <v>1532</v>
      </c>
      <c r="B766" s="6">
        <v>43797</v>
      </c>
      <c r="C766" s="5" t="s">
        <v>1533</v>
      </c>
      <c r="D766" s="5" t="s">
        <v>251</v>
      </c>
      <c r="E766" s="5">
        <v>6</v>
      </c>
    </row>
    <row r="767" spans="1:5">
      <c r="A767" s="5" t="s">
        <v>1534</v>
      </c>
      <c r="B767" s="6">
        <v>43667</v>
      </c>
      <c r="C767" s="5" t="s">
        <v>1535</v>
      </c>
      <c r="D767" s="5" t="s">
        <v>49</v>
      </c>
      <c r="E767" s="5">
        <v>6</v>
      </c>
    </row>
    <row r="768" spans="1:5">
      <c r="A768" s="5" t="s">
        <v>1534</v>
      </c>
      <c r="B768" s="6">
        <v>43667</v>
      </c>
      <c r="C768" s="5" t="s">
        <v>1535</v>
      </c>
      <c r="D768" s="5" t="s">
        <v>239</v>
      </c>
      <c r="E768" s="5">
        <v>2</v>
      </c>
    </row>
    <row r="769" spans="1:5">
      <c r="A769" s="5" t="s">
        <v>1536</v>
      </c>
      <c r="B769" s="6">
        <v>44267</v>
      </c>
      <c r="C769" s="5" t="s">
        <v>1515</v>
      </c>
      <c r="D769" s="5" t="s">
        <v>251</v>
      </c>
      <c r="E769" s="5">
        <v>3</v>
      </c>
    </row>
    <row r="770" spans="1:5">
      <c r="A770" s="5" t="s">
        <v>1537</v>
      </c>
      <c r="B770" s="6">
        <v>44562</v>
      </c>
      <c r="C770" s="5" t="s">
        <v>1515</v>
      </c>
      <c r="D770" s="5" t="s">
        <v>236</v>
      </c>
      <c r="E770" s="5">
        <v>2</v>
      </c>
    </row>
    <row r="771" spans="1:5">
      <c r="A771" s="5" t="s">
        <v>1538</v>
      </c>
      <c r="B771" s="6">
        <v>43912</v>
      </c>
      <c r="C771" s="5" t="s">
        <v>1539</v>
      </c>
      <c r="D771" s="5" t="s">
        <v>88</v>
      </c>
      <c r="E771" s="5">
        <v>6</v>
      </c>
    </row>
    <row r="772" spans="1:5">
      <c r="A772" s="5" t="s">
        <v>1540</v>
      </c>
      <c r="B772" s="6">
        <v>44092</v>
      </c>
      <c r="C772" s="5" t="s">
        <v>1541</v>
      </c>
      <c r="D772" s="5" t="s">
        <v>74</v>
      </c>
      <c r="E772" s="5">
        <v>1</v>
      </c>
    </row>
    <row r="773" spans="1:5">
      <c r="A773" s="5" t="s">
        <v>1542</v>
      </c>
      <c r="B773" s="6">
        <v>43468</v>
      </c>
      <c r="C773" s="5" t="s">
        <v>1543</v>
      </c>
      <c r="D773" s="5" t="s">
        <v>204</v>
      </c>
      <c r="E773" s="5">
        <v>3</v>
      </c>
    </row>
    <row r="774" spans="1:5">
      <c r="A774" s="5" t="s">
        <v>1544</v>
      </c>
      <c r="B774" s="6">
        <v>44468</v>
      </c>
      <c r="C774" s="5" t="s">
        <v>1545</v>
      </c>
      <c r="D774" s="5" t="s">
        <v>56</v>
      </c>
      <c r="E774" s="5">
        <v>6</v>
      </c>
    </row>
    <row r="775" spans="1:5">
      <c r="A775" s="5" t="s">
        <v>1546</v>
      </c>
      <c r="B775" s="6">
        <v>44488</v>
      </c>
      <c r="C775" s="5" t="s">
        <v>1547</v>
      </c>
      <c r="D775" s="5" t="s">
        <v>124</v>
      </c>
      <c r="E775" s="5">
        <v>2</v>
      </c>
    </row>
    <row r="776" spans="1:5">
      <c r="A776" s="5" t="s">
        <v>1548</v>
      </c>
      <c r="B776" s="6">
        <v>44756</v>
      </c>
      <c r="C776" s="5" t="s">
        <v>1549</v>
      </c>
      <c r="D776" s="5" t="s">
        <v>49</v>
      </c>
      <c r="E776" s="5">
        <v>2</v>
      </c>
    </row>
    <row r="777" spans="1:5">
      <c r="A777" s="5" t="s">
        <v>1550</v>
      </c>
      <c r="B777" s="6">
        <v>44396</v>
      </c>
      <c r="C777" s="5" t="s">
        <v>1551</v>
      </c>
      <c r="D777" s="5" t="s">
        <v>223</v>
      </c>
      <c r="E777" s="5">
        <v>2</v>
      </c>
    </row>
    <row r="778" spans="1:5">
      <c r="A778" s="5" t="s">
        <v>1552</v>
      </c>
      <c r="B778" s="6">
        <v>44540</v>
      </c>
      <c r="C778" s="5" t="s">
        <v>1553</v>
      </c>
      <c r="D778" s="5" t="s">
        <v>114</v>
      </c>
      <c r="E778" s="5">
        <v>3</v>
      </c>
    </row>
    <row r="779" spans="1:5">
      <c r="A779" s="5" t="s">
        <v>1554</v>
      </c>
      <c r="B779" s="6">
        <v>43541</v>
      </c>
      <c r="C779" s="5" t="s">
        <v>1555</v>
      </c>
      <c r="D779" s="5" t="s">
        <v>251</v>
      </c>
      <c r="E779" s="5">
        <v>2</v>
      </c>
    </row>
    <row r="780" spans="1:5">
      <c r="A780" s="5" t="s">
        <v>1556</v>
      </c>
      <c r="B780" s="6">
        <v>43889</v>
      </c>
      <c r="C780" s="5" t="s">
        <v>1557</v>
      </c>
      <c r="D780" s="5" t="s">
        <v>130</v>
      </c>
      <c r="E780" s="5">
        <v>2</v>
      </c>
    </row>
    <row r="781" spans="1:5">
      <c r="A781" s="5" t="s">
        <v>1558</v>
      </c>
      <c r="B781" s="6">
        <v>43985</v>
      </c>
      <c r="C781" s="5" t="s">
        <v>1559</v>
      </c>
      <c r="D781" s="5" t="s">
        <v>60</v>
      </c>
      <c r="E781" s="5">
        <v>6</v>
      </c>
    </row>
    <row r="782" spans="1:5">
      <c r="A782" s="5" t="s">
        <v>1560</v>
      </c>
      <c r="B782" s="6">
        <v>43883</v>
      </c>
      <c r="C782" s="5" t="s">
        <v>1561</v>
      </c>
      <c r="D782" s="5" t="s">
        <v>56</v>
      </c>
      <c r="E782" s="5">
        <v>3</v>
      </c>
    </row>
    <row r="783" spans="1:5">
      <c r="A783" s="5" t="s">
        <v>1562</v>
      </c>
      <c r="B783" s="6">
        <v>43778</v>
      </c>
      <c r="C783" s="5" t="s">
        <v>1563</v>
      </c>
      <c r="D783" s="5" t="s">
        <v>151</v>
      </c>
      <c r="E783" s="5">
        <v>4</v>
      </c>
    </row>
    <row r="784" spans="1:5">
      <c r="A784" s="5" t="s">
        <v>1564</v>
      </c>
      <c r="B784" s="6">
        <v>43897</v>
      </c>
      <c r="C784" s="5" t="s">
        <v>1565</v>
      </c>
      <c r="D784" s="5" t="s">
        <v>301</v>
      </c>
      <c r="E784" s="5">
        <v>6</v>
      </c>
    </row>
    <row r="785" spans="1:5">
      <c r="A785" s="5" t="s">
        <v>1566</v>
      </c>
      <c r="B785" s="6">
        <v>44312</v>
      </c>
      <c r="C785" s="5" t="s">
        <v>1567</v>
      </c>
      <c r="D785" s="5" t="s">
        <v>125</v>
      </c>
      <c r="E785" s="5">
        <v>5</v>
      </c>
    </row>
    <row r="786" spans="1:5">
      <c r="A786" s="5" t="s">
        <v>1568</v>
      </c>
      <c r="B786" s="6">
        <v>44511</v>
      </c>
      <c r="C786" s="5" t="s">
        <v>1569</v>
      </c>
      <c r="D786" s="5" t="s">
        <v>179</v>
      </c>
      <c r="E786" s="5">
        <v>2</v>
      </c>
    </row>
    <row r="787" spans="1:5">
      <c r="A787" s="5" t="s">
        <v>1570</v>
      </c>
      <c r="B787" s="6">
        <v>44362</v>
      </c>
      <c r="C787" s="5" t="s">
        <v>1571</v>
      </c>
      <c r="D787" s="5" t="s">
        <v>165</v>
      </c>
      <c r="E787" s="5">
        <v>1</v>
      </c>
    </row>
    <row r="788" spans="1:5">
      <c r="A788" s="5" t="s">
        <v>1572</v>
      </c>
      <c r="B788" s="6">
        <v>43888</v>
      </c>
      <c r="C788" s="5" t="s">
        <v>1557</v>
      </c>
      <c r="D788" s="5" t="s">
        <v>577</v>
      </c>
      <c r="E788" s="5">
        <v>1</v>
      </c>
    </row>
    <row r="789" spans="1:5">
      <c r="A789" s="5" t="s">
        <v>1573</v>
      </c>
      <c r="B789" s="6">
        <v>44305</v>
      </c>
      <c r="C789" s="5" t="s">
        <v>1574</v>
      </c>
      <c r="D789" s="5" t="s">
        <v>56</v>
      </c>
      <c r="E789" s="5">
        <v>6</v>
      </c>
    </row>
    <row r="790" spans="1:5">
      <c r="A790" s="5" t="s">
        <v>1575</v>
      </c>
      <c r="B790" s="6">
        <v>44771</v>
      </c>
      <c r="C790" s="5" t="s">
        <v>1576</v>
      </c>
      <c r="D790" s="5" t="s">
        <v>88</v>
      </c>
      <c r="E790" s="5">
        <v>2</v>
      </c>
    </row>
    <row r="791" spans="1:5">
      <c r="A791" s="5" t="s">
        <v>1577</v>
      </c>
      <c r="B791" s="6">
        <v>43485</v>
      </c>
      <c r="C791" s="5" t="s">
        <v>1578</v>
      </c>
      <c r="D791" s="5" t="s">
        <v>53</v>
      </c>
      <c r="E791" s="5">
        <v>6</v>
      </c>
    </row>
    <row r="792" spans="1:5">
      <c r="A792" s="5" t="s">
        <v>1579</v>
      </c>
      <c r="B792" s="6">
        <v>44613</v>
      </c>
      <c r="C792" s="5" t="s">
        <v>1580</v>
      </c>
      <c r="D792" s="5" t="s">
        <v>239</v>
      </c>
      <c r="E792" s="5">
        <v>3</v>
      </c>
    </row>
    <row r="793" spans="1:5">
      <c r="A793" s="5" t="s">
        <v>1581</v>
      </c>
      <c r="B793" s="6">
        <v>43954</v>
      </c>
      <c r="C793" s="5" t="s">
        <v>1582</v>
      </c>
      <c r="D793" s="5" t="s">
        <v>66</v>
      </c>
      <c r="E793" s="5">
        <v>5</v>
      </c>
    </row>
    <row r="794" spans="1:5">
      <c r="A794" s="5" t="s">
        <v>1583</v>
      </c>
      <c r="B794" s="6">
        <v>43545</v>
      </c>
      <c r="C794" s="5" t="s">
        <v>1584</v>
      </c>
      <c r="D794" s="5" t="s">
        <v>125</v>
      </c>
      <c r="E794" s="5">
        <v>6</v>
      </c>
    </row>
    <row r="795" spans="1:5">
      <c r="A795" s="5" t="s">
        <v>1585</v>
      </c>
      <c r="B795" s="6">
        <v>43629</v>
      </c>
      <c r="C795" s="5" t="s">
        <v>1586</v>
      </c>
      <c r="D795" s="5" t="s">
        <v>229</v>
      </c>
      <c r="E795" s="5">
        <v>5</v>
      </c>
    </row>
    <row r="796" spans="1:5">
      <c r="A796" s="5" t="s">
        <v>1587</v>
      </c>
      <c r="B796" s="6">
        <v>43987</v>
      </c>
      <c r="C796" s="5" t="s">
        <v>1588</v>
      </c>
      <c r="D796" s="5" t="s">
        <v>251</v>
      </c>
      <c r="E796" s="5">
        <v>5</v>
      </c>
    </row>
    <row r="797" spans="1:5">
      <c r="A797" s="5" t="s">
        <v>1589</v>
      </c>
      <c r="B797" s="6">
        <v>43540</v>
      </c>
      <c r="C797" s="5" t="s">
        <v>1590</v>
      </c>
      <c r="D797" s="5" t="s">
        <v>204</v>
      </c>
      <c r="E797" s="5">
        <v>4</v>
      </c>
    </row>
    <row r="798" spans="1:5">
      <c r="A798" s="5" t="s">
        <v>1591</v>
      </c>
      <c r="B798" s="6">
        <v>44533</v>
      </c>
      <c r="C798" s="5" t="s">
        <v>1592</v>
      </c>
      <c r="D798" s="5" t="s">
        <v>130</v>
      </c>
      <c r="E798" s="5">
        <v>1</v>
      </c>
    </row>
    <row r="799" spans="1:5">
      <c r="A799" s="5" t="s">
        <v>1593</v>
      </c>
      <c r="B799" s="6">
        <v>44751</v>
      </c>
      <c r="C799" s="5" t="s">
        <v>1594</v>
      </c>
      <c r="D799" s="5" t="s">
        <v>239</v>
      </c>
      <c r="E799" s="5">
        <v>4</v>
      </c>
    </row>
    <row r="800" spans="1:5">
      <c r="A800" s="5" t="s">
        <v>1595</v>
      </c>
      <c r="B800" s="6">
        <v>43950</v>
      </c>
      <c r="C800" s="5" t="s">
        <v>1596</v>
      </c>
      <c r="D800" s="5" t="s">
        <v>148</v>
      </c>
      <c r="E800" s="5">
        <v>3</v>
      </c>
    </row>
    <row r="801" spans="1:5">
      <c r="A801" s="5" t="s">
        <v>1597</v>
      </c>
      <c r="B801" s="6">
        <v>44588</v>
      </c>
      <c r="C801" s="5" t="s">
        <v>1598</v>
      </c>
      <c r="D801" s="5" t="s">
        <v>292</v>
      </c>
      <c r="E801" s="5">
        <v>3</v>
      </c>
    </row>
    <row r="802" spans="1:5">
      <c r="A802" s="5" t="s">
        <v>1599</v>
      </c>
      <c r="B802" s="6">
        <v>44240</v>
      </c>
      <c r="C802" s="5" t="s">
        <v>1600</v>
      </c>
      <c r="D802" s="5" t="s">
        <v>148</v>
      </c>
      <c r="E802" s="5">
        <v>6</v>
      </c>
    </row>
    <row r="803" spans="1:5">
      <c r="A803" s="5" t="s">
        <v>1601</v>
      </c>
      <c r="B803" s="6">
        <v>44025</v>
      </c>
      <c r="C803" s="5" t="s">
        <v>1602</v>
      </c>
      <c r="D803" s="5" t="s">
        <v>82</v>
      </c>
      <c r="E803" s="5">
        <v>2</v>
      </c>
    </row>
    <row r="804" spans="1:5">
      <c r="A804" s="5" t="s">
        <v>1603</v>
      </c>
      <c r="B804" s="6">
        <v>43902</v>
      </c>
      <c r="C804" s="5" t="s">
        <v>1604</v>
      </c>
      <c r="D804" s="5" t="s">
        <v>148</v>
      </c>
      <c r="E804" s="5">
        <v>4</v>
      </c>
    </row>
    <row r="805" spans="1:5">
      <c r="A805" s="5" t="s">
        <v>1605</v>
      </c>
      <c r="B805" s="6">
        <v>43955</v>
      </c>
      <c r="C805" s="5" t="s">
        <v>1606</v>
      </c>
      <c r="D805" s="5" t="s">
        <v>159</v>
      </c>
      <c r="E805" s="5">
        <v>4</v>
      </c>
    </row>
    <row r="806" spans="1:5">
      <c r="A806" s="5" t="s">
        <v>1607</v>
      </c>
      <c r="B806" s="6">
        <v>44289</v>
      </c>
      <c r="C806" s="5" t="s">
        <v>1608</v>
      </c>
      <c r="D806" s="5" t="s">
        <v>236</v>
      </c>
      <c r="E806" s="5">
        <v>2</v>
      </c>
    </row>
    <row r="807" spans="1:5">
      <c r="A807" s="5" t="s">
        <v>1609</v>
      </c>
      <c r="B807" s="6">
        <v>44713</v>
      </c>
      <c r="C807" s="5" t="s">
        <v>1610</v>
      </c>
      <c r="D807" s="5" t="s">
        <v>69</v>
      </c>
      <c r="E807" s="5">
        <v>1</v>
      </c>
    </row>
    <row r="808" spans="1:5">
      <c r="A808" s="5" t="s">
        <v>1611</v>
      </c>
      <c r="B808" s="6">
        <v>44241</v>
      </c>
      <c r="C808" s="5" t="s">
        <v>1612</v>
      </c>
      <c r="D808" s="5" t="s">
        <v>85</v>
      </c>
      <c r="E808" s="5">
        <v>2</v>
      </c>
    </row>
    <row r="809" spans="1:5">
      <c r="A809" s="5" t="s">
        <v>1613</v>
      </c>
      <c r="B809" s="6">
        <v>44543</v>
      </c>
      <c r="C809" s="5" t="s">
        <v>1614</v>
      </c>
      <c r="D809" s="5" t="s">
        <v>170</v>
      </c>
      <c r="E809" s="5">
        <v>3</v>
      </c>
    </row>
    <row r="810" spans="1:5">
      <c r="A810" s="5" t="s">
        <v>1615</v>
      </c>
      <c r="B810" s="6">
        <v>43868</v>
      </c>
      <c r="C810" s="5" t="s">
        <v>1616</v>
      </c>
      <c r="D810" s="5" t="s">
        <v>57</v>
      </c>
      <c r="E810" s="5">
        <v>5</v>
      </c>
    </row>
    <row r="811" spans="1:5">
      <c r="A811" s="5" t="s">
        <v>1617</v>
      </c>
      <c r="B811" s="6">
        <v>44235</v>
      </c>
      <c r="C811" s="5" t="s">
        <v>1618</v>
      </c>
      <c r="D811" s="5" t="s">
        <v>148</v>
      </c>
      <c r="E811" s="5">
        <v>3</v>
      </c>
    </row>
    <row r="812" spans="1:5">
      <c r="A812" s="5" t="s">
        <v>1619</v>
      </c>
      <c r="B812" s="6">
        <v>44054</v>
      </c>
      <c r="C812" s="5" t="s">
        <v>1620</v>
      </c>
      <c r="D812" s="5" t="s">
        <v>130</v>
      </c>
      <c r="E812" s="5">
        <v>3</v>
      </c>
    </row>
    <row r="813" spans="1:5">
      <c r="A813" s="5" t="s">
        <v>1621</v>
      </c>
      <c r="B813" s="6">
        <v>44114</v>
      </c>
      <c r="C813" s="5" t="s">
        <v>1622</v>
      </c>
      <c r="D813" s="5" t="s">
        <v>108</v>
      </c>
      <c r="E813" s="5">
        <v>6</v>
      </c>
    </row>
    <row r="814" spans="1:5">
      <c r="A814" s="5" t="s">
        <v>1621</v>
      </c>
      <c r="B814" s="6">
        <v>44114</v>
      </c>
      <c r="C814" s="5" t="s">
        <v>1622</v>
      </c>
      <c r="D814" s="5" t="s">
        <v>156</v>
      </c>
      <c r="E814" s="5">
        <v>6</v>
      </c>
    </row>
    <row r="815" spans="1:5">
      <c r="A815" s="5" t="s">
        <v>1623</v>
      </c>
      <c r="B815" s="6">
        <v>44173</v>
      </c>
      <c r="C815" s="5" t="s">
        <v>1624</v>
      </c>
      <c r="D815" s="5" t="s">
        <v>159</v>
      </c>
      <c r="E815" s="5">
        <v>1</v>
      </c>
    </row>
    <row r="816" spans="1:5">
      <c r="A816" s="5" t="s">
        <v>1625</v>
      </c>
      <c r="B816" s="6">
        <v>43573</v>
      </c>
      <c r="C816" s="5" t="s">
        <v>1626</v>
      </c>
      <c r="D816" s="5" t="s">
        <v>301</v>
      </c>
      <c r="E816" s="5">
        <v>2</v>
      </c>
    </row>
    <row r="817" spans="1:5">
      <c r="A817" s="5" t="s">
        <v>1627</v>
      </c>
      <c r="B817" s="6">
        <v>44200</v>
      </c>
      <c r="C817" s="5" t="s">
        <v>1628</v>
      </c>
      <c r="D817" s="5" t="s">
        <v>69</v>
      </c>
      <c r="E817" s="5">
        <v>6</v>
      </c>
    </row>
    <row r="818" spans="1:5">
      <c r="A818" s="5" t="s">
        <v>1629</v>
      </c>
      <c r="B818" s="6">
        <v>43534</v>
      </c>
      <c r="C818" s="5" t="s">
        <v>1630</v>
      </c>
      <c r="D818" s="5" t="s">
        <v>130</v>
      </c>
      <c r="E818" s="5">
        <v>4</v>
      </c>
    </row>
    <row r="819" spans="1:5">
      <c r="A819" s="5" t="s">
        <v>1631</v>
      </c>
      <c r="B819" s="6">
        <v>43798</v>
      </c>
      <c r="C819" s="5" t="s">
        <v>1632</v>
      </c>
      <c r="D819" s="5" t="s">
        <v>170</v>
      </c>
      <c r="E819" s="5">
        <v>2</v>
      </c>
    </row>
    <row r="820" spans="1:5">
      <c r="A820" s="5" t="s">
        <v>1633</v>
      </c>
      <c r="B820" s="6">
        <v>44761</v>
      </c>
      <c r="C820" s="5" t="s">
        <v>1616</v>
      </c>
      <c r="D820" s="5" t="s">
        <v>179</v>
      </c>
      <c r="E820" s="5">
        <v>5</v>
      </c>
    </row>
    <row r="821" spans="1:5">
      <c r="A821" s="5" t="s">
        <v>1634</v>
      </c>
      <c r="B821" s="6">
        <v>44008</v>
      </c>
      <c r="C821" s="5" t="s">
        <v>1635</v>
      </c>
      <c r="D821" s="5" t="s">
        <v>66</v>
      </c>
      <c r="E821" s="5">
        <v>1</v>
      </c>
    </row>
    <row r="822" spans="1:5">
      <c r="A822" s="5" t="s">
        <v>1636</v>
      </c>
      <c r="B822" s="6">
        <v>43510</v>
      </c>
      <c r="C822" s="5" t="s">
        <v>1637</v>
      </c>
      <c r="D822" s="5" t="s">
        <v>56</v>
      </c>
      <c r="E822" s="5">
        <v>4</v>
      </c>
    </row>
    <row r="823" spans="1:5">
      <c r="A823" s="5" t="s">
        <v>1638</v>
      </c>
      <c r="B823" s="6">
        <v>44144</v>
      </c>
      <c r="C823" s="5" t="s">
        <v>1639</v>
      </c>
      <c r="D823" s="5" t="s">
        <v>193</v>
      </c>
      <c r="E823" s="5">
        <v>5</v>
      </c>
    </row>
    <row r="824" spans="1:5">
      <c r="A824" s="5" t="s">
        <v>1640</v>
      </c>
      <c r="B824" s="6">
        <v>43585</v>
      </c>
      <c r="C824" s="5" t="s">
        <v>1641</v>
      </c>
      <c r="D824" s="5" t="s">
        <v>77</v>
      </c>
      <c r="E824" s="5">
        <v>4</v>
      </c>
    </row>
    <row r="825" spans="1:5">
      <c r="A825" s="5" t="s">
        <v>1642</v>
      </c>
      <c r="B825" s="6">
        <v>44134</v>
      </c>
      <c r="C825" s="5" t="s">
        <v>1643</v>
      </c>
      <c r="D825" s="5" t="s">
        <v>179</v>
      </c>
      <c r="E825" s="5">
        <v>3</v>
      </c>
    </row>
    <row r="826" spans="1:5">
      <c r="A826" s="5" t="s">
        <v>1644</v>
      </c>
      <c r="B826" s="6">
        <v>43781</v>
      </c>
      <c r="C826" s="5" t="s">
        <v>1645</v>
      </c>
      <c r="D826" s="5" t="s">
        <v>91</v>
      </c>
      <c r="E826" s="5">
        <v>5</v>
      </c>
    </row>
    <row r="827" spans="1:5">
      <c r="A827" s="5" t="s">
        <v>1646</v>
      </c>
      <c r="B827" s="6">
        <v>44603</v>
      </c>
      <c r="C827" s="5" t="s">
        <v>1647</v>
      </c>
      <c r="D827" s="5" t="s">
        <v>74</v>
      </c>
      <c r="E827" s="5">
        <v>3</v>
      </c>
    </row>
    <row r="828" spans="1:5">
      <c r="A828" s="5" t="s">
        <v>1648</v>
      </c>
      <c r="B828" s="6">
        <v>44283</v>
      </c>
      <c r="C828" s="5" t="s">
        <v>1649</v>
      </c>
      <c r="D828" s="5" t="s">
        <v>50</v>
      </c>
      <c r="E828" s="5">
        <v>5</v>
      </c>
    </row>
    <row r="829" spans="1:5">
      <c r="A829" s="5" t="s">
        <v>1650</v>
      </c>
      <c r="B829" s="6">
        <v>44540</v>
      </c>
      <c r="C829" s="5" t="s">
        <v>1651</v>
      </c>
      <c r="D829" s="5" t="s">
        <v>111</v>
      </c>
      <c r="E829" s="5">
        <v>5</v>
      </c>
    </row>
    <row r="830" spans="1:5">
      <c r="A830" s="5" t="s">
        <v>1652</v>
      </c>
      <c r="B830" s="6">
        <v>44505</v>
      </c>
      <c r="C830" s="5" t="s">
        <v>1653</v>
      </c>
      <c r="D830" s="5" t="s">
        <v>165</v>
      </c>
      <c r="E830" s="5">
        <v>6</v>
      </c>
    </row>
    <row r="831" spans="1:5">
      <c r="A831" s="5" t="s">
        <v>1654</v>
      </c>
      <c r="B831" s="6">
        <v>43890</v>
      </c>
      <c r="C831" s="5" t="s">
        <v>1655</v>
      </c>
      <c r="D831" s="5" t="s">
        <v>101</v>
      </c>
      <c r="E831" s="5">
        <v>1</v>
      </c>
    </row>
    <row r="832" spans="1:5">
      <c r="A832" s="5" t="s">
        <v>1656</v>
      </c>
      <c r="B832" s="6">
        <v>44414</v>
      </c>
      <c r="C832" s="5" t="s">
        <v>1657</v>
      </c>
      <c r="D832" s="5" t="s">
        <v>56</v>
      </c>
      <c r="E832" s="5">
        <v>2</v>
      </c>
    </row>
    <row r="833" spans="1:5">
      <c r="A833" s="5" t="s">
        <v>1656</v>
      </c>
      <c r="B833" s="6">
        <v>44414</v>
      </c>
      <c r="C833" s="5" t="s">
        <v>1657</v>
      </c>
      <c r="D833" s="5" t="s">
        <v>101</v>
      </c>
      <c r="E833" s="5">
        <v>2</v>
      </c>
    </row>
    <row r="834" spans="1:5">
      <c r="A834" s="5" t="s">
        <v>1658</v>
      </c>
      <c r="B834" s="6">
        <v>44274</v>
      </c>
      <c r="C834" s="5" t="s">
        <v>1659</v>
      </c>
      <c r="D834" s="5" t="s">
        <v>49</v>
      </c>
      <c r="E834" s="5">
        <v>6</v>
      </c>
    </row>
    <row r="835" spans="1:5">
      <c r="A835" s="5" t="s">
        <v>1660</v>
      </c>
      <c r="B835" s="6">
        <v>44302</v>
      </c>
      <c r="C835" s="5" t="s">
        <v>1661</v>
      </c>
      <c r="D835" s="5" t="s">
        <v>82</v>
      </c>
      <c r="E835" s="5">
        <v>4</v>
      </c>
    </row>
    <row r="836" spans="1:5">
      <c r="A836" s="5" t="s">
        <v>1662</v>
      </c>
      <c r="B836" s="6">
        <v>44141</v>
      </c>
      <c r="C836" s="5" t="s">
        <v>1663</v>
      </c>
      <c r="D836" s="5" t="s">
        <v>165</v>
      </c>
      <c r="E836" s="5">
        <v>1</v>
      </c>
    </row>
    <row r="837" spans="1:5">
      <c r="A837" s="5" t="s">
        <v>1664</v>
      </c>
      <c r="B837" s="6">
        <v>44270</v>
      </c>
      <c r="C837" s="5" t="s">
        <v>1665</v>
      </c>
      <c r="D837" s="5" t="s">
        <v>223</v>
      </c>
      <c r="E837" s="5">
        <v>1</v>
      </c>
    </row>
    <row r="838" spans="1:5">
      <c r="A838" s="5" t="s">
        <v>1666</v>
      </c>
      <c r="B838" s="6">
        <v>44486</v>
      </c>
      <c r="C838" s="5" t="s">
        <v>1667</v>
      </c>
      <c r="D838" s="5" t="s">
        <v>101</v>
      </c>
      <c r="E838" s="5">
        <v>4</v>
      </c>
    </row>
    <row r="839" spans="1:5">
      <c r="A839" s="5" t="s">
        <v>1668</v>
      </c>
      <c r="B839" s="6">
        <v>43715</v>
      </c>
      <c r="C839" s="5" t="s">
        <v>1616</v>
      </c>
      <c r="D839" s="5" t="s">
        <v>244</v>
      </c>
      <c r="E839" s="5">
        <v>3</v>
      </c>
    </row>
    <row r="840" spans="1:5">
      <c r="A840" s="5" t="s">
        <v>1669</v>
      </c>
      <c r="B840" s="6">
        <v>44755</v>
      </c>
      <c r="C840" s="5" t="s">
        <v>1670</v>
      </c>
      <c r="D840" s="5" t="s">
        <v>165</v>
      </c>
      <c r="E840" s="5">
        <v>5</v>
      </c>
    </row>
    <row r="841" spans="1:5">
      <c r="A841" s="5" t="s">
        <v>1671</v>
      </c>
      <c r="B841" s="6">
        <v>44521</v>
      </c>
      <c r="C841" s="5" t="s">
        <v>1672</v>
      </c>
      <c r="D841" s="5" t="s">
        <v>50</v>
      </c>
      <c r="E841" s="5">
        <v>5</v>
      </c>
    </row>
    <row r="842" spans="1:5">
      <c r="A842" s="5" t="s">
        <v>1673</v>
      </c>
      <c r="B842" s="6">
        <v>44574</v>
      </c>
      <c r="C842" s="5" t="s">
        <v>1674</v>
      </c>
      <c r="D842" s="5" t="s">
        <v>204</v>
      </c>
      <c r="E842" s="5">
        <v>4</v>
      </c>
    </row>
    <row r="843" spans="1:5">
      <c r="A843" s="5" t="s">
        <v>1675</v>
      </c>
      <c r="B843" s="6">
        <v>44755</v>
      </c>
      <c r="C843" s="5" t="s">
        <v>1676</v>
      </c>
      <c r="D843" s="5" t="s">
        <v>124</v>
      </c>
      <c r="E843" s="5">
        <v>1</v>
      </c>
    </row>
    <row r="844" spans="1:5">
      <c r="A844" s="5" t="s">
        <v>1677</v>
      </c>
      <c r="B844" s="6">
        <v>44502</v>
      </c>
      <c r="C844" s="5" t="s">
        <v>1647</v>
      </c>
      <c r="D844" s="5" t="s">
        <v>111</v>
      </c>
      <c r="E844" s="5">
        <v>2</v>
      </c>
    </row>
    <row r="845" spans="1:5">
      <c r="A845" s="5" t="s">
        <v>1678</v>
      </c>
      <c r="B845" s="6">
        <v>44387</v>
      </c>
      <c r="C845" s="5" t="s">
        <v>1679</v>
      </c>
      <c r="D845" s="5" t="s">
        <v>111</v>
      </c>
      <c r="E845" s="5">
        <v>2</v>
      </c>
    </row>
    <row r="846" spans="1:5">
      <c r="A846" s="5" t="s">
        <v>1680</v>
      </c>
      <c r="B846" s="6">
        <v>44476</v>
      </c>
      <c r="C846" s="5" t="s">
        <v>1681</v>
      </c>
      <c r="D846" s="5" t="s">
        <v>119</v>
      </c>
      <c r="E846" s="5">
        <v>6</v>
      </c>
    </row>
    <row r="847" spans="1:5">
      <c r="A847" s="5" t="s">
        <v>1682</v>
      </c>
      <c r="B847" s="6">
        <v>43889</v>
      </c>
      <c r="C847" s="5" t="s">
        <v>1683</v>
      </c>
      <c r="D847" s="5" t="s">
        <v>577</v>
      </c>
      <c r="E847" s="5">
        <v>6</v>
      </c>
    </row>
    <row r="848" spans="1:5">
      <c r="A848" s="5" t="s">
        <v>1684</v>
      </c>
      <c r="B848" s="6">
        <v>44747</v>
      </c>
      <c r="C848" s="5" t="s">
        <v>1685</v>
      </c>
      <c r="D848" s="5" t="s">
        <v>218</v>
      </c>
      <c r="E848" s="5">
        <v>2</v>
      </c>
    </row>
    <row r="849" spans="1:5">
      <c r="A849" s="5" t="s">
        <v>1686</v>
      </c>
      <c r="B849" s="6">
        <v>44460</v>
      </c>
      <c r="C849" s="5" t="s">
        <v>1687</v>
      </c>
      <c r="D849" s="5" t="s">
        <v>101</v>
      </c>
      <c r="E849" s="5">
        <v>3</v>
      </c>
    </row>
    <row r="850" spans="1:5">
      <c r="A850" s="5" t="s">
        <v>1688</v>
      </c>
      <c r="B850" s="6">
        <v>43468</v>
      </c>
      <c r="C850" s="5" t="s">
        <v>1689</v>
      </c>
      <c r="D850" s="5" t="s">
        <v>223</v>
      </c>
      <c r="E850" s="5">
        <v>6</v>
      </c>
    </row>
    <row r="851" spans="1:5">
      <c r="A851" s="5" t="s">
        <v>1690</v>
      </c>
      <c r="B851" s="6">
        <v>44628</v>
      </c>
      <c r="C851" s="5" t="s">
        <v>1691</v>
      </c>
      <c r="D851" s="5" t="s">
        <v>162</v>
      </c>
      <c r="E851" s="5">
        <v>6</v>
      </c>
    </row>
    <row r="852" spans="1:5">
      <c r="A852" s="5" t="s">
        <v>1690</v>
      </c>
      <c r="B852" s="6">
        <v>44628</v>
      </c>
      <c r="C852" s="5" t="s">
        <v>1691</v>
      </c>
      <c r="D852" s="5" t="s">
        <v>91</v>
      </c>
      <c r="E852" s="5">
        <v>2</v>
      </c>
    </row>
    <row r="853" spans="1:5">
      <c r="A853" s="5" t="s">
        <v>1692</v>
      </c>
      <c r="B853" s="6">
        <v>43900</v>
      </c>
      <c r="C853" s="5" t="s">
        <v>1693</v>
      </c>
      <c r="D853" s="5" t="s">
        <v>170</v>
      </c>
      <c r="E853" s="5">
        <v>1</v>
      </c>
    </row>
    <row r="854" spans="1:5">
      <c r="A854" s="5" t="s">
        <v>1694</v>
      </c>
      <c r="B854" s="6">
        <v>44527</v>
      </c>
      <c r="C854" s="5" t="s">
        <v>1695</v>
      </c>
      <c r="D854" s="5" t="s">
        <v>156</v>
      </c>
      <c r="E854" s="5">
        <v>4</v>
      </c>
    </row>
    <row r="855" spans="1:5">
      <c r="A855" s="5" t="s">
        <v>1696</v>
      </c>
      <c r="B855" s="6">
        <v>44259</v>
      </c>
      <c r="C855" s="5" t="s">
        <v>1697</v>
      </c>
      <c r="D855" s="5" t="s">
        <v>74</v>
      </c>
      <c r="E855" s="5">
        <v>2</v>
      </c>
    </row>
    <row r="856" spans="1:5">
      <c r="A856" s="5" t="s">
        <v>1698</v>
      </c>
      <c r="B856" s="6">
        <v>44516</v>
      </c>
      <c r="C856" s="5" t="s">
        <v>1699</v>
      </c>
      <c r="D856" s="5" t="s">
        <v>204</v>
      </c>
      <c r="E856" s="5">
        <v>5</v>
      </c>
    </row>
    <row r="857" spans="1:5">
      <c r="A857" s="5" t="s">
        <v>1700</v>
      </c>
      <c r="B857" s="6">
        <v>43632</v>
      </c>
      <c r="C857" s="5" t="s">
        <v>1701</v>
      </c>
      <c r="D857" s="5" t="s">
        <v>156</v>
      </c>
      <c r="E857" s="5">
        <v>3</v>
      </c>
    </row>
    <row r="858" spans="1:5">
      <c r="A858" s="5" t="s">
        <v>1702</v>
      </c>
      <c r="B858" s="6">
        <v>44031</v>
      </c>
      <c r="C858" s="5" t="s">
        <v>1647</v>
      </c>
      <c r="D858" s="5" t="s">
        <v>124</v>
      </c>
      <c r="E858" s="5">
        <v>2</v>
      </c>
    </row>
    <row r="859" spans="1:5">
      <c r="A859" s="5" t="s">
        <v>1703</v>
      </c>
      <c r="B859" s="6">
        <v>43889</v>
      </c>
      <c r="C859" s="5" t="s">
        <v>1704</v>
      </c>
      <c r="D859" s="5" t="s">
        <v>57</v>
      </c>
      <c r="E859" s="5">
        <v>5</v>
      </c>
    </row>
    <row r="860" spans="1:5">
      <c r="A860" s="5" t="s">
        <v>1705</v>
      </c>
      <c r="B860" s="6">
        <v>43638</v>
      </c>
      <c r="C860" s="5" t="s">
        <v>1706</v>
      </c>
      <c r="D860" s="5" t="s">
        <v>125</v>
      </c>
      <c r="E860" s="5">
        <v>4</v>
      </c>
    </row>
    <row r="861" spans="1:5">
      <c r="A861" s="5" t="s">
        <v>1707</v>
      </c>
      <c r="B861" s="6">
        <v>43716</v>
      </c>
      <c r="C861" s="5" t="s">
        <v>1708</v>
      </c>
      <c r="D861" s="5" t="s">
        <v>251</v>
      </c>
      <c r="E861" s="5">
        <v>6</v>
      </c>
    </row>
    <row r="862" spans="1:5">
      <c r="A862" s="5" t="s">
        <v>1709</v>
      </c>
      <c r="B862" s="6">
        <v>44707</v>
      </c>
      <c r="C862" s="5" t="s">
        <v>1710</v>
      </c>
      <c r="D862" s="5" t="s">
        <v>218</v>
      </c>
      <c r="E862" s="5">
        <v>1</v>
      </c>
    </row>
    <row r="863" spans="1:5">
      <c r="A863" s="5" t="s">
        <v>1711</v>
      </c>
      <c r="B863" s="6">
        <v>43802</v>
      </c>
      <c r="C863" s="5" t="s">
        <v>1712</v>
      </c>
      <c r="D863" s="5" t="s">
        <v>60</v>
      </c>
      <c r="E863" s="5">
        <v>6</v>
      </c>
    </row>
    <row r="864" spans="1:5">
      <c r="A864" s="5" t="s">
        <v>1713</v>
      </c>
      <c r="B864" s="6">
        <v>43725</v>
      </c>
      <c r="C864" s="5" t="s">
        <v>1714</v>
      </c>
      <c r="D864" s="5" t="s">
        <v>49</v>
      </c>
      <c r="E864" s="5">
        <v>1</v>
      </c>
    </row>
    <row r="865" spans="1:5">
      <c r="A865" s="5" t="s">
        <v>1715</v>
      </c>
      <c r="B865" s="6">
        <v>44712</v>
      </c>
      <c r="C865" s="5" t="s">
        <v>1716</v>
      </c>
      <c r="D865" s="5" t="s">
        <v>143</v>
      </c>
      <c r="E865" s="5">
        <v>2</v>
      </c>
    </row>
    <row r="866" spans="1:5">
      <c r="A866" s="5" t="s">
        <v>1717</v>
      </c>
      <c r="B866" s="6">
        <v>43759</v>
      </c>
      <c r="C866" s="5" t="s">
        <v>1718</v>
      </c>
      <c r="D866" s="5" t="s">
        <v>229</v>
      </c>
      <c r="E866" s="5">
        <v>6</v>
      </c>
    </row>
    <row r="867" spans="1:5">
      <c r="A867" s="5" t="s">
        <v>1719</v>
      </c>
      <c r="B867" s="6">
        <v>44675</v>
      </c>
      <c r="C867" s="5" t="s">
        <v>1720</v>
      </c>
      <c r="D867" s="5" t="s">
        <v>114</v>
      </c>
      <c r="E867" s="5">
        <v>1</v>
      </c>
    </row>
    <row r="868" spans="1:5">
      <c r="A868" s="5" t="s">
        <v>1721</v>
      </c>
      <c r="B868" s="6">
        <v>44209</v>
      </c>
      <c r="C868" s="5" t="s">
        <v>1722</v>
      </c>
      <c r="D868" s="5" t="s">
        <v>119</v>
      </c>
      <c r="E868" s="5">
        <v>3</v>
      </c>
    </row>
    <row r="869" spans="1:5">
      <c r="A869" s="5" t="s">
        <v>1723</v>
      </c>
      <c r="B869" s="6">
        <v>44792</v>
      </c>
      <c r="C869" s="5" t="s">
        <v>1724</v>
      </c>
      <c r="D869" s="5" t="s">
        <v>251</v>
      </c>
      <c r="E869" s="5">
        <v>1</v>
      </c>
    </row>
    <row r="870" spans="1:5">
      <c r="A870" s="5" t="s">
        <v>1725</v>
      </c>
      <c r="B870" s="6">
        <v>43526</v>
      </c>
      <c r="C870" s="5" t="s">
        <v>1726</v>
      </c>
      <c r="D870" s="5" t="s">
        <v>50</v>
      </c>
      <c r="E870" s="5">
        <v>5</v>
      </c>
    </row>
    <row r="871" spans="1:5">
      <c r="A871" s="5" t="s">
        <v>1727</v>
      </c>
      <c r="B871" s="6">
        <v>43851</v>
      </c>
      <c r="C871" s="5" t="s">
        <v>1728</v>
      </c>
      <c r="D871" s="5" t="s">
        <v>69</v>
      </c>
      <c r="E871" s="5">
        <v>3</v>
      </c>
    </row>
    <row r="872" spans="1:5">
      <c r="A872" s="5" t="s">
        <v>1729</v>
      </c>
      <c r="B872" s="6">
        <v>44460</v>
      </c>
      <c r="C872" s="5" t="s">
        <v>1730</v>
      </c>
      <c r="D872" s="5" t="s">
        <v>63</v>
      </c>
      <c r="E872" s="5">
        <v>1</v>
      </c>
    </row>
    <row r="873" spans="1:5">
      <c r="A873" s="5" t="s">
        <v>1731</v>
      </c>
      <c r="B873" s="6">
        <v>43707</v>
      </c>
      <c r="C873" s="5" t="s">
        <v>1732</v>
      </c>
      <c r="D873" s="5" t="s">
        <v>184</v>
      </c>
      <c r="E873" s="5">
        <v>2</v>
      </c>
    </row>
    <row r="874" spans="1:5">
      <c r="A874" s="5" t="s">
        <v>1733</v>
      </c>
      <c r="B874" s="6">
        <v>43521</v>
      </c>
      <c r="C874" s="5" t="s">
        <v>1734</v>
      </c>
      <c r="D874" s="5" t="s">
        <v>108</v>
      </c>
      <c r="E874" s="5">
        <v>2</v>
      </c>
    </row>
    <row r="875" spans="1:5">
      <c r="A875" s="5" t="s">
        <v>1735</v>
      </c>
      <c r="B875" s="6">
        <v>43725</v>
      </c>
      <c r="C875" s="5" t="s">
        <v>1720</v>
      </c>
      <c r="D875" s="5" t="s">
        <v>209</v>
      </c>
      <c r="E875" s="5">
        <v>4</v>
      </c>
    </row>
    <row r="876" spans="1:5">
      <c r="A876" s="5" t="s">
        <v>1736</v>
      </c>
      <c r="B876" s="6">
        <v>43680</v>
      </c>
      <c r="C876" s="5" t="s">
        <v>1737</v>
      </c>
      <c r="D876" s="5" t="s">
        <v>53</v>
      </c>
      <c r="E876" s="5">
        <v>2</v>
      </c>
    </row>
    <row r="877" spans="1:5">
      <c r="A877" s="5" t="s">
        <v>1738</v>
      </c>
      <c r="B877" s="6">
        <v>44253</v>
      </c>
      <c r="C877" s="5" t="s">
        <v>1739</v>
      </c>
      <c r="D877" s="5" t="s">
        <v>125</v>
      </c>
      <c r="E877" s="5">
        <v>5</v>
      </c>
    </row>
    <row r="878" spans="1:5">
      <c r="A878" s="5" t="s">
        <v>1738</v>
      </c>
      <c r="B878" s="6">
        <v>44253</v>
      </c>
      <c r="C878" s="5" t="s">
        <v>1739</v>
      </c>
      <c r="D878" s="5" t="s">
        <v>239</v>
      </c>
      <c r="E878" s="5">
        <v>6</v>
      </c>
    </row>
    <row r="879" spans="1:5">
      <c r="A879" s="5" t="s">
        <v>1740</v>
      </c>
      <c r="B879" s="6">
        <v>44411</v>
      </c>
      <c r="C879" s="5" t="s">
        <v>1741</v>
      </c>
      <c r="D879" s="5" t="s">
        <v>130</v>
      </c>
      <c r="E879" s="5">
        <v>3</v>
      </c>
    </row>
    <row r="880" spans="1:5">
      <c r="A880" s="5" t="s">
        <v>1742</v>
      </c>
      <c r="B880" s="6">
        <v>44323</v>
      </c>
      <c r="C880" s="5" t="s">
        <v>1743</v>
      </c>
      <c r="D880" s="5" t="s">
        <v>57</v>
      </c>
      <c r="E880" s="5">
        <v>1</v>
      </c>
    </row>
    <row r="881" spans="1:5">
      <c r="A881" s="5" t="s">
        <v>1744</v>
      </c>
      <c r="B881" s="6">
        <v>43630</v>
      </c>
      <c r="C881" s="5" t="s">
        <v>1745</v>
      </c>
      <c r="D881" s="5" t="s">
        <v>98</v>
      </c>
      <c r="E881" s="5">
        <v>3</v>
      </c>
    </row>
    <row r="882" spans="1:5">
      <c r="A882" s="5" t="s">
        <v>1746</v>
      </c>
      <c r="B882" s="6">
        <v>43790</v>
      </c>
      <c r="C882" s="5" t="s">
        <v>1747</v>
      </c>
      <c r="D882" s="5" t="s">
        <v>229</v>
      </c>
      <c r="E882" s="5">
        <v>2</v>
      </c>
    </row>
    <row r="883" spans="1:5">
      <c r="A883" s="5" t="s">
        <v>1748</v>
      </c>
      <c r="B883" s="6">
        <v>44286</v>
      </c>
      <c r="C883" s="5" t="s">
        <v>1749</v>
      </c>
      <c r="D883" s="5" t="s">
        <v>162</v>
      </c>
      <c r="E883" s="5">
        <v>6</v>
      </c>
    </row>
    <row r="884" spans="1:5">
      <c r="A884" s="5" t="s">
        <v>1750</v>
      </c>
      <c r="B884" s="6">
        <v>43647</v>
      </c>
      <c r="C884" s="5" t="s">
        <v>1751</v>
      </c>
      <c r="D884" s="5" t="s">
        <v>165</v>
      </c>
      <c r="E884" s="5">
        <v>5</v>
      </c>
    </row>
    <row r="885" spans="1:5">
      <c r="A885" s="5" t="s">
        <v>1752</v>
      </c>
      <c r="B885" s="6">
        <v>43956</v>
      </c>
      <c r="C885" s="5" t="s">
        <v>1753</v>
      </c>
      <c r="D885" s="5" t="s">
        <v>218</v>
      </c>
      <c r="E885" s="5">
        <v>3</v>
      </c>
    </row>
    <row r="886" spans="1:5">
      <c r="A886" s="5" t="s">
        <v>1754</v>
      </c>
      <c r="B886" s="6">
        <v>43941</v>
      </c>
      <c r="C886" s="5" t="s">
        <v>1755</v>
      </c>
      <c r="D886" s="5" t="s">
        <v>193</v>
      </c>
      <c r="E886" s="5">
        <v>1</v>
      </c>
    </row>
    <row r="887" spans="1:5">
      <c r="A887" s="5" t="s">
        <v>1756</v>
      </c>
      <c r="B887" s="6">
        <v>43664</v>
      </c>
      <c r="C887" s="5" t="s">
        <v>1757</v>
      </c>
      <c r="D887" s="5" t="s">
        <v>82</v>
      </c>
      <c r="E887" s="5">
        <v>6</v>
      </c>
    </row>
    <row r="888" spans="1:5">
      <c r="A888" s="5" t="s">
        <v>1758</v>
      </c>
      <c r="B888" s="6">
        <v>44518</v>
      </c>
      <c r="C888" s="5" t="s">
        <v>1759</v>
      </c>
      <c r="D888" s="5" t="s">
        <v>125</v>
      </c>
      <c r="E888" s="5">
        <v>2</v>
      </c>
    </row>
    <row r="889" spans="1:5">
      <c r="A889" s="5" t="s">
        <v>1760</v>
      </c>
      <c r="B889" s="6">
        <v>44002</v>
      </c>
      <c r="C889" s="5" t="s">
        <v>1761</v>
      </c>
      <c r="D889" s="5" t="s">
        <v>301</v>
      </c>
      <c r="E889" s="5">
        <v>3</v>
      </c>
    </row>
    <row r="890" spans="1:5">
      <c r="A890" s="5" t="s">
        <v>1762</v>
      </c>
      <c r="B890" s="6">
        <v>44292</v>
      </c>
      <c r="C890" s="5" t="s">
        <v>1763</v>
      </c>
      <c r="D890" s="5" t="s">
        <v>162</v>
      </c>
      <c r="E890" s="5">
        <v>2</v>
      </c>
    </row>
    <row r="891" spans="1:5">
      <c r="A891" s="5" t="s">
        <v>1764</v>
      </c>
      <c r="B891" s="6">
        <v>43633</v>
      </c>
      <c r="C891" s="5" t="s">
        <v>1765</v>
      </c>
      <c r="D891" s="5" t="s">
        <v>148</v>
      </c>
      <c r="E891" s="5">
        <v>1</v>
      </c>
    </row>
    <row r="892" spans="1:5">
      <c r="A892" s="5" t="s">
        <v>1766</v>
      </c>
      <c r="B892" s="6">
        <v>44646</v>
      </c>
      <c r="C892" s="5" t="s">
        <v>1751</v>
      </c>
      <c r="D892" s="5" t="s">
        <v>82</v>
      </c>
      <c r="E892" s="5">
        <v>1</v>
      </c>
    </row>
    <row r="893" spans="1:5">
      <c r="A893" s="5" t="s">
        <v>1767</v>
      </c>
      <c r="B893" s="6">
        <v>44469</v>
      </c>
      <c r="C893" s="5" t="s">
        <v>1768</v>
      </c>
      <c r="D893" s="5" t="s">
        <v>165</v>
      </c>
      <c r="E893" s="5">
        <v>5</v>
      </c>
    </row>
    <row r="894" spans="1:5">
      <c r="A894" s="5" t="s">
        <v>1769</v>
      </c>
      <c r="B894" s="6">
        <v>43635</v>
      </c>
      <c r="C894" s="5" t="s">
        <v>1770</v>
      </c>
      <c r="D894" s="5" t="s">
        <v>111</v>
      </c>
      <c r="E894" s="5">
        <v>5</v>
      </c>
    </row>
    <row r="895" spans="1:5">
      <c r="A895" s="5" t="s">
        <v>1771</v>
      </c>
      <c r="B895" s="6">
        <v>44651</v>
      </c>
      <c r="C895" s="5" t="s">
        <v>1772</v>
      </c>
      <c r="D895" s="5" t="s">
        <v>130</v>
      </c>
      <c r="E895" s="5">
        <v>6</v>
      </c>
    </row>
    <row r="896" spans="1:5">
      <c r="A896" s="5" t="s">
        <v>1773</v>
      </c>
      <c r="B896" s="6">
        <v>44016</v>
      </c>
      <c r="C896" s="5" t="s">
        <v>1774</v>
      </c>
      <c r="D896" s="5" t="s">
        <v>82</v>
      </c>
      <c r="E896" s="5">
        <v>4</v>
      </c>
    </row>
    <row r="897" spans="1:5">
      <c r="A897" s="5" t="s">
        <v>1775</v>
      </c>
      <c r="B897" s="6">
        <v>44521</v>
      </c>
      <c r="C897" s="5" t="s">
        <v>1776</v>
      </c>
      <c r="D897" s="5" t="s">
        <v>159</v>
      </c>
      <c r="E897" s="5">
        <v>5</v>
      </c>
    </row>
    <row r="898" spans="1:5">
      <c r="A898" s="5" t="s">
        <v>1777</v>
      </c>
      <c r="B898" s="6">
        <v>44347</v>
      </c>
      <c r="C898" s="5" t="s">
        <v>1778</v>
      </c>
      <c r="D898" s="5" t="s">
        <v>193</v>
      </c>
      <c r="E898" s="5">
        <v>6</v>
      </c>
    </row>
    <row r="899" spans="1:5">
      <c r="A899" s="5" t="s">
        <v>1779</v>
      </c>
      <c r="B899" s="6">
        <v>43932</v>
      </c>
      <c r="C899" s="5" t="s">
        <v>1780</v>
      </c>
      <c r="D899" s="5" t="s">
        <v>292</v>
      </c>
      <c r="E899" s="5">
        <v>2</v>
      </c>
    </row>
    <row r="900" spans="1:5">
      <c r="A900" s="5" t="s">
        <v>1781</v>
      </c>
      <c r="B900" s="6">
        <v>44089</v>
      </c>
      <c r="C900" s="5" t="s">
        <v>1782</v>
      </c>
      <c r="D900" s="5" t="s">
        <v>204</v>
      </c>
      <c r="E900" s="5">
        <v>5</v>
      </c>
    </row>
    <row r="901" spans="1:5">
      <c r="A901" s="5" t="s">
        <v>1783</v>
      </c>
      <c r="B901" s="6">
        <v>44523</v>
      </c>
      <c r="C901" s="5" t="s">
        <v>1776</v>
      </c>
      <c r="D901" s="5" t="s">
        <v>143</v>
      </c>
      <c r="E901" s="5">
        <v>5</v>
      </c>
    </row>
    <row r="902" spans="1:5">
      <c r="A902" s="5" t="s">
        <v>1784</v>
      </c>
      <c r="B902" s="6">
        <v>44584</v>
      </c>
      <c r="C902" s="5" t="s">
        <v>1785</v>
      </c>
      <c r="D902" s="5" t="s">
        <v>179</v>
      </c>
      <c r="E902" s="5">
        <v>3</v>
      </c>
    </row>
    <row r="903" spans="1:5">
      <c r="A903" s="5" t="s">
        <v>1786</v>
      </c>
      <c r="B903" s="6">
        <v>44223</v>
      </c>
      <c r="C903" s="5" t="s">
        <v>1787</v>
      </c>
      <c r="D903" s="5" t="s">
        <v>229</v>
      </c>
      <c r="E903" s="5">
        <v>1</v>
      </c>
    </row>
    <row r="904" spans="1:5">
      <c r="A904" s="5" t="s">
        <v>1788</v>
      </c>
      <c r="B904" s="6">
        <v>43640</v>
      </c>
      <c r="C904" s="5" t="s">
        <v>1789</v>
      </c>
      <c r="D904" s="5" t="s">
        <v>159</v>
      </c>
      <c r="E904" s="5">
        <v>5</v>
      </c>
    </row>
    <row r="905" spans="1:5">
      <c r="A905" s="5" t="s">
        <v>1790</v>
      </c>
      <c r="B905" s="6">
        <v>43905</v>
      </c>
      <c r="C905" s="5" t="s">
        <v>1791</v>
      </c>
      <c r="D905" s="5" t="s">
        <v>125</v>
      </c>
      <c r="E905" s="5">
        <v>2</v>
      </c>
    </row>
    <row r="906" spans="1:5">
      <c r="A906" s="5" t="s">
        <v>1792</v>
      </c>
      <c r="B906" s="6">
        <v>44463</v>
      </c>
      <c r="C906" s="5" t="s">
        <v>1793</v>
      </c>
      <c r="D906" s="5" t="s">
        <v>251</v>
      </c>
      <c r="E906" s="5">
        <v>5</v>
      </c>
    </row>
    <row r="907" spans="1:5">
      <c r="A907" s="5" t="s">
        <v>1794</v>
      </c>
      <c r="B907" s="6">
        <v>43560</v>
      </c>
      <c r="C907" s="5" t="s">
        <v>1795</v>
      </c>
      <c r="D907" s="5" t="s">
        <v>114</v>
      </c>
      <c r="E907" s="5">
        <v>6</v>
      </c>
    </row>
    <row r="908" spans="1:5">
      <c r="A908" s="5" t="s">
        <v>1796</v>
      </c>
      <c r="B908" s="6">
        <v>44588</v>
      </c>
      <c r="C908" s="5" t="s">
        <v>1797</v>
      </c>
      <c r="D908" s="5" t="s">
        <v>114</v>
      </c>
      <c r="E908" s="5">
        <v>4</v>
      </c>
    </row>
    <row r="909" spans="1:5">
      <c r="A909" s="5" t="s">
        <v>1798</v>
      </c>
      <c r="B909" s="6">
        <v>44449</v>
      </c>
      <c r="C909" s="5" t="s">
        <v>1799</v>
      </c>
      <c r="D909" s="5" t="s">
        <v>60</v>
      </c>
      <c r="E909" s="5">
        <v>3</v>
      </c>
    </row>
    <row r="910" spans="1:5">
      <c r="A910" s="5" t="s">
        <v>1800</v>
      </c>
      <c r="B910" s="6">
        <v>43836</v>
      </c>
      <c r="C910" s="5" t="s">
        <v>1801</v>
      </c>
      <c r="D910" s="5" t="s">
        <v>236</v>
      </c>
      <c r="E910" s="5">
        <v>5</v>
      </c>
    </row>
    <row r="911" spans="1:5">
      <c r="A911" s="5" t="s">
        <v>1802</v>
      </c>
      <c r="B911" s="6">
        <v>44635</v>
      </c>
      <c r="C911" s="5" t="s">
        <v>1803</v>
      </c>
      <c r="D911" s="5" t="s">
        <v>229</v>
      </c>
      <c r="E911" s="5">
        <v>3</v>
      </c>
    </row>
    <row r="912" spans="1:5">
      <c r="A912" s="5" t="s">
        <v>1804</v>
      </c>
      <c r="B912" s="6">
        <v>44447</v>
      </c>
      <c r="C912" s="5" t="s">
        <v>1805</v>
      </c>
      <c r="D912" s="5" t="s">
        <v>165</v>
      </c>
      <c r="E912" s="5">
        <v>4</v>
      </c>
    </row>
    <row r="913" spans="1:5">
      <c r="A913" s="5" t="s">
        <v>1806</v>
      </c>
      <c r="B913" s="6">
        <v>44511</v>
      </c>
      <c r="C913" s="5" t="s">
        <v>1807</v>
      </c>
      <c r="D913" s="5" t="s">
        <v>108</v>
      </c>
      <c r="E913" s="5">
        <v>4</v>
      </c>
    </row>
    <row r="914" spans="1:5">
      <c r="A914" s="5" t="s">
        <v>1808</v>
      </c>
      <c r="B914" s="6">
        <v>43726</v>
      </c>
      <c r="C914" s="5" t="s">
        <v>1809</v>
      </c>
      <c r="D914" s="5" t="s">
        <v>88</v>
      </c>
      <c r="E914" s="5">
        <v>6</v>
      </c>
    </row>
    <row r="915" spans="1:5">
      <c r="A915" s="5" t="s">
        <v>1810</v>
      </c>
      <c r="B915" s="6">
        <v>44406</v>
      </c>
      <c r="C915" s="5" t="s">
        <v>1811</v>
      </c>
      <c r="D915" s="5" t="s">
        <v>114</v>
      </c>
      <c r="E915" s="5">
        <v>1</v>
      </c>
    </row>
    <row r="916" spans="1:5">
      <c r="A916" s="5" t="s">
        <v>1812</v>
      </c>
      <c r="B916" s="6">
        <v>44640</v>
      </c>
      <c r="C916" s="5" t="s">
        <v>1813</v>
      </c>
      <c r="D916" s="5" t="s">
        <v>108</v>
      </c>
      <c r="E916" s="5">
        <v>4</v>
      </c>
    </row>
    <row r="917" spans="1:5">
      <c r="A917" s="5" t="s">
        <v>1814</v>
      </c>
      <c r="B917" s="6">
        <v>43955</v>
      </c>
      <c r="C917" s="5" t="s">
        <v>1815</v>
      </c>
      <c r="D917" s="5" t="s">
        <v>577</v>
      </c>
      <c r="E917" s="5">
        <v>3</v>
      </c>
    </row>
    <row r="918" spans="1:5">
      <c r="A918" s="5" t="s">
        <v>1816</v>
      </c>
      <c r="B918" s="6">
        <v>44291</v>
      </c>
      <c r="C918" s="5" t="s">
        <v>1817</v>
      </c>
      <c r="D918" s="5" t="s">
        <v>98</v>
      </c>
      <c r="E918" s="5">
        <v>1</v>
      </c>
    </row>
    <row r="919" spans="1:5">
      <c r="A919" s="5" t="s">
        <v>1818</v>
      </c>
      <c r="B919" s="6">
        <v>44573</v>
      </c>
      <c r="C919" s="5" t="s">
        <v>1819</v>
      </c>
      <c r="D919" s="5" t="s">
        <v>114</v>
      </c>
      <c r="E919" s="5">
        <v>1</v>
      </c>
    </row>
    <row r="920" spans="1:5">
      <c r="A920" s="5" t="s">
        <v>1818</v>
      </c>
      <c r="B920" s="6">
        <v>44573</v>
      </c>
      <c r="C920" s="5" t="s">
        <v>1819</v>
      </c>
      <c r="D920" s="5" t="s">
        <v>63</v>
      </c>
      <c r="E920" s="5">
        <v>3</v>
      </c>
    </row>
    <row r="921" spans="1:5">
      <c r="A921" s="5" t="s">
        <v>1820</v>
      </c>
      <c r="B921" s="6">
        <v>44181</v>
      </c>
      <c r="C921" s="5" t="s">
        <v>1821</v>
      </c>
      <c r="D921" s="5" t="s">
        <v>148</v>
      </c>
      <c r="E921" s="5">
        <v>5</v>
      </c>
    </row>
    <row r="922" spans="1:5">
      <c r="A922" s="5" t="s">
        <v>1822</v>
      </c>
      <c r="B922" s="6">
        <v>44711</v>
      </c>
      <c r="C922" s="5" t="s">
        <v>1823</v>
      </c>
      <c r="D922" s="5" t="s">
        <v>82</v>
      </c>
      <c r="E922" s="5">
        <v>6</v>
      </c>
    </row>
    <row r="923" spans="1:5">
      <c r="A923" s="5" t="s">
        <v>1824</v>
      </c>
      <c r="B923" s="6">
        <v>44509</v>
      </c>
      <c r="C923" s="5" t="s">
        <v>1825</v>
      </c>
      <c r="D923" s="5" t="s">
        <v>85</v>
      </c>
      <c r="E923" s="5">
        <v>2</v>
      </c>
    </row>
    <row r="924" spans="1:5">
      <c r="A924" s="5" t="s">
        <v>1826</v>
      </c>
      <c r="B924" s="6">
        <v>44659</v>
      </c>
      <c r="C924" s="5" t="s">
        <v>1827</v>
      </c>
      <c r="D924" s="5" t="s">
        <v>108</v>
      </c>
      <c r="E924" s="5">
        <v>6</v>
      </c>
    </row>
    <row r="925" spans="1:5">
      <c r="A925" s="5" t="s">
        <v>1828</v>
      </c>
      <c r="B925" s="6">
        <v>43746</v>
      </c>
      <c r="C925" s="5" t="s">
        <v>1829</v>
      </c>
      <c r="D925" s="5" t="s">
        <v>577</v>
      </c>
      <c r="E925" s="5">
        <v>1</v>
      </c>
    </row>
    <row r="926" spans="1:5">
      <c r="A926" s="5" t="s">
        <v>1830</v>
      </c>
      <c r="B926" s="6">
        <v>44451</v>
      </c>
      <c r="C926" s="5" t="s">
        <v>1831</v>
      </c>
      <c r="D926" s="5" t="s">
        <v>251</v>
      </c>
      <c r="E926" s="5">
        <v>3</v>
      </c>
    </row>
    <row r="927" spans="1:5">
      <c r="A927" s="5" t="s">
        <v>1832</v>
      </c>
      <c r="B927" s="6">
        <v>44770</v>
      </c>
      <c r="C927" s="5" t="s">
        <v>1776</v>
      </c>
      <c r="D927" s="5" t="s">
        <v>114</v>
      </c>
      <c r="E927" s="5">
        <v>3</v>
      </c>
    </row>
    <row r="928" spans="1:5">
      <c r="A928" s="5" t="s">
        <v>1833</v>
      </c>
      <c r="B928" s="6">
        <v>44012</v>
      </c>
      <c r="C928" s="5" t="s">
        <v>1834</v>
      </c>
      <c r="D928" s="5" t="s">
        <v>114</v>
      </c>
      <c r="E928" s="5">
        <v>5</v>
      </c>
    </row>
    <row r="929" spans="1:5">
      <c r="A929" s="5" t="s">
        <v>1835</v>
      </c>
      <c r="B929" s="6">
        <v>43474</v>
      </c>
      <c r="C929" s="5" t="s">
        <v>1836</v>
      </c>
      <c r="D929" s="5" t="s">
        <v>577</v>
      </c>
      <c r="E929" s="5">
        <v>4</v>
      </c>
    </row>
    <row r="930" spans="1:5">
      <c r="A930" s="5" t="s">
        <v>1837</v>
      </c>
      <c r="B930" s="6">
        <v>44754</v>
      </c>
      <c r="C930" s="5" t="s">
        <v>1838</v>
      </c>
      <c r="D930" s="5" t="s">
        <v>159</v>
      </c>
      <c r="E930" s="5">
        <v>2</v>
      </c>
    </row>
    <row r="931" spans="1:5">
      <c r="A931" s="5" t="s">
        <v>1839</v>
      </c>
      <c r="B931" s="6">
        <v>44165</v>
      </c>
      <c r="C931" s="5" t="s">
        <v>1840</v>
      </c>
      <c r="D931" s="5" t="s">
        <v>301</v>
      </c>
      <c r="E931" s="5">
        <v>2</v>
      </c>
    </row>
    <row r="932" spans="1:5">
      <c r="A932" s="5" t="s">
        <v>1841</v>
      </c>
      <c r="B932" s="6">
        <v>43546</v>
      </c>
      <c r="C932" s="5" t="s">
        <v>1842</v>
      </c>
      <c r="D932" s="5" t="s">
        <v>292</v>
      </c>
      <c r="E932" s="5">
        <v>1</v>
      </c>
    </row>
    <row r="933" spans="1:5">
      <c r="A933" s="5" t="s">
        <v>1843</v>
      </c>
      <c r="B933" s="6">
        <v>44607</v>
      </c>
      <c r="C933" s="5" t="s">
        <v>1844</v>
      </c>
      <c r="D933" s="5" t="s">
        <v>119</v>
      </c>
      <c r="E933" s="5">
        <v>4</v>
      </c>
    </row>
    <row r="934" spans="1:5">
      <c r="A934" s="5" t="s">
        <v>1845</v>
      </c>
      <c r="B934" s="6">
        <v>44117</v>
      </c>
      <c r="C934" s="5" t="s">
        <v>1846</v>
      </c>
      <c r="D934" s="5" t="s">
        <v>56</v>
      </c>
      <c r="E934" s="5">
        <v>4</v>
      </c>
    </row>
    <row r="935" spans="1:5">
      <c r="A935" s="5" t="s">
        <v>1847</v>
      </c>
      <c r="B935" s="6">
        <v>44557</v>
      </c>
      <c r="C935" s="5" t="s">
        <v>1848</v>
      </c>
      <c r="D935" s="5" t="s">
        <v>226</v>
      </c>
      <c r="E935" s="5">
        <v>3</v>
      </c>
    </row>
    <row r="936" spans="1:5">
      <c r="A936" s="5" t="s">
        <v>1849</v>
      </c>
      <c r="B936" s="6">
        <v>44409</v>
      </c>
      <c r="C936" s="5" t="s">
        <v>1850</v>
      </c>
      <c r="D936" s="5" t="s">
        <v>88</v>
      </c>
      <c r="E936" s="5">
        <v>5</v>
      </c>
    </row>
    <row r="937" spans="1:5">
      <c r="A937" s="5" t="s">
        <v>1851</v>
      </c>
      <c r="B937" s="6">
        <v>44153</v>
      </c>
      <c r="C937" s="5" t="s">
        <v>1852</v>
      </c>
      <c r="D937" s="5" t="s">
        <v>218</v>
      </c>
      <c r="E937" s="5">
        <v>6</v>
      </c>
    </row>
    <row r="938" spans="1:5">
      <c r="A938" s="5" t="s">
        <v>1853</v>
      </c>
      <c r="B938" s="6">
        <v>44493</v>
      </c>
      <c r="C938" s="5" t="s">
        <v>1854</v>
      </c>
      <c r="D938" s="5" t="s">
        <v>170</v>
      </c>
      <c r="E938" s="5">
        <v>3</v>
      </c>
    </row>
    <row r="939" spans="1:5">
      <c r="A939" s="5" t="s">
        <v>1853</v>
      </c>
      <c r="B939" s="6">
        <v>44493</v>
      </c>
      <c r="C939" s="5" t="s">
        <v>1854</v>
      </c>
      <c r="D939" s="5" t="s">
        <v>88</v>
      </c>
      <c r="E939" s="5">
        <v>4</v>
      </c>
    </row>
    <row r="940" spans="1:5">
      <c r="A940" s="5" t="s">
        <v>1855</v>
      </c>
      <c r="B940" s="6">
        <v>43829</v>
      </c>
      <c r="C940" s="5" t="s">
        <v>1856</v>
      </c>
      <c r="D940" s="5" t="s">
        <v>184</v>
      </c>
      <c r="E940" s="5">
        <v>5</v>
      </c>
    </row>
    <row r="941" spans="1:5">
      <c r="A941" s="5" t="s">
        <v>1857</v>
      </c>
      <c r="B941" s="6">
        <v>44229</v>
      </c>
      <c r="C941" s="5" t="s">
        <v>1858</v>
      </c>
      <c r="D941" s="5" t="s">
        <v>66</v>
      </c>
      <c r="E941" s="5">
        <v>6</v>
      </c>
    </row>
    <row r="942" spans="1:5">
      <c r="A942" s="5" t="s">
        <v>1859</v>
      </c>
      <c r="B942" s="6">
        <v>44332</v>
      </c>
      <c r="C942" s="5" t="s">
        <v>1860</v>
      </c>
      <c r="D942" s="5" t="s">
        <v>204</v>
      </c>
      <c r="E942" s="5">
        <v>2</v>
      </c>
    </row>
    <row r="943" spans="1:5">
      <c r="A943" s="5" t="s">
        <v>1861</v>
      </c>
      <c r="B943" s="6">
        <v>44674</v>
      </c>
      <c r="C943" s="5" t="s">
        <v>1862</v>
      </c>
      <c r="D943" s="5" t="s">
        <v>239</v>
      </c>
      <c r="E943" s="5">
        <v>2</v>
      </c>
    </row>
    <row r="944" spans="1:5">
      <c r="A944" s="5" t="s">
        <v>1863</v>
      </c>
      <c r="B944" s="6">
        <v>44464</v>
      </c>
      <c r="C944" s="5" t="s">
        <v>1864</v>
      </c>
      <c r="D944" s="5" t="s">
        <v>236</v>
      </c>
      <c r="E944" s="5">
        <v>3</v>
      </c>
    </row>
    <row r="945" spans="1:5">
      <c r="A945" s="5" t="s">
        <v>1865</v>
      </c>
      <c r="B945" s="6">
        <v>44719</v>
      </c>
      <c r="C945" s="5" t="s">
        <v>1866</v>
      </c>
      <c r="D945" s="5" t="s">
        <v>239</v>
      </c>
      <c r="E945" s="5">
        <v>6</v>
      </c>
    </row>
    <row r="946" spans="1:5">
      <c r="A946" s="5" t="s">
        <v>1867</v>
      </c>
      <c r="B946" s="6">
        <v>44054</v>
      </c>
      <c r="C946" s="5" t="s">
        <v>1868</v>
      </c>
      <c r="D946" s="5" t="s">
        <v>204</v>
      </c>
      <c r="E946" s="5">
        <v>5</v>
      </c>
    </row>
    <row r="947" spans="1:5">
      <c r="A947" s="5" t="s">
        <v>1869</v>
      </c>
      <c r="B947" s="6">
        <v>43524</v>
      </c>
      <c r="C947" s="5" t="s">
        <v>1870</v>
      </c>
      <c r="D947" s="5" t="s">
        <v>156</v>
      </c>
      <c r="E947" s="5">
        <v>4</v>
      </c>
    </row>
    <row r="948" spans="1:5">
      <c r="A948" s="5" t="s">
        <v>1871</v>
      </c>
      <c r="B948" s="6">
        <v>43719</v>
      </c>
      <c r="C948" s="5" t="s">
        <v>1872</v>
      </c>
      <c r="D948" s="5" t="s">
        <v>170</v>
      </c>
      <c r="E948" s="5">
        <v>3</v>
      </c>
    </row>
    <row r="949" spans="1:5">
      <c r="A949" s="5" t="s">
        <v>1873</v>
      </c>
      <c r="B949" s="6">
        <v>44294</v>
      </c>
      <c r="C949" s="5" t="s">
        <v>1874</v>
      </c>
      <c r="D949" s="5" t="s">
        <v>108</v>
      </c>
      <c r="E949" s="5">
        <v>1</v>
      </c>
    </row>
    <row r="950" spans="1:5">
      <c r="A950" s="5" t="s">
        <v>1875</v>
      </c>
      <c r="B950" s="6">
        <v>44445</v>
      </c>
      <c r="C950" s="5" t="s">
        <v>1876</v>
      </c>
      <c r="D950" s="5" t="s">
        <v>577</v>
      </c>
      <c r="E950" s="5">
        <v>3</v>
      </c>
    </row>
    <row r="951" spans="1:5">
      <c r="A951" s="5" t="s">
        <v>1877</v>
      </c>
      <c r="B951" s="6">
        <v>44449</v>
      </c>
      <c r="C951" s="5" t="s">
        <v>1878</v>
      </c>
      <c r="D951" s="5" t="s">
        <v>57</v>
      </c>
      <c r="E951" s="5">
        <v>4</v>
      </c>
    </row>
    <row r="952" spans="1:5">
      <c r="A952" s="5" t="s">
        <v>1879</v>
      </c>
      <c r="B952" s="6">
        <v>44703</v>
      </c>
      <c r="C952" s="5" t="s">
        <v>1880</v>
      </c>
      <c r="D952" s="5" t="s">
        <v>229</v>
      </c>
      <c r="E952" s="5">
        <v>4</v>
      </c>
    </row>
    <row r="953" spans="1:5">
      <c r="A953" s="5" t="s">
        <v>1881</v>
      </c>
      <c r="B953" s="6">
        <v>44092</v>
      </c>
      <c r="C953" s="5" t="s">
        <v>1882</v>
      </c>
      <c r="D953" s="5" t="s">
        <v>229</v>
      </c>
      <c r="E953" s="5">
        <v>6</v>
      </c>
    </row>
    <row r="954" spans="1:5">
      <c r="A954" s="5" t="s">
        <v>1883</v>
      </c>
      <c r="B954" s="6">
        <v>44439</v>
      </c>
      <c r="C954" s="5" t="s">
        <v>1884</v>
      </c>
      <c r="D954" s="5" t="s">
        <v>108</v>
      </c>
      <c r="E954" s="5">
        <v>2</v>
      </c>
    </row>
    <row r="955" spans="1:5">
      <c r="A955" s="5" t="s">
        <v>1885</v>
      </c>
      <c r="B955" s="6">
        <v>44582</v>
      </c>
      <c r="C955" s="5" t="s">
        <v>1848</v>
      </c>
      <c r="D955" s="5" t="s">
        <v>162</v>
      </c>
      <c r="E955" s="5">
        <v>1</v>
      </c>
    </row>
    <row r="956" spans="1:5">
      <c r="A956" s="5" t="s">
        <v>1886</v>
      </c>
      <c r="B956" s="6">
        <v>44722</v>
      </c>
      <c r="C956" s="5" t="s">
        <v>1848</v>
      </c>
      <c r="D956" s="5" t="s">
        <v>577</v>
      </c>
      <c r="E956" s="5">
        <v>1</v>
      </c>
    </row>
    <row r="957" spans="1:5">
      <c r="A957" s="5" t="s">
        <v>1887</v>
      </c>
      <c r="B957" s="6">
        <v>43582</v>
      </c>
      <c r="C957" s="5" t="s">
        <v>1848</v>
      </c>
      <c r="D957" s="5" t="s">
        <v>77</v>
      </c>
      <c r="E957" s="5">
        <v>5</v>
      </c>
    </row>
    <row r="958" spans="1:5">
      <c r="A958" s="5" t="s">
        <v>1887</v>
      </c>
      <c r="B958" s="6">
        <v>43582</v>
      </c>
      <c r="C958" s="5" t="s">
        <v>1848</v>
      </c>
      <c r="D958" s="5" t="s">
        <v>57</v>
      </c>
      <c r="E958" s="5">
        <v>2</v>
      </c>
    </row>
    <row r="959" spans="1:5">
      <c r="A959" s="5" t="s">
        <v>1887</v>
      </c>
      <c r="B959" s="6">
        <v>43582</v>
      </c>
      <c r="C959" s="5" t="s">
        <v>1848</v>
      </c>
      <c r="D959" s="5" t="s">
        <v>184</v>
      </c>
      <c r="E959" s="5">
        <v>1</v>
      </c>
    </row>
    <row r="960" spans="1:5">
      <c r="A960" s="5" t="s">
        <v>1887</v>
      </c>
      <c r="B960" s="6">
        <v>43582</v>
      </c>
      <c r="C960" s="5" t="s">
        <v>1848</v>
      </c>
      <c r="D960" s="5" t="s">
        <v>162</v>
      </c>
      <c r="E960" s="5">
        <v>2</v>
      </c>
    </row>
    <row r="961" spans="1:5">
      <c r="A961" s="5" t="s">
        <v>1888</v>
      </c>
      <c r="B961" s="6">
        <v>44598</v>
      </c>
      <c r="C961" s="5" t="s">
        <v>1889</v>
      </c>
      <c r="D961" s="5" t="s">
        <v>66</v>
      </c>
      <c r="E961" s="5">
        <v>5</v>
      </c>
    </row>
    <row r="962" spans="1:5">
      <c r="A962" s="5" t="s">
        <v>1890</v>
      </c>
      <c r="B962" s="6">
        <v>44591</v>
      </c>
      <c r="C962" s="5" t="s">
        <v>1891</v>
      </c>
      <c r="D962" s="5" t="s">
        <v>179</v>
      </c>
      <c r="E962" s="5">
        <v>5</v>
      </c>
    </row>
    <row r="963" spans="1:5">
      <c r="A963" s="5" t="s">
        <v>1892</v>
      </c>
      <c r="B963" s="6">
        <v>44158</v>
      </c>
      <c r="C963" s="5" t="s">
        <v>1893</v>
      </c>
      <c r="D963" s="5" t="s">
        <v>165</v>
      </c>
      <c r="E963" s="5">
        <v>2</v>
      </c>
    </row>
    <row r="964" spans="1:5">
      <c r="A964" s="5" t="s">
        <v>1894</v>
      </c>
      <c r="B964" s="6">
        <v>44664</v>
      </c>
      <c r="C964" s="5" t="s">
        <v>1895</v>
      </c>
      <c r="D964" s="5" t="s">
        <v>226</v>
      </c>
      <c r="E964" s="5">
        <v>1</v>
      </c>
    </row>
    <row r="965" spans="1:5">
      <c r="A965" s="5" t="s">
        <v>1896</v>
      </c>
      <c r="B965" s="6">
        <v>44203</v>
      </c>
      <c r="C965" s="5" t="s">
        <v>1897</v>
      </c>
      <c r="D965" s="5" t="s">
        <v>69</v>
      </c>
      <c r="E965" s="5">
        <v>4</v>
      </c>
    </row>
    <row r="966" spans="1:5">
      <c r="A966" s="5" t="s">
        <v>1898</v>
      </c>
      <c r="B966" s="6">
        <v>43865</v>
      </c>
      <c r="C966" s="5" t="s">
        <v>1899</v>
      </c>
      <c r="D966" s="5" t="s">
        <v>301</v>
      </c>
      <c r="E966" s="5">
        <v>5</v>
      </c>
    </row>
    <row r="967" spans="1:5">
      <c r="A967" s="5" t="s">
        <v>1900</v>
      </c>
      <c r="B967" s="6">
        <v>43724</v>
      </c>
      <c r="C967" s="5" t="s">
        <v>1901</v>
      </c>
      <c r="D967" s="5" t="s">
        <v>49</v>
      </c>
      <c r="E967" s="5">
        <v>3</v>
      </c>
    </row>
    <row r="968" spans="1:5">
      <c r="A968" s="5" t="s">
        <v>1902</v>
      </c>
      <c r="B968" s="6">
        <v>43491</v>
      </c>
      <c r="C968" s="5" t="s">
        <v>1903</v>
      </c>
      <c r="D968" s="5" t="s">
        <v>223</v>
      </c>
      <c r="E968" s="5">
        <v>6</v>
      </c>
    </row>
    <row r="969" spans="1:5">
      <c r="A969" s="5" t="s">
        <v>1904</v>
      </c>
      <c r="B969" s="6">
        <v>44246</v>
      </c>
      <c r="C969" s="5" t="s">
        <v>1905</v>
      </c>
      <c r="D969" s="5" t="s">
        <v>148</v>
      </c>
      <c r="E969" s="5">
        <v>1</v>
      </c>
    </row>
    <row r="970" spans="1:5">
      <c r="A970" s="5" t="s">
        <v>1906</v>
      </c>
      <c r="B970" s="6">
        <v>44642</v>
      </c>
      <c r="C970" s="5" t="s">
        <v>1907</v>
      </c>
      <c r="D970" s="5" t="s">
        <v>209</v>
      </c>
      <c r="E970" s="5">
        <v>2</v>
      </c>
    </row>
    <row r="971" spans="1:5">
      <c r="A971" s="5" t="s">
        <v>1908</v>
      </c>
      <c r="B971" s="6">
        <v>43649</v>
      </c>
      <c r="C971" s="5" t="s">
        <v>1909</v>
      </c>
      <c r="D971" s="5" t="s">
        <v>60</v>
      </c>
      <c r="E971" s="5">
        <v>1</v>
      </c>
    </row>
    <row r="972" spans="1:5">
      <c r="A972" s="5" t="s">
        <v>1910</v>
      </c>
      <c r="B972" s="6">
        <v>43729</v>
      </c>
      <c r="C972" s="5" t="s">
        <v>1911</v>
      </c>
      <c r="D972" s="5" t="s">
        <v>50</v>
      </c>
      <c r="E972" s="5">
        <v>1</v>
      </c>
    </row>
    <row r="973" spans="1:5">
      <c r="A973" s="5" t="s">
        <v>1912</v>
      </c>
      <c r="B973" s="6">
        <v>43703</v>
      </c>
      <c r="C973" s="5" t="s">
        <v>1913</v>
      </c>
      <c r="D973" s="5" t="s">
        <v>251</v>
      </c>
      <c r="E973" s="5">
        <v>5</v>
      </c>
    </row>
    <row r="974" spans="1:5">
      <c r="A974" s="5" t="s">
        <v>1914</v>
      </c>
      <c r="B974" s="6">
        <v>44411</v>
      </c>
      <c r="C974" s="5" t="s">
        <v>1915</v>
      </c>
      <c r="D974" s="5" t="s">
        <v>251</v>
      </c>
      <c r="E974" s="5">
        <v>3</v>
      </c>
    </row>
    <row r="975" spans="1:5">
      <c r="A975" s="5" t="s">
        <v>1916</v>
      </c>
      <c r="B975" s="6">
        <v>44493</v>
      </c>
      <c r="C975" s="5" t="s">
        <v>1917</v>
      </c>
      <c r="D975" s="5" t="s">
        <v>143</v>
      </c>
      <c r="E975" s="5">
        <v>6</v>
      </c>
    </row>
    <row r="976" spans="1:5">
      <c r="A976" s="5" t="s">
        <v>1918</v>
      </c>
      <c r="B976" s="6">
        <v>43556</v>
      </c>
      <c r="C976" s="5" t="s">
        <v>1919</v>
      </c>
      <c r="D976" s="5" t="s">
        <v>193</v>
      </c>
      <c r="E976" s="5">
        <v>1</v>
      </c>
    </row>
    <row r="977" spans="1:5">
      <c r="A977" s="5" t="s">
        <v>1920</v>
      </c>
      <c r="B977" s="6">
        <v>44538</v>
      </c>
      <c r="C977" s="5" t="s">
        <v>1921</v>
      </c>
      <c r="D977" s="5" t="s">
        <v>101</v>
      </c>
      <c r="E977" s="5">
        <v>3</v>
      </c>
    </row>
    <row r="978" spans="1:5">
      <c r="A978" s="5" t="s">
        <v>1922</v>
      </c>
      <c r="B978" s="6">
        <v>43643</v>
      </c>
      <c r="C978" s="5" t="s">
        <v>1923</v>
      </c>
      <c r="D978" s="5" t="s">
        <v>57</v>
      </c>
      <c r="E978" s="5">
        <v>5</v>
      </c>
    </row>
    <row r="979" spans="1:5">
      <c r="A979" s="5" t="s">
        <v>1924</v>
      </c>
      <c r="B979" s="6">
        <v>44026</v>
      </c>
      <c r="C979" s="5" t="s">
        <v>1925</v>
      </c>
      <c r="D979" s="5" t="s">
        <v>236</v>
      </c>
      <c r="E979" s="5">
        <v>5</v>
      </c>
    </row>
    <row r="980" spans="1:5">
      <c r="A980" s="5" t="s">
        <v>1926</v>
      </c>
      <c r="B980" s="6">
        <v>43913</v>
      </c>
      <c r="C980" s="5" t="s">
        <v>1917</v>
      </c>
      <c r="D980" s="5" t="s">
        <v>239</v>
      </c>
      <c r="E980" s="5">
        <v>3</v>
      </c>
    </row>
    <row r="981" spans="1:5">
      <c r="A981" s="5" t="s">
        <v>1927</v>
      </c>
      <c r="B981" s="6">
        <v>43856</v>
      </c>
      <c r="C981" s="5" t="s">
        <v>1928</v>
      </c>
      <c r="D981" s="5" t="s">
        <v>193</v>
      </c>
      <c r="E981" s="5">
        <v>2</v>
      </c>
    </row>
    <row r="982" spans="1:5">
      <c r="A982" s="5" t="s">
        <v>1929</v>
      </c>
      <c r="B982" s="6">
        <v>43982</v>
      </c>
      <c r="C982" s="5" t="s">
        <v>1930</v>
      </c>
      <c r="D982" s="5" t="s">
        <v>577</v>
      </c>
      <c r="E982" s="5">
        <v>6</v>
      </c>
    </row>
    <row r="983" spans="1:5">
      <c r="A983" s="5" t="s">
        <v>1931</v>
      </c>
      <c r="B983" s="6">
        <v>44397</v>
      </c>
      <c r="C983" s="5" t="s">
        <v>1932</v>
      </c>
      <c r="D983" s="5" t="s">
        <v>98</v>
      </c>
      <c r="E983" s="5">
        <v>6</v>
      </c>
    </row>
    <row r="984" spans="1:5">
      <c r="A984" s="5" t="s">
        <v>1933</v>
      </c>
      <c r="B984" s="6">
        <v>44785</v>
      </c>
      <c r="C984" s="5" t="s">
        <v>1934</v>
      </c>
      <c r="D984" s="5" t="s">
        <v>236</v>
      </c>
      <c r="E984" s="5">
        <v>2</v>
      </c>
    </row>
    <row r="985" spans="1:5">
      <c r="A985" s="5" t="s">
        <v>1935</v>
      </c>
      <c r="B985" s="6">
        <v>43831</v>
      </c>
      <c r="C985" s="5" t="s">
        <v>1936</v>
      </c>
      <c r="D985" s="5" t="s">
        <v>91</v>
      </c>
      <c r="E985" s="5">
        <v>2</v>
      </c>
    </row>
    <row r="986" spans="1:5">
      <c r="A986" s="5" t="s">
        <v>1937</v>
      </c>
      <c r="B986" s="6">
        <v>44214</v>
      </c>
      <c r="C986" s="5" t="s">
        <v>1938</v>
      </c>
      <c r="D986" s="5" t="s">
        <v>159</v>
      </c>
      <c r="E986" s="5">
        <v>1</v>
      </c>
    </row>
    <row r="987" spans="1:5">
      <c r="A987" s="5" t="s">
        <v>1939</v>
      </c>
      <c r="B987" s="6">
        <v>44561</v>
      </c>
      <c r="C987" s="5" t="s">
        <v>1940</v>
      </c>
      <c r="D987" s="5" t="s">
        <v>236</v>
      </c>
      <c r="E987" s="5">
        <v>4</v>
      </c>
    </row>
    <row r="988" spans="1:5">
      <c r="A988" s="5" t="s">
        <v>1941</v>
      </c>
      <c r="B988" s="6">
        <v>43955</v>
      </c>
      <c r="C988" s="5" t="s">
        <v>1942</v>
      </c>
      <c r="D988" s="5" t="s">
        <v>244</v>
      </c>
      <c r="E988" s="5">
        <v>1</v>
      </c>
    </row>
    <row r="989" spans="1:5">
      <c r="A989" s="5" t="s">
        <v>1943</v>
      </c>
      <c r="B989" s="6">
        <v>44247</v>
      </c>
      <c r="C989" s="5" t="s">
        <v>1944</v>
      </c>
      <c r="D989" s="5" t="s">
        <v>119</v>
      </c>
      <c r="E989" s="5">
        <v>5</v>
      </c>
    </row>
    <row r="990" spans="1:5">
      <c r="A990" s="5" t="s">
        <v>1945</v>
      </c>
      <c r="B990" s="6">
        <v>43897</v>
      </c>
      <c r="C990" s="5" t="s">
        <v>1946</v>
      </c>
      <c r="D990" s="5" t="s">
        <v>49</v>
      </c>
      <c r="E990" s="5">
        <v>3</v>
      </c>
    </row>
    <row r="991" spans="1:5">
      <c r="A991" s="5" t="s">
        <v>1947</v>
      </c>
      <c r="B991" s="6">
        <v>43560</v>
      </c>
      <c r="C991" s="5" t="s">
        <v>1948</v>
      </c>
      <c r="D991" s="5" t="s">
        <v>218</v>
      </c>
      <c r="E991" s="5">
        <v>6</v>
      </c>
    </row>
    <row r="992" spans="1:5">
      <c r="A992" s="5" t="s">
        <v>1949</v>
      </c>
      <c r="B992" s="6">
        <v>44718</v>
      </c>
      <c r="C992" s="5" t="s">
        <v>1950</v>
      </c>
      <c r="D992" s="5" t="s">
        <v>98</v>
      </c>
      <c r="E992" s="5">
        <v>5</v>
      </c>
    </row>
    <row r="993" spans="1:5">
      <c r="A993" s="5" t="s">
        <v>1949</v>
      </c>
      <c r="B993" s="6">
        <v>44718</v>
      </c>
      <c r="C993" s="5" t="s">
        <v>1950</v>
      </c>
      <c r="D993" s="5" t="s">
        <v>170</v>
      </c>
      <c r="E993" s="5">
        <v>2</v>
      </c>
    </row>
    <row r="994" spans="1:5">
      <c r="A994" s="5" t="s">
        <v>1951</v>
      </c>
      <c r="B994" s="6">
        <v>44276</v>
      </c>
      <c r="C994" s="5" t="s">
        <v>1952</v>
      </c>
      <c r="D994" s="5" t="s">
        <v>151</v>
      </c>
      <c r="E994" s="5">
        <v>3</v>
      </c>
    </row>
    <row r="995" spans="1:5">
      <c r="A995" s="5" t="s">
        <v>1953</v>
      </c>
      <c r="B995" s="6">
        <v>44549</v>
      </c>
      <c r="C995" s="5" t="s">
        <v>1954</v>
      </c>
      <c r="D995" s="5" t="s">
        <v>53</v>
      </c>
      <c r="E995" s="5">
        <v>6</v>
      </c>
    </row>
    <row r="996" spans="1:5">
      <c r="A996" s="5" t="s">
        <v>1955</v>
      </c>
      <c r="B996" s="6">
        <v>44244</v>
      </c>
      <c r="C996" s="5" t="s">
        <v>1956</v>
      </c>
      <c r="D996" s="5" t="s">
        <v>101</v>
      </c>
      <c r="E996" s="5">
        <v>3</v>
      </c>
    </row>
    <row r="997" spans="1:5">
      <c r="A997" s="5" t="s">
        <v>1957</v>
      </c>
      <c r="B997" s="6">
        <v>43836</v>
      </c>
      <c r="C997" s="5" t="s">
        <v>1958</v>
      </c>
      <c r="D997" s="5" t="s">
        <v>57</v>
      </c>
      <c r="E997" s="5">
        <v>1</v>
      </c>
    </row>
    <row r="998" spans="1:5">
      <c r="A998" s="5" t="s">
        <v>1959</v>
      </c>
      <c r="B998" s="6">
        <v>44685</v>
      </c>
      <c r="C998" s="5" t="s">
        <v>1950</v>
      </c>
      <c r="D998" s="5" t="s">
        <v>69</v>
      </c>
      <c r="E998" s="5">
        <v>5</v>
      </c>
    </row>
    <row r="999" spans="1:5">
      <c r="A999" s="5" t="s">
        <v>1960</v>
      </c>
      <c r="B999" s="6">
        <v>43749</v>
      </c>
      <c r="C999" s="5" t="s">
        <v>1950</v>
      </c>
      <c r="D999" s="5" t="s">
        <v>114</v>
      </c>
      <c r="E999" s="5">
        <v>4</v>
      </c>
    </row>
    <row r="1000" spans="1:5">
      <c r="A1000" s="5" t="s">
        <v>1961</v>
      </c>
      <c r="B1000" s="6">
        <v>44411</v>
      </c>
      <c r="C1000" s="5" t="s">
        <v>1962</v>
      </c>
      <c r="D1000" s="5" t="s">
        <v>74</v>
      </c>
      <c r="E1000" s="5">
        <v>1</v>
      </c>
    </row>
    <row r="1001" spans="1:5">
      <c r="A1001" s="5" t="s">
        <v>1963</v>
      </c>
      <c r="B1001" s="6">
        <v>44119</v>
      </c>
      <c r="C1001" s="5" t="s">
        <v>1964</v>
      </c>
      <c r="D1001" s="5" t="s">
        <v>111</v>
      </c>
      <c r="E1001" s="5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C11" sqref="C11"/>
    </sheetView>
  </sheetViews>
  <sheetFormatPr defaultRowHeight="1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>
      <c r="A1" s="2" t="s">
        <v>37</v>
      </c>
      <c r="B1" s="2" t="s">
        <v>40</v>
      </c>
      <c r="C1" s="2" t="s">
        <v>41</v>
      </c>
      <c r="D1" s="2" t="s">
        <v>1965</v>
      </c>
      <c r="E1" s="2" t="s">
        <v>1966</v>
      </c>
      <c r="F1" s="2" t="s">
        <v>1967</v>
      </c>
      <c r="G1" s="2" t="s">
        <v>16</v>
      </c>
      <c r="H1" s="2" t="s">
        <v>1968</v>
      </c>
      <c r="I1" s="2" t="s">
        <v>1969</v>
      </c>
    </row>
    <row r="2" spans="1:9">
      <c r="A2" s="2" t="s">
        <v>48</v>
      </c>
      <c r="B2" s="2" t="s">
        <v>1970</v>
      </c>
      <c r="C2" s="2" t="s">
        <v>1971</v>
      </c>
      <c r="D2" s="2" t="s">
        <v>1972</v>
      </c>
      <c r="E2" s="2" t="s">
        <v>1973</v>
      </c>
      <c r="F2" s="2" t="s">
        <v>1974</v>
      </c>
      <c r="G2" s="2" t="s">
        <v>19</v>
      </c>
      <c r="H2" s="2">
        <v>7505</v>
      </c>
      <c r="I2" t="s">
        <v>1975</v>
      </c>
    </row>
    <row r="3" spans="1:9">
      <c r="A3" s="2" t="s">
        <v>1976</v>
      </c>
      <c r="B3" s="2" t="s">
        <v>1977</v>
      </c>
      <c r="C3" s="2" t="s">
        <v>1978</v>
      </c>
      <c r="D3" s="2" t="s">
        <v>1979</v>
      </c>
      <c r="E3" s="2" t="s">
        <v>1980</v>
      </c>
      <c r="F3" s="2" t="s">
        <v>1981</v>
      </c>
      <c r="G3" s="2" t="s">
        <v>17</v>
      </c>
      <c r="H3" s="2" t="s">
        <v>1982</v>
      </c>
      <c r="I3" t="s">
        <v>1983</v>
      </c>
    </row>
    <row r="4" spans="1:9">
      <c r="A4" s="2" t="s">
        <v>52</v>
      </c>
      <c r="B4" s="2" t="s">
        <v>1984</v>
      </c>
      <c r="C4" s="2" t="s">
        <v>1985</v>
      </c>
      <c r="D4" s="2" t="s">
        <v>1986</v>
      </c>
      <c r="E4" s="2" t="s">
        <v>1987</v>
      </c>
      <c r="F4" s="2" t="s">
        <v>1988</v>
      </c>
      <c r="G4" s="2" t="s">
        <v>19</v>
      </c>
      <c r="H4" s="2">
        <v>78205</v>
      </c>
      <c r="I4" t="s">
        <v>1975</v>
      </c>
    </row>
    <row r="5" spans="1:9">
      <c r="A5" s="2" t="s">
        <v>1989</v>
      </c>
      <c r="B5" s="2" t="s">
        <v>1990</v>
      </c>
      <c r="C5" s="2" t="s">
        <v>1991</v>
      </c>
      <c r="D5" s="2" t="s">
        <v>1992</v>
      </c>
      <c r="E5" s="2" t="s">
        <v>1993</v>
      </c>
      <c r="F5" s="2" t="s">
        <v>1994</v>
      </c>
      <c r="G5" s="2" t="s">
        <v>19</v>
      </c>
      <c r="H5" s="2">
        <v>62711</v>
      </c>
      <c r="I5" t="s">
        <v>1975</v>
      </c>
    </row>
    <row r="6" spans="1:9">
      <c r="A6" s="2" t="s">
        <v>55</v>
      </c>
      <c r="B6" s="2" t="s">
        <v>1995</v>
      </c>
      <c r="C6" s="2"/>
      <c r="D6" s="2" t="s">
        <v>1996</v>
      </c>
      <c r="E6" s="2" t="s">
        <v>1997</v>
      </c>
      <c r="F6" s="2" t="s">
        <v>1998</v>
      </c>
      <c r="G6" s="2" t="s">
        <v>17</v>
      </c>
      <c r="H6" s="2" t="s">
        <v>1999</v>
      </c>
      <c r="I6" t="s">
        <v>1983</v>
      </c>
    </row>
    <row r="7" spans="1:9">
      <c r="A7" s="2" t="s">
        <v>59</v>
      </c>
      <c r="B7" s="2" t="s">
        <v>2000</v>
      </c>
      <c r="C7" s="2"/>
      <c r="D7" s="2" t="s">
        <v>2001</v>
      </c>
      <c r="E7" s="2" t="s">
        <v>2002</v>
      </c>
      <c r="F7" s="2" t="s">
        <v>2003</v>
      </c>
      <c r="G7" s="2" t="s">
        <v>19</v>
      </c>
      <c r="H7" s="2">
        <v>18505</v>
      </c>
      <c r="I7" t="s">
        <v>1983</v>
      </c>
    </row>
    <row r="8" spans="1:9">
      <c r="A8" s="2" t="s">
        <v>62</v>
      </c>
      <c r="B8" s="2" t="s">
        <v>2004</v>
      </c>
      <c r="C8" s="2" t="s">
        <v>2005</v>
      </c>
      <c r="D8" s="2" t="s">
        <v>2006</v>
      </c>
      <c r="E8" s="2" t="s">
        <v>2007</v>
      </c>
      <c r="F8" s="2" t="s">
        <v>2008</v>
      </c>
      <c r="G8" s="2" t="s">
        <v>19</v>
      </c>
      <c r="H8" s="2">
        <v>45440</v>
      </c>
      <c r="I8" t="s">
        <v>1975</v>
      </c>
    </row>
    <row r="9" spans="1:9">
      <c r="A9" s="2" t="s">
        <v>65</v>
      </c>
      <c r="B9" s="2" t="s">
        <v>2009</v>
      </c>
      <c r="C9" s="2"/>
      <c r="D9" s="2" t="s">
        <v>2010</v>
      </c>
      <c r="E9" s="2" t="s">
        <v>2011</v>
      </c>
      <c r="F9" s="2" t="s">
        <v>2012</v>
      </c>
      <c r="G9" s="2" t="s">
        <v>17</v>
      </c>
      <c r="H9" s="2" t="s">
        <v>2013</v>
      </c>
      <c r="I9" t="s">
        <v>1975</v>
      </c>
    </row>
    <row r="10" spans="1:9">
      <c r="A10" s="2" t="s">
        <v>68</v>
      </c>
      <c r="B10" s="2" t="s">
        <v>2014</v>
      </c>
      <c r="C10" s="2" t="s">
        <v>2015</v>
      </c>
      <c r="D10" s="2" t="s">
        <v>2016</v>
      </c>
      <c r="E10" s="2" t="s">
        <v>2017</v>
      </c>
      <c r="F10" s="2" t="s">
        <v>2018</v>
      </c>
      <c r="G10" s="2" t="s">
        <v>19</v>
      </c>
      <c r="H10" s="2">
        <v>90045</v>
      </c>
      <c r="I10" t="s">
        <v>1983</v>
      </c>
    </row>
    <row r="11" spans="1:9">
      <c r="A11" s="2" t="s">
        <v>71</v>
      </c>
      <c r="B11" s="2" t="s">
        <v>2019</v>
      </c>
      <c r="C11" s="2" t="s">
        <v>2020</v>
      </c>
      <c r="D11" s="2" t="s">
        <v>2021</v>
      </c>
      <c r="E11" s="2" t="s">
        <v>2022</v>
      </c>
      <c r="F11" s="2" t="s">
        <v>2018</v>
      </c>
      <c r="G11" s="2" t="s">
        <v>19</v>
      </c>
      <c r="H11" s="2">
        <v>90065</v>
      </c>
      <c r="I11" t="s">
        <v>1983</v>
      </c>
    </row>
    <row r="12" spans="1:9">
      <c r="A12" s="2" t="s">
        <v>73</v>
      </c>
      <c r="B12" s="2" t="s">
        <v>2023</v>
      </c>
      <c r="C12" s="2" t="s">
        <v>2024</v>
      </c>
      <c r="D12" s="2" t="s">
        <v>2025</v>
      </c>
      <c r="E12" s="2" t="s">
        <v>2026</v>
      </c>
      <c r="F12" s="2" t="s">
        <v>2027</v>
      </c>
      <c r="G12" s="2" t="s">
        <v>19</v>
      </c>
      <c r="H12" s="2">
        <v>95160</v>
      </c>
      <c r="I12" t="s">
        <v>1983</v>
      </c>
    </row>
    <row r="13" spans="1:9">
      <c r="A13" s="2" t="s">
        <v>76</v>
      </c>
      <c r="B13" s="2" t="s">
        <v>2028</v>
      </c>
      <c r="C13" s="2" t="s">
        <v>2029</v>
      </c>
      <c r="D13" s="2" t="s">
        <v>2030</v>
      </c>
      <c r="E13" s="2" t="s">
        <v>2031</v>
      </c>
      <c r="F13" s="2" t="s">
        <v>2027</v>
      </c>
      <c r="G13" s="2" t="s">
        <v>19</v>
      </c>
      <c r="H13" s="2">
        <v>95194</v>
      </c>
      <c r="I13" t="s">
        <v>1975</v>
      </c>
    </row>
    <row r="14" spans="1:9">
      <c r="A14" s="2" t="s">
        <v>79</v>
      </c>
      <c r="B14" s="2" t="s">
        <v>2032</v>
      </c>
      <c r="C14" s="2" t="s">
        <v>2033</v>
      </c>
      <c r="D14" s="2" t="s">
        <v>2034</v>
      </c>
      <c r="E14" s="2" t="s">
        <v>2035</v>
      </c>
      <c r="F14" s="2" t="s">
        <v>2036</v>
      </c>
      <c r="G14" s="2" t="s">
        <v>19</v>
      </c>
      <c r="H14" s="2">
        <v>23285</v>
      </c>
      <c r="I14" t="s">
        <v>1983</v>
      </c>
    </row>
    <row r="15" spans="1:9">
      <c r="A15" s="2" t="s">
        <v>81</v>
      </c>
      <c r="B15" s="2" t="s">
        <v>2037</v>
      </c>
      <c r="C15" s="2" t="s">
        <v>2038</v>
      </c>
      <c r="D15" s="2"/>
      <c r="E15" s="2" t="s">
        <v>2039</v>
      </c>
      <c r="F15" s="2" t="s">
        <v>2040</v>
      </c>
      <c r="G15" s="2" t="s">
        <v>19</v>
      </c>
      <c r="H15" s="2">
        <v>41905</v>
      </c>
      <c r="I15" t="s">
        <v>1983</v>
      </c>
    </row>
    <row r="16" spans="1:9">
      <c r="A16" s="2" t="s">
        <v>84</v>
      </c>
      <c r="B16" s="2" t="s">
        <v>2041</v>
      </c>
      <c r="C16" s="2" t="s">
        <v>2042</v>
      </c>
      <c r="D16" s="2" t="s">
        <v>2043</v>
      </c>
      <c r="E16" s="2" t="s">
        <v>2044</v>
      </c>
      <c r="F16" s="2" t="s">
        <v>2045</v>
      </c>
      <c r="G16" s="2" t="s">
        <v>19</v>
      </c>
      <c r="H16" s="2">
        <v>63131</v>
      </c>
      <c r="I16" t="s">
        <v>1975</v>
      </c>
    </row>
    <row r="17" spans="1:9">
      <c r="A17" s="2" t="s">
        <v>87</v>
      </c>
      <c r="B17" s="2" t="s">
        <v>2046</v>
      </c>
      <c r="C17" s="2" t="s">
        <v>2047</v>
      </c>
      <c r="D17" s="2"/>
      <c r="E17" s="2" t="s">
        <v>2048</v>
      </c>
      <c r="F17" s="2" t="s">
        <v>2049</v>
      </c>
      <c r="G17" s="2" t="s">
        <v>19</v>
      </c>
      <c r="H17" s="2">
        <v>19172</v>
      </c>
      <c r="I17" t="s">
        <v>1983</v>
      </c>
    </row>
    <row r="18" spans="1:9">
      <c r="A18" s="2" t="s">
        <v>90</v>
      </c>
      <c r="B18" s="2" t="s">
        <v>2050</v>
      </c>
      <c r="C18" s="2" t="s">
        <v>2051</v>
      </c>
      <c r="D18" s="2" t="s">
        <v>2052</v>
      </c>
      <c r="E18" s="2" t="s">
        <v>2053</v>
      </c>
      <c r="F18" s="2" t="s">
        <v>2054</v>
      </c>
      <c r="G18" s="2" t="s">
        <v>19</v>
      </c>
      <c r="H18" s="2">
        <v>97271</v>
      </c>
      <c r="I18" t="s">
        <v>1983</v>
      </c>
    </row>
    <row r="19" spans="1:9">
      <c r="A19" s="2" t="s">
        <v>93</v>
      </c>
      <c r="B19" s="2" t="s">
        <v>2055</v>
      </c>
      <c r="C19" s="2" t="s">
        <v>2056</v>
      </c>
      <c r="D19" s="2" t="s">
        <v>2057</v>
      </c>
      <c r="E19" s="2" t="s">
        <v>2058</v>
      </c>
      <c r="F19" s="2" t="s">
        <v>2059</v>
      </c>
      <c r="G19" s="2" t="s">
        <v>19</v>
      </c>
      <c r="H19" s="2">
        <v>77240</v>
      </c>
      <c r="I19" t="s">
        <v>1983</v>
      </c>
    </row>
    <row r="20" spans="1:9">
      <c r="A20" s="2" t="s">
        <v>95</v>
      </c>
      <c r="B20" s="2" t="s">
        <v>2060</v>
      </c>
      <c r="C20" s="2" t="s">
        <v>2061</v>
      </c>
      <c r="D20" s="2"/>
      <c r="E20" s="2" t="s">
        <v>2062</v>
      </c>
      <c r="F20" s="2" t="s">
        <v>2063</v>
      </c>
      <c r="G20" s="2" t="s">
        <v>17</v>
      </c>
      <c r="H20" s="2" t="s">
        <v>2064</v>
      </c>
      <c r="I20" t="s">
        <v>1975</v>
      </c>
    </row>
    <row r="21" spans="1:9">
      <c r="A21" s="2" t="s">
        <v>97</v>
      </c>
      <c r="B21" s="2" t="s">
        <v>2065</v>
      </c>
      <c r="C21" s="2" t="s">
        <v>2066</v>
      </c>
      <c r="D21" s="2" t="s">
        <v>2067</v>
      </c>
      <c r="E21" s="2" t="s">
        <v>2068</v>
      </c>
      <c r="F21" s="2" t="s">
        <v>2069</v>
      </c>
      <c r="G21" s="2" t="s">
        <v>19</v>
      </c>
      <c r="H21" s="2">
        <v>10060</v>
      </c>
      <c r="I21" t="s">
        <v>1975</v>
      </c>
    </row>
    <row r="22" spans="1:9">
      <c r="A22" s="2" t="s">
        <v>2070</v>
      </c>
      <c r="B22" s="2" t="s">
        <v>2071</v>
      </c>
      <c r="C22" s="2"/>
      <c r="D22" s="2" t="s">
        <v>2072</v>
      </c>
      <c r="E22" s="2" t="s">
        <v>2073</v>
      </c>
      <c r="F22" s="2" t="s">
        <v>2074</v>
      </c>
      <c r="G22" s="2" t="s">
        <v>17</v>
      </c>
      <c r="H22" s="2" t="s">
        <v>2075</v>
      </c>
      <c r="I22" t="s">
        <v>1975</v>
      </c>
    </row>
    <row r="23" spans="1:9">
      <c r="A23" s="2" t="s">
        <v>100</v>
      </c>
      <c r="B23" s="2" t="s">
        <v>2076</v>
      </c>
      <c r="C23" s="2" t="s">
        <v>2077</v>
      </c>
      <c r="D23" s="2" t="s">
        <v>2078</v>
      </c>
      <c r="E23" s="2" t="s">
        <v>2079</v>
      </c>
      <c r="F23" s="2" t="s">
        <v>2080</v>
      </c>
      <c r="G23" s="2" t="s">
        <v>19</v>
      </c>
      <c r="H23" s="2">
        <v>49560</v>
      </c>
      <c r="I23" t="s">
        <v>1983</v>
      </c>
    </row>
    <row r="24" spans="1:9">
      <c r="A24" s="2" t="s">
        <v>103</v>
      </c>
      <c r="B24" s="2" t="s">
        <v>2081</v>
      </c>
      <c r="C24" s="2" t="s">
        <v>2082</v>
      </c>
      <c r="D24" s="2" t="s">
        <v>2083</v>
      </c>
      <c r="E24" s="2" t="s">
        <v>2084</v>
      </c>
      <c r="F24" s="2" t="s">
        <v>2085</v>
      </c>
      <c r="G24" s="2" t="s">
        <v>19</v>
      </c>
      <c r="H24" s="2">
        <v>33982</v>
      </c>
      <c r="I24" t="s">
        <v>1975</v>
      </c>
    </row>
    <row r="25" spans="1:9">
      <c r="A25" s="2" t="s">
        <v>105</v>
      </c>
      <c r="B25" s="2" t="s">
        <v>2086</v>
      </c>
      <c r="C25" s="2" t="s">
        <v>2087</v>
      </c>
      <c r="D25" s="2" t="s">
        <v>2088</v>
      </c>
      <c r="E25" s="2" t="s">
        <v>2089</v>
      </c>
      <c r="F25" s="2" t="s">
        <v>2090</v>
      </c>
      <c r="G25" s="2" t="s">
        <v>19</v>
      </c>
      <c r="H25" s="2">
        <v>98682</v>
      </c>
      <c r="I25" t="s">
        <v>1975</v>
      </c>
    </row>
    <row r="26" spans="1:9">
      <c r="A26" s="2" t="s">
        <v>107</v>
      </c>
      <c r="B26" s="2" t="s">
        <v>2091</v>
      </c>
      <c r="C26" s="2" t="s">
        <v>2092</v>
      </c>
      <c r="D26" s="2" t="s">
        <v>2093</v>
      </c>
      <c r="E26" s="2" t="s">
        <v>2094</v>
      </c>
      <c r="F26" s="2" t="s">
        <v>2095</v>
      </c>
      <c r="G26" s="2" t="s">
        <v>19</v>
      </c>
      <c r="H26" s="2">
        <v>80150</v>
      </c>
      <c r="I26" t="s">
        <v>1983</v>
      </c>
    </row>
    <row r="27" spans="1:9">
      <c r="A27" s="2" t="s">
        <v>110</v>
      </c>
      <c r="B27" s="2" t="s">
        <v>2096</v>
      </c>
      <c r="C27" s="2"/>
      <c r="D27" s="2" t="s">
        <v>2097</v>
      </c>
      <c r="E27" s="2" t="s">
        <v>2098</v>
      </c>
      <c r="F27" s="2" t="s">
        <v>2085</v>
      </c>
      <c r="G27" s="2" t="s">
        <v>19</v>
      </c>
      <c r="H27" s="2">
        <v>33982</v>
      </c>
      <c r="I27" t="s">
        <v>1975</v>
      </c>
    </row>
    <row r="28" spans="1:9">
      <c r="A28" s="2" t="s">
        <v>113</v>
      </c>
      <c r="B28" s="2" t="s">
        <v>2099</v>
      </c>
      <c r="C28" s="2" t="s">
        <v>2100</v>
      </c>
      <c r="D28" s="2" t="s">
        <v>2101</v>
      </c>
      <c r="E28" s="2" t="s">
        <v>2102</v>
      </c>
      <c r="F28" s="2" t="s">
        <v>2103</v>
      </c>
      <c r="G28" s="2" t="s">
        <v>19</v>
      </c>
      <c r="H28" s="2">
        <v>94975</v>
      </c>
      <c r="I28" t="s">
        <v>1975</v>
      </c>
    </row>
    <row r="29" spans="1:9">
      <c r="A29" s="2" t="s">
        <v>116</v>
      </c>
      <c r="B29" s="2" t="s">
        <v>2104</v>
      </c>
      <c r="C29" s="2" t="s">
        <v>2105</v>
      </c>
      <c r="D29" s="2" t="s">
        <v>2106</v>
      </c>
      <c r="E29" s="2" t="s">
        <v>2107</v>
      </c>
      <c r="F29" s="2" t="s">
        <v>2108</v>
      </c>
      <c r="G29" s="2" t="s">
        <v>17</v>
      </c>
      <c r="H29" s="2" t="s">
        <v>2109</v>
      </c>
      <c r="I29" t="s">
        <v>1983</v>
      </c>
    </row>
    <row r="30" spans="1:9">
      <c r="A30" s="2" t="s">
        <v>118</v>
      </c>
      <c r="B30" s="2" t="s">
        <v>2110</v>
      </c>
      <c r="C30" s="2" t="s">
        <v>2111</v>
      </c>
      <c r="D30" s="2" t="s">
        <v>2112</v>
      </c>
      <c r="E30" s="2" t="s">
        <v>2113</v>
      </c>
      <c r="F30" s="2" t="s">
        <v>2114</v>
      </c>
      <c r="G30" s="2" t="s">
        <v>17</v>
      </c>
      <c r="H30" s="2" t="s">
        <v>2115</v>
      </c>
      <c r="I30" t="s">
        <v>1983</v>
      </c>
    </row>
    <row r="31" spans="1:9">
      <c r="A31" s="2" t="s">
        <v>121</v>
      </c>
      <c r="B31" s="2" t="s">
        <v>2116</v>
      </c>
      <c r="C31" s="2" t="s">
        <v>2117</v>
      </c>
      <c r="D31" s="2" t="s">
        <v>2118</v>
      </c>
      <c r="E31" s="2" t="s">
        <v>2119</v>
      </c>
      <c r="F31" s="2" t="s">
        <v>2120</v>
      </c>
      <c r="G31" s="2" t="s">
        <v>17</v>
      </c>
      <c r="H31" s="2" t="s">
        <v>2121</v>
      </c>
      <c r="I31" t="s">
        <v>1975</v>
      </c>
    </row>
    <row r="32" spans="1:9">
      <c r="A32" s="2" t="s">
        <v>123</v>
      </c>
      <c r="B32" s="2" t="s">
        <v>2122</v>
      </c>
      <c r="C32" s="2"/>
      <c r="D32" s="2" t="s">
        <v>2123</v>
      </c>
      <c r="E32" s="2" t="s">
        <v>2124</v>
      </c>
      <c r="F32" s="2" t="s">
        <v>2125</v>
      </c>
      <c r="G32" s="2" t="s">
        <v>19</v>
      </c>
      <c r="H32" s="2">
        <v>80044</v>
      </c>
      <c r="I32" t="s">
        <v>1983</v>
      </c>
    </row>
    <row r="33" spans="1:9">
      <c r="A33" s="2" t="s">
        <v>2126</v>
      </c>
      <c r="B33" s="2" t="s">
        <v>2127</v>
      </c>
      <c r="C33" s="2" t="s">
        <v>2128</v>
      </c>
      <c r="D33" s="2" t="s">
        <v>2129</v>
      </c>
      <c r="E33" s="2" t="s">
        <v>2130</v>
      </c>
      <c r="F33" s="2" t="s">
        <v>2131</v>
      </c>
      <c r="G33" s="2" t="s">
        <v>19</v>
      </c>
      <c r="H33" s="2">
        <v>11407</v>
      </c>
      <c r="I33" t="s">
        <v>1983</v>
      </c>
    </row>
    <row r="34" spans="1:9">
      <c r="A34" s="2" t="s">
        <v>2132</v>
      </c>
      <c r="B34" s="2" t="s">
        <v>2133</v>
      </c>
      <c r="C34" s="2" t="s">
        <v>2134</v>
      </c>
      <c r="D34" s="2" t="s">
        <v>2135</v>
      </c>
      <c r="E34" s="2" t="s">
        <v>2136</v>
      </c>
      <c r="F34" s="2" t="s">
        <v>2137</v>
      </c>
      <c r="G34" s="2" t="s">
        <v>17</v>
      </c>
      <c r="H34" s="2" t="s">
        <v>2138</v>
      </c>
      <c r="I34" t="s">
        <v>1975</v>
      </c>
    </row>
    <row r="35" spans="1:9">
      <c r="A35" s="2" t="s">
        <v>127</v>
      </c>
      <c r="B35" s="2" t="s">
        <v>2139</v>
      </c>
      <c r="C35" s="2" t="s">
        <v>2140</v>
      </c>
      <c r="D35" s="2"/>
      <c r="E35" s="2" t="s">
        <v>2141</v>
      </c>
      <c r="F35" s="2" t="s">
        <v>2142</v>
      </c>
      <c r="G35" s="2" t="s">
        <v>19</v>
      </c>
      <c r="H35" s="2">
        <v>58207</v>
      </c>
      <c r="I35" t="s">
        <v>1983</v>
      </c>
    </row>
    <row r="36" spans="1:9">
      <c r="A36" s="2" t="s">
        <v>129</v>
      </c>
      <c r="B36" s="2" t="s">
        <v>2143</v>
      </c>
      <c r="C36" s="2" t="s">
        <v>2144</v>
      </c>
      <c r="D36" s="2" t="s">
        <v>2145</v>
      </c>
      <c r="E36" s="2" t="s">
        <v>2146</v>
      </c>
      <c r="F36" s="2" t="s">
        <v>2147</v>
      </c>
      <c r="G36" s="2" t="s">
        <v>18</v>
      </c>
      <c r="H36" s="2" t="s">
        <v>2148</v>
      </c>
      <c r="I36" t="s">
        <v>1975</v>
      </c>
    </row>
    <row r="37" spans="1:9">
      <c r="A37" s="2" t="s">
        <v>132</v>
      </c>
      <c r="B37" s="2" t="s">
        <v>2149</v>
      </c>
      <c r="C37" s="2" t="s">
        <v>2150</v>
      </c>
      <c r="D37" s="2" t="s">
        <v>2151</v>
      </c>
      <c r="E37" s="2" t="s">
        <v>2152</v>
      </c>
      <c r="F37" s="2" t="s">
        <v>2153</v>
      </c>
      <c r="G37" s="2" t="s">
        <v>19</v>
      </c>
      <c r="H37" s="2">
        <v>25362</v>
      </c>
      <c r="I37" t="s">
        <v>1983</v>
      </c>
    </row>
    <row r="38" spans="1:9">
      <c r="A38" s="2" t="s">
        <v>134</v>
      </c>
      <c r="B38" s="2" t="s">
        <v>2154</v>
      </c>
      <c r="C38" s="2" t="s">
        <v>2155</v>
      </c>
      <c r="D38" s="2" t="s">
        <v>2156</v>
      </c>
      <c r="E38" s="2" t="s">
        <v>2157</v>
      </c>
      <c r="F38" s="2" t="s">
        <v>2158</v>
      </c>
      <c r="G38" s="2" t="s">
        <v>19</v>
      </c>
      <c r="H38" s="2">
        <v>72204</v>
      </c>
      <c r="I38" t="s">
        <v>1983</v>
      </c>
    </row>
    <row r="39" spans="1:9">
      <c r="A39" s="2" t="s">
        <v>136</v>
      </c>
      <c r="B39" s="2" t="s">
        <v>2159</v>
      </c>
      <c r="C39" s="2" t="s">
        <v>2160</v>
      </c>
      <c r="D39" s="2" t="s">
        <v>2161</v>
      </c>
      <c r="E39" s="2" t="s">
        <v>2162</v>
      </c>
      <c r="F39" s="2" t="s">
        <v>2163</v>
      </c>
      <c r="G39" s="2" t="s">
        <v>19</v>
      </c>
      <c r="H39" s="2">
        <v>80291</v>
      </c>
      <c r="I39" t="s">
        <v>1983</v>
      </c>
    </row>
    <row r="40" spans="1:9">
      <c r="A40" s="2" t="s">
        <v>138</v>
      </c>
      <c r="B40" s="2" t="s">
        <v>2164</v>
      </c>
      <c r="C40" s="2" t="s">
        <v>2165</v>
      </c>
      <c r="D40" s="2" t="s">
        <v>2166</v>
      </c>
      <c r="E40" s="2" t="s">
        <v>2167</v>
      </c>
      <c r="F40" s="2" t="s">
        <v>2168</v>
      </c>
      <c r="G40" s="2" t="s">
        <v>19</v>
      </c>
      <c r="H40" s="2">
        <v>55458</v>
      </c>
      <c r="I40" t="s">
        <v>1983</v>
      </c>
    </row>
    <row r="41" spans="1:9">
      <c r="A41" s="2" t="s">
        <v>140</v>
      </c>
      <c r="B41" s="2" t="s">
        <v>2169</v>
      </c>
      <c r="C41" s="2"/>
      <c r="D41" s="2"/>
      <c r="E41" s="2" t="s">
        <v>2170</v>
      </c>
      <c r="F41" s="2" t="s">
        <v>2171</v>
      </c>
      <c r="G41" s="2" t="s">
        <v>19</v>
      </c>
      <c r="H41" s="2">
        <v>85715</v>
      </c>
      <c r="I41" t="s">
        <v>1975</v>
      </c>
    </row>
    <row r="42" spans="1:9">
      <c r="A42" s="2" t="s">
        <v>142</v>
      </c>
      <c r="B42" s="2" t="s">
        <v>2172</v>
      </c>
      <c r="C42" s="2"/>
      <c r="D42" s="2" t="s">
        <v>2173</v>
      </c>
      <c r="E42" s="2" t="s">
        <v>2174</v>
      </c>
      <c r="F42" s="2" t="s">
        <v>2175</v>
      </c>
      <c r="G42" s="2" t="s">
        <v>19</v>
      </c>
      <c r="H42" s="2">
        <v>70116</v>
      </c>
      <c r="I42" t="s">
        <v>1983</v>
      </c>
    </row>
    <row r="43" spans="1:9">
      <c r="A43" s="2" t="s">
        <v>145</v>
      </c>
      <c r="B43" s="2" t="s">
        <v>2176</v>
      </c>
      <c r="C43" s="2" t="s">
        <v>2177</v>
      </c>
      <c r="D43" s="2" t="s">
        <v>2178</v>
      </c>
      <c r="E43" s="2" t="s">
        <v>2179</v>
      </c>
      <c r="F43" s="2" t="s">
        <v>2180</v>
      </c>
      <c r="G43" s="2" t="s">
        <v>19</v>
      </c>
      <c r="H43" s="2">
        <v>6183</v>
      </c>
      <c r="I43" t="s">
        <v>1975</v>
      </c>
    </row>
    <row r="44" spans="1:9">
      <c r="A44" s="2" t="s">
        <v>147</v>
      </c>
      <c r="B44" s="2" t="s">
        <v>2181</v>
      </c>
      <c r="C44" s="2" t="s">
        <v>2182</v>
      </c>
      <c r="D44" s="2" t="s">
        <v>2183</v>
      </c>
      <c r="E44" s="2" t="s">
        <v>2184</v>
      </c>
      <c r="F44" s="2" t="s">
        <v>2185</v>
      </c>
      <c r="G44" s="2" t="s">
        <v>19</v>
      </c>
      <c r="H44" s="2">
        <v>84409</v>
      </c>
      <c r="I44" t="s">
        <v>1975</v>
      </c>
    </row>
    <row r="45" spans="1:9">
      <c r="A45" s="2" t="s">
        <v>150</v>
      </c>
      <c r="B45" s="2" t="s">
        <v>2186</v>
      </c>
      <c r="C45" s="2"/>
      <c r="D45" s="2" t="s">
        <v>2187</v>
      </c>
      <c r="E45" s="2" t="s">
        <v>2188</v>
      </c>
      <c r="F45" s="2" t="s">
        <v>2189</v>
      </c>
      <c r="G45" s="2" t="s">
        <v>19</v>
      </c>
      <c r="H45" s="2">
        <v>2216</v>
      </c>
      <c r="I45" t="s">
        <v>1983</v>
      </c>
    </row>
    <row r="46" spans="1:9">
      <c r="A46" s="2" t="s">
        <v>153</v>
      </c>
      <c r="B46" s="2" t="s">
        <v>2190</v>
      </c>
      <c r="C46" s="2" t="s">
        <v>2191</v>
      </c>
      <c r="D46" s="2" t="s">
        <v>2192</v>
      </c>
      <c r="E46" s="2" t="s">
        <v>2193</v>
      </c>
      <c r="F46" s="2" t="s">
        <v>2194</v>
      </c>
      <c r="G46" s="2" t="s">
        <v>19</v>
      </c>
      <c r="H46" s="2">
        <v>14604</v>
      </c>
      <c r="I46" t="s">
        <v>1975</v>
      </c>
    </row>
    <row r="47" spans="1:9">
      <c r="A47" s="2" t="s">
        <v>155</v>
      </c>
      <c r="B47" s="2" t="s">
        <v>2195</v>
      </c>
      <c r="C47" s="2" t="s">
        <v>2196</v>
      </c>
      <c r="D47" s="2" t="s">
        <v>2197</v>
      </c>
      <c r="E47" s="2" t="s">
        <v>2198</v>
      </c>
      <c r="F47" s="2" t="s">
        <v>2199</v>
      </c>
      <c r="G47" s="2" t="s">
        <v>19</v>
      </c>
      <c r="H47" s="2">
        <v>10469</v>
      </c>
      <c r="I47" t="s">
        <v>1983</v>
      </c>
    </row>
    <row r="48" spans="1:9">
      <c r="A48" s="2" t="s">
        <v>158</v>
      </c>
      <c r="B48" s="2" t="s">
        <v>2200</v>
      </c>
      <c r="C48" s="2"/>
      <c r="D48" s="2" t="s">
        <v>2201</v>
      </c>
      <c r="E48" s="2" t="s">
        <v>2202</v>
      </c>
      <c r="F48" s="2" t="s">
        <v>2203</v>
      </c>
      <c r="G48" s="2" t="s">
        <v>19</v>
      </c>
      <c r="H48" s="2">
        <v>35205</v>
      </c>
      <c r="I48" t="s">
        <v>1975</v>
      </c>
    </row>
    <row r="49" spans="1:9">
      <c r="A49" s="2" t="s">
        <v>161</v>
      </c>
      <c r="B49" s="2" t="s">
        <v>2204</v>
      </c>
      <c r="C49" s="2" t="s">
        <v>2205</v>
      </c>
      <c r="D49" s="2" t="s">
        <v>2206</v>
      </c>
      <c r="E49" s="2" t="s">
        <v>2207</v>
      </c>
      <c r="F49" s="2" t="s">
        <v>2208</v>
      </c>
      <c r="G49" s="2" t="s">
        <v>19</v>
      </c>
      <c r="H49" s="2">
        <v>92415</v>
      </c>
      <c r="I49" t="s">
        <v>1975</v>
      </c>
    </row>
    <row r="50" spans="1:9">
      <c r="A50" s="2" t="s">
        <v>164</v>
      </c>
      <c r="B50" s="2" t="s">
        <v>2209</v>
      </c>
      <c r="C50" s="2" t="s">
        <v>2210</v>
      </c>
      <c r="D50" s="2"/>
      <c r="E50" s="2" t="s">
        <v>2211</v>
      </c>
      <c r="F50" s="2" t="s">
        <v>2212</v>
      </c>
      <c r="G50" s="2" t="s">
        <v>19</v>
      </c>
      <c r="H50" s="2">
        <v>23514</v>
      </c>
      <c r="I50" t="s">
        <v>1983</v>
      </c>
    </row>
    <row r="51" spans="1:9">
      <c r="A51" s="2" t="s">
        <v>167</v>
      </c>
      <c r="B51" s="2" t="s">
        <v>2213</v>
      </c>
      <c r="C51" s="2" t="s">
        <v>2214</v>
      </c>
      <c r="D51" s="2" t="s">
        <v>2215</v>
      </c>
      <c r="E51" s="2" t="s">
        <v>2216</v>
      </c>
      <c r="F51" s="2" t="s">
        <v>2217</v>
      </c>
      <c r="G51" s="2" t="s">
        <v>19</v>
      </c>
      <c r="H51" s="2">
        <v>20409</v>
      </c>
      <c r="I51" t="s">
        <v>1983</v>
      </c>
    </row>
    <row r="52" spans="1:9">
      <c r="A52" s="2" t="s">
        <v>169</v>
      </c>
      <c r="B52" s="2" t="s">
        <v>2218</v>
      </c>
      <c r="C52" s="2" t="s">
        <v>2219</v>
      </c>
      <c r="D52" s="2" t="s">
        <v>2220</v>
      </c>
      <c r="E52" s="2" t="s">
        <v>2221</v>
      </c>
      <c r="F52" s="2" t="s">
        <v>2222</v>
      </c>
      <c r="G52" s="2" t="s">
        <v>19</v>
      </c>
      <c r="H52" s="2">
        <v>33355</v>
      </c>
      <c r="I52" t="s">
        <v>1983</v>
      </c>
    </row>
    <row r="53" spans="1:9">
      <c r="A53" s="2" t="s">
        <v>172</v>
      </c>
      <c r="B53" s="2" t="s">
        <v>2223</v>
      </c>
      <c r="C53" s="2" t="s">
        <v>2224</v>
      </c>
      <c r="D53" s="2" t="s">
        <v>2225</v>
      </c>
      <c r="E53" s="2" t="s">
        <v>2226</v>
      </c>
      <c r="F53" s="2" t="s">
        <v>1981</v>
      </c>
      <c r="G53" s="2" t="s">
        <v>17</v>
      </c>
      <c r="H53" s="2" t="s">
        <v>1982</v>
      </c>
      <c r="I53" t="s">
        <v>1975</v>
      </c>
    </row>
    <row r="54" spans="1:9">
      <c r="A54" s="2" t="s">
        <v>174</v>
      </c>
      <c r="B54" s="2" t="s">
        <v>2227</v>
      </c>
      <c r="C54" s="2" t="s">
        <v>2228</v>
      </c>
      <c r="D54" s="2"/>
      <c r="E54" s="2" t="s">
        <v>2229</v>
      </c>
      <c r="F54" s="2" t="s">
        <v>2230</v>
      </c>
      <c r="G54" s="2" t="s">
        <v>18</v>
      </c>
      <c r="H54" s="2" t="s">
        <v>2231</v>
      </c>
      <c r="I54" t="s">
        <v>1983</v>
      </c>
    </row>
    <row r="55" spans="1:9">
      <c r="A55" s="2" t="s">
        <v>2232</v>
      </c>
      <c r="B55" s="2" t="s">
        <v>2233</v>
      </c>
      <c r="C55" s="2" t="s">
        <v>2234</v>
      </c>
      <c r="D55" s="2" t="s">
        <v>2235</v>
      </c>
      <c r="E55" s="2" t="s">
        <v>2236</v>
      </c>
      <c r="F55" s="2" t="s">
        <v>2237</v>
      </c>
      <c r="G55" s="2" t="s">
        <v>19</v>
      </c>
      <c r="H55" s="2">
        <v>84605</v>
      </c>
      <c r="I55" t="s">
        <v>1983</v>
      </c>
    </row>
    <row r="56" spans="1:9">
      <c r="A56" s="2" t="s">
        <v>176</v>
      </c>
      <c r="B56" s="2" t="s">
        <v>2238</v>
      </c>
      <c r="C56" s="2" t="s">
        <v>2239</v>
      </c>
      <c r="D56" s="2" t="s">
        <v>2240</v>
      </c>
      <c r="E56" s="2" t="s">
        <v>2241</v>
      </c>
      <c r="F56" s="2" t="s">
        <v>2242</v>
      </c>
      <c r="G56" s="2" t="s">
        <v>19</v>
      </c>
      <c r="H56" s="2">
        <v>43666</v>
      </c>
      <c r="I56" t="s">
        <v>1983</v>
      </c>
    </row>
    <row r="57" spans="1:9">
      <c r="A57" s="2" t="s">
        <v>178</v>
      </c>
      <c r="B57" s="2" t="s">
        <v>2243</v>
      </c>
      <c r="C57" s="2"/>
      <c r="D57" s="2" t="s">
        <v>2244</v>
      </c>
      <c r="E57" s="2" t="s">
        <v>2245</v>
      </c>
      <c r="F57" s="2" t="s">
        <v>2246</v>
      </c>
      <c r="G57" s="2" t="s">
        <v>19</v>
      </c>
      <c r="H57" s="2">
        <v>8650</v>
      </c>
      <c r="I57" t="s">
        <v>1983</v>
      </c>
    </row>
    <row r="58" spans="1:9">
      <c r="A58" s="2" t="s">
        <v>181</v>
      </c>
      <c r="B58" s="2" t="s">
        <v>2247</v>
      </c>
      <c r="C58" s="2" t="s">
        <v>2248</v>
      </c>
      <c r="D58" s="2" t="s">
        <v>2249</v>
      </c>
      <c r="E58" s="2" t="s">
        <v>2250</v>
      </c>
      <c r="F58" s="2" t="s">
        <v>2251</v>
      </c>
      <c r="G58" s="2" t="s">
        <v>19</v>
      </c>
      <c r="H58" s="2">
        <v>33686</v>
      </c>
      <c r="I58" t="s">
        <v>1975</v>
      </c>
    </row>
    <row r="59" spans="1:9">
      <c r="A59" s="2" t="s">
        <v>183</v>
      </c>
      <c r="B59" s="2" t="s">
        <v>2252</v>
      </c>
      <c r="C59" s="2" t="s">
        <v>2253</v>
      </c>
      <c r="D59" s="2" t="s">
        <v>2254</v>
      </c>
      <c r="E59" s="2" t="s">
        <v>2255</v>
      </c>
      <c r="F59" s="2" t="s">
        <v>2256</v>
      </c>
      <c r="G59" s="2" t="s">
        <v>19</v>
      </c>
      <c r="H59" s="2">
        <v>32590</v>
      </c>
      <c r="I59" t="s">
        <v>1983</v>
      </c>
    </row>
    <row r="60" spans="1:9">
      <c r="A60" s="2" t="s">
        <v>186</v>
      </c>
      <c r="B60" s="2" t="s">
        <v>2257</v>
      </c>
      <c r="C60" s="2"/>
      <c r="D60" s="2" t="s">
        <v>2258</v>
      </c>
      <c r="E60" s="2" t="s">
        <v>2259</v>
      </c>
      <c r="F60" s="2" t="s">
        <v>2260</v>
      </c>
      <c r="G60" s="2" t="s">
        <v>19</v>
      </c>
      <c r="H60" s="2">
        <v>33543</v>
      </c>
      <c r="I60" t="s">
        <v>1975</v>
      </c>
    </row>
    <row r="61" spans="1:9">
      <c r="A61" s="2" t="s">
        <v>188</v>
      </c>
      <c r="B61" s="2" t="s">
        <v>2261</v>
      </c>
      <c r="C61" s="2" t="s">
        <v>2262</v>
      </c>
      <c r="D61" s="2"/>
      <c r="E61" s="2" t="s">
        <v>2263</v>
      </c>
      <c r="F61" s="2" t="s">
        <v>2264</v>
      </c>
      <c r="G61" s="2" t="s">
        <v>19</v>
      </c>
      <c r="H61" s="2">
        <v>55123</v>
      </c>
      <c r="I61" t="s">
        <v>1975</v>
      </c>
    </row>
    <row r="62" spans="1:9">
      <c r="A62" s="2" t="s">
        <v>190</v>
      </c>
      <c r="B62" s="2" t="s">
        <v>2265</v>
      </c>
      <c r="C62" s="2" t="s">
        <v>2266</v>
      </c>
      <c r="D62" s="2" t="s">
        <v>2267</v>
      </c>
      <c r="E62" s="2" t="s">
        <v>2268</v>
      </c>
      <c r="F62" s="2" t="s">
        <v>2269</v>
      </c>
      <c r="G62" s="2" t="s">
        <v>19</v>
      </c>
      <c r="H62" s="2">
        <v>46862</v>
      </c>
      <c r="I62" t="s">
        <v>1983</v>
      </c>
    </row>
    <row r="63" spans="1:9">
      <c r="A63" s="2" t="s">
        <v>192</v>
      </c>
      <c r="B63" s="2" t="s">
        <v>2270</v>
      </c>
      <c r="C63" s="2"/>
      <c r="D63" s="2" t="s">
        <v>2271</v>
      </c>
      <c r="E63" s="2" t="s">
        <v>2272</v>
      </c>
      <c r="F63" s="2" t="s">
        <v>2273</v>
      </c>
      <c r="G63" s="2" t="s">
        <v>18</v>
      </c>
      <c r="H63" s="2" t="s">
        <v>2274</v>
      </c>
      <c r="I63" t="s">
        <v>1975</v>
      </c>
    </row>
    <row r="64" spans="1:9">
      <c r="A64" s="2" t="s">
        <v>195</v>
      </c>
      <c r="B64" s="2" t="s">
        <v>2275</v>
      </c>
      <c r="C64" s="2"/>
      <c r="D64" s="2" t="s">
        <v>2276</v>
      </c>
      <c r="E64" s="2" t="s">
        <v>2277</v>
      </c>
      <c r="F64" s="2" t="s">
        <v>2278</v>
      </c>
      <c r="G64" s="2" t="s">
        <v>19</v>
      </c>
      <c r="H64" s="2">
        <v>34114</v>
      </c>
      <c r="I64" t="s">
        <v>1975</v>
      </c>
    </row>
    <row r="65" spans="1:9">
      <c r="A65" s="2" t="s">
        <v>197</v>
      </c>
      <c r="B65" s="2" t="s">
        <v>2279</v>
      </c>
      <c r="C65" s="2" t="s">
        <v>2280</v>
      </c>
      <c r="D65" s="2" t="s">
        <v>2281</v>
      </c>
      <c r="E65" s="2" t="s">
        <v>2282</v>
      </c>
      <c r="F65" s="2" t="s">
        <v>2283</v>
      </c>
      <c r="G65" s="2" t="s">
        <v>19</v>
      </c>
      <c r="H65" s="2">
        <v>60681</v>
      </c>
      <c r="I65" t="s">
        <v>1983</v>
      </c>
    </row>
    <row r="66" spans="1:9">
      <c r="A66" s="2" t="s">
        <v>199</v>
      </c>
      <c r="B66" s="2" t="s">
        <v>2284</v>
      </c>
      <c r="C66" s="2"/>
      <c r="D66" s="2" t="s">
        <v>2285</v>
      </c>
      <c r="E66" s="2" t="s">
        <v>2286</v>
      </c>
      <c r="F66" s="2" t="s">
        <v>2287</v>
      </c>
      <c r="G66" s="2" t="s">
        <v>19</v>
      </c>
      <c r="H66" s="2">
        <v>7104</v>
      </c>
      <c r="I66" t="s">
        <v>1975</v>
      </c>
    </row>
    <row r="67" spans="1:9">
      <c r="A67" s="2" t="s">
        <v>201</v>
      </c>
      <c r="B67" s="2" t="s">
        <v>2288</v>
      </c>
      <c r="C67" s="2" t="s">
        <v>2289</v>
      </c>
      <c r="D67" s="2" t="s">
        <v>2290</v>
      </c>
      <c r="E67" s="2" t="s">
        <v>2291</v>
      </c>
      <c r="F67" s="2" t="s">
        <v>2292</v>
      </c>
      <c r="G67" s="2" t="s">
        <v>19</v>
      </c>
      <c r="H67" s="2">
        <v>22184</v>
      </c>
      <c r="I67" t="s">
        <v>1975</v>
      </c>
    </row>
    <row r="68" spans="1:9">
      <c r="A68" s="2" t="s">
        <v>203</v>
      </c>
      <c r="B68" s="2" t="s">
        <v>2293</v>
      </c>
      <c r="C68" s="2" t="s">
        <v>2294</v>
      </c>
      <c r="D68" s="2" t="s">
        <v>2295</v>
      </c>
      <c r="E68" s="2" t="s">
        <v>2296</v>
      </c>
      <c r="F68" s="2" t="s">
        <v>2297</v>
      </c>
      <c r="G68" s="2" t="s">
        <v>19</v>
      </c>
      <c r="H68" s="2">
        <v>76178</v>
      </c>
      <c r="I68" t="s">
        <v>1975</v>
      </c>
    </row>
    <row r="69" spans="1:9">
      <c r="A69" s="2" t="s">
        <v>206</v>
      </c>
      <c r="B69" s="2" t="s">
        <v>2298</v>
      </c>
      <c r="C69" s="2" t="s">
        <v>2299</v>
      </c>
      <c r="D69" s="2" t="s">
        <v>2300</v>
      </c>
      <c r="E69" s="2" t="s">
        <v>2301</v>
      </c>
      <c r="F69" s="2" t="s">
        <v>2302</v>
      </c>
      <c r="G69" s="2" t="s">
        <v>19</v>
      </c>
      <c r="H69" s="2">
        <v>91505</v>
      </c>
      <c r="I69" t="s">
        <v>1983</v>
      </c>
    </row>
    <row r="70" spans="1:9">
      <c r="A70" s="2" t="s">
        <v>208</v>
      </c>
      <c r="B70" s="2" t="s">
        <v>2303</v>
      </c>
      <c r="C70" s="2" t="s">
        <v>2304</v>
      </c>
      <c r="D70" s="2" t="s">
        <v>2305</v>
      </c>
      <c r="E70" s="2" t="s">
        <v>2306</v>
      </c>
      <c r="F70" s="2" t="s">
        <v>2307</v>
      </c>
      <c r="G70" s="2" t="s">
        <v>19</v>
      </c>
      <c r="H70" s="2">
        <v>37665</v>
      </c>
      <c r="I70" t="s">
        <v>1983</v>
      </c>
    </row>
    <row r="71" spans="1:9">
      <c r="A71" s="2" t="s">
        <v>211</v>
      </c>
      <c r="B71" s="2" t="s">
        <v>2308</v>
      </c>
      <c r="C71" s="2" t="s">
        <v>2309</v>
      </c>
      <c r="D71" s="2" t="s">
        <v>2310</v>
      </c>
      <c r="E71" s="2" t="s">
        <v>2311</v>
      </c>
      <c r="F71" s="2" t="s">
        <v>2312</v>
      </c>
      <c r="G71" s="2" t="s">
        <v>18</v>
      </c>
      <c r="H71" s="2" t="s">
        <v>2313</v>
      </c>
      <c r="I71" t="s">
        <v>1975</v>
      </c>
    </row>
    <row r="72" spans="1:9">
      <c r="A72" s="2" t="s">
        <v>213</v>
      </c>
      <c r="B72" s="2" t="s">
        <v>2314</v>
      </c>
      <c r="C72" s="2" t="s">
        <v>2315</v>
      </c>
      <c r="D72" s="2" t="s">
        <v>2316</v>
      </c>
      <c r="E72" s="2" t="s">
        <v>2317</v>
      </c>
      <c r="F72" s="2" t="s">
        <v>2318</v>
      </c>
      <c r="G72" s="2" t="s">
        <v>19</v>
      </c>
      <c r="H72" s="2">
        <v>43231</v>
      </c>
      <c r="I72" t="s">
        <v>1983</v>
      </c>
    </row>
    <row r="73" spans="1:9">
      <c r="A73" s="2" t="s">
        <v>215</v>
      </c>
      <c r="B73" s="2" t="s">
        <v>2319</v>
      </c>
      <c r="C73" s="2" t="s">
        <v>2320</v>
      </c>
      <c r="D73" s="2" t="s">
        <v>2321</v>
      </c>
      <c r="E73" s="2" t="s">
        <v>2322</v>
      </c>
      <c r="F73" s="2" t="s">
        <v>2323</v>
      </c>
      <c r="G73" s="2" t="s">
        <v>17</v>
      </c>
      <c r="H73" s="2" t="s">
        <v>2324</v>
      </c>
      <c r="I73" t="s">
        <v>1983</v>
      </c>
    </row>
    <row r="74" spans="1:9">
      <c r="A74" s="2" t="s">
        <v>217</v>
      </c>
      <c r="B74" s="2" t="s">
        <v>2325</v>
      </c>
      <c r="C74" s="2"/>
      <c r="D74" s="2" t="s">
        <v>2326</v>
      </c>
      <c r="E74" s="2" t="s">
        <v>2327</v>
      </c>
      <c r="F74" s="2" t="s">
        <v>2175</v>
      </c>
      <c r="G74" s="2" t="s">
        <v>19</v>
      </c>
      <c r="H74" s="2">
        <v>70183</v>
      </c>
      <c r="I74" t="s">
        <v>1983</v>
      </c>
    </row>
    <row r="75" spans="1:9">
      <c r="A75" s="2" t="s">
        <v>220</v>
      </c>
      <c r="B75" s="2" t="s">
        <v>2328</v>
      </c>
      <c r="C75" s="2"/>
      <c r="D75" s="2" t="s">
        <v>2329</v>
      </c>
      <c r="E75" s="2" t="s">
        <v>2330</v>
      </c>
      <c r="F75" s="2" t="s">
        <v>2331</v>
      </c>
      <c r="G75" s="2" t="s">
        <v>19</v>
      </c>
      <c r="H75" s="2">
        <v>28230</v>
      </c>
      <c r="I75" t="s">
        <v>1975</v>
      </c>
    </row>
    <row r="76" spans="1:9">
      <c r="A76" s="2" t="s">
        <v>222</v>
      </c>
      <c r="B76" s="2" t="s">
        <v>2332</v>
      </c>
      <c r="C76" s="2" t="s">
        <v>2333</v>
      </c>
      <c r="D76" s="2" t="s">
        <v>2334</v>
      </c>
      <c r="E76" s="2" t="s">
        <v>2335</v>
      </c>
      <c r="F76" s="2" t="s">
        <v>1994</v>
      </c>
      <c r="G76" s="2" t="s">
        <v>19</v>
      </c>
      <c r="H76" s="2">
        <v>1114</v>
      </c>
      <c r="I76" t="s">
        <v>1975</v>
      </c>
    </row>
    <row r="77" spans="1:9">
      <c r="A77" s="2" t="s">
        <v>225</v>
      </c>
      <c r="B77" s="2" t="s">
        <v>2336</v>
      </c>
      <c r="C77" s="2" t="s">
        <v>2337</v>
      </c>
      <c r="D77" s="2" t="s">
        <v>2338</v>
      </c>
      <c r="E77" s="2" t="s">
        <v>2339</v>
      </c>
      <c r="F77" s="2" t="s">
        <v>2340</v>
      </c>
      <c r="G77" s="2" t="s">
        <v>17</v>
      </c>
      <c r="H77" s="2" t="s">
        <v>2341</v>
      </c>
      <c r="I77" t="s">
        <v>1975</v>
      </c>
    </row>
    <row r="78" spans="1:9">
      <c r="A78" s="2" t="s">
        <v>228</v>
      </c>
      <c r="B78" s="2" t="s">
        <v>2342</v>
      </c>
      <c r="C78" s="2"/>
      <c r="D78" s="2" t="s">
        <v>2343</v>
      </c>
      <c r="E78" s="2" t="s">
        <v>2344</v>
      </c>
      <c r="F78" s="2" t="s">
        <v>2345</v>
      </c>
      <c r="G78" s="2" t="s">
        <v>17</v>
      </c>
      <c r="H78" s="2" t="s">
        <v>2346</v>
      </c>
      <c r="I78" t="s">
        <v>1975</v>
      </c>
    </row>
    <row r="79" spans="1:9">
      <c r="A79" s="2" t="s">
        <v>231</v>
      </c>
      <c r="B79" s="2" t="s">
        <v>2347</v>
      </c>
      <c r="C79" s="2" t="s">
        <v>2348</v>
      </c>
      <c r="D79" s="2" t="s">
        <v>2349</v>
      </c>
      <c r="E79" s="2" t="s">
        <v>2350</v>
      </c>
      <c r="F79" s="2" t="s">
        <v>2351</v>
      </c>
      <c r="G79" s="2" t="s">
        <v>19</v>
      </c>
      <c r="H79" s="2">
        <v>79705</v>
      </c>
      <c r="I79" t="s">
        <v>1983</v>
      </c>
    </row>
    <row r="80" spans="1:9">
      <c r="A80" s="2" t="s">
        <v>233</v>
      </c>
      <c r="B80" s="2" t="s">
        <v>2352</v>
      </c>
      <c r="C80" s="2" t="s">
        <v>2353</v>
      </c>
      <c r="D80" s="2" t="s">
        <v>2354</v>
      </c>
      <c r="E80" s="2" t="s">
        <v>2355</v>
      </c>
      <c r="F80" s="2" t="s">
        <v>2356</v>
      </c>
      <c r="G80" s="2" t="s">
        <v>19</v>
      </c>
      <c r="H80" s="2">
        <v>75323</v>
      </c>
      <c r="I80" t="s">
        <v>1975</v>
      </c>
    </row>
    <row r="81" spans="1:9">
      <c r="A81" s="2" t="s">
        <v>235</v>
      </c>
      <c r="B81" s="2" t="s">
        <v>2357</v>
      </c>
      <c r="C81" s="2" t="s">
        <v>2358</v>
      </c>
      <c r="D81" s="2" t="s">
        <v>2359</v>
      </c>
      <c r="E81" s="2" t="s">
        <v>2360</v>
      </c>
      <c r="F81" s="2" t="s">
        <v>2361</v>
      </c>
      <c r="G81" s="2" t="s">
        <v>19</v>
      </c>
      <c r="H81" s="2">
        <v>20189</v>
      </c>
      <c r="I81" t="s">
        <v>1983</v>
      </c>
    </row>
    <row r="82" spans="1:9">
      <c r="A82" s="2" t="s">
        <v>238</v>
      </c>
      <c r="B82" s="2" t="s">
        <v>2362</v>
      </c>
      <c r="C82" s="2" t="s">
        <v>2363</v>
      </c>
      <c r="D82" s="2" t="s">
        <v>2364</v>
      </c>
      <c r="E82" s="2" t="s">
        <v>2365</v>
      </c>
      <c r="F82" s="2" t="s">
        <v>2366</v>
      </c>
      <c r="G82" s="2" t="s">
        <v>19</v>
      </c>
      <c r="H82" s="2">
        <v>94627</v>
      </c>
      <c r="I82" t="s">
        <v>1975</v>
      </c>
    </row>
    <row r="83" spans="1:9">
      <c r="A83" s="2" t="s">
        <v>241</v>
      </c>
      <c r="B83" s="2" t="s">
        <v>2367</v>
      </c>
      <c r="C83" s="2" t="s">
        <v>2368</v>
      </c>
      <c r="D83" s="2" t="s">
        <v>2369</v>
      </c>
      <c r="E83" s="2" t="s">
        <v>2370</v>
      </c>
      <c r="F83" s="2" t="s">
        <v>2371</v>
      </c>
      <c r="G83" s="2" t="s">
        <v>19</v>
      </c>
      <c r="H83" s="2">
        <v>80930</v>
      </c>
      <c r="I83" t="s">
        <v>1975</v>
      </c>
    </row>
    <row r="84" spans="1:9">
      <c r="A84" s="2" t="s">
        <v>243</v>
      </c>
      <c r="B84" s="2" t="s">
        <v>2372</v>
      </c>
      <c r="C84" s="2" t="s">
        <v>2373</v>
      </c>
      <c r="D84" s="2" t="s">
        <v>2374</v>
      </c>
      <c r="E84" s="2" t="s">
        <v>2375</v>
      </c>
      <c r="F84" s="2" t="s">
        <v>2376</v>
      </c>
      <c r="G84" s="2" t="s">
        <v>17</v>
      </c>
      <c r="H84" s="2" t="s">
        <v>2377</v>
      </c>
      <c r="I84" t="s">
        <v>1975</v>
      </c>
    </row>
    <row r="85" spans="1:9">
      <c r="A85" s="2" t="s">
        <v>246</v>
      </c>
      <c r="B85" s="2" t="s">
        <v>2378</v>
      </c>
      <c r="C85" s="2"/>
      <c r="D85" s="2" t="s">
        <v>2379</v>
      </c>
      <c r="E85" s="2" t="s">
        <v>2380</v>
      </c>
      <c r="F85" s="2" t="s">
        <v>2381</v>
      </c>
      <c r="G85" s="2" t="s">
        <v>19</v>
      </c>
      <c r="H85" s="2">
        <v>14205</v>
      </c>
      <c r="I85" t="s">
        <v>1975</v>
      </c>
    </row>
    <row r="86" spans="1:9">
      <c r="A86" s="2" t="s">
        <v>248</v>
      </c>
      <c r="B86" s="2" t="s">
        <v>2382</v>
      </c>
      <c r="C86" s="2" t="s">
        <v>2383</v>
      </c>
      <c r="D86" s="2" t="s">
        <v>2384</v>
      </c>
      <c r="E86" s="2" t="s">
        <v>2385</v>
      </c>
      <c r="F86" s="2" t="s">
        <v>2386</v>
      </c>
      <c r="G86" s="2" t="s">
        <v>19</v>
      </c>
      <c r="H86" s="2">
        <v>93715</v>
      </c>
      <c r="I86" t="s">
        <v>1983</v>
      </c>
    </row>
    <row r="87" spans="1:9">
      <c r="A87" s="2" t="s">
        <v>250</v>
      </c>
      <c r="B87" s="2" t="s">
        <v>2387</v>
      </c>
      <c r="C87" s="2" t="s">
        <v>2388</v>
      </c>
      <c r="D87" s="2"/>
      <c r="E87" s="2" t="s">
        <v>2389</v>
      </c>
      <c r="F87" s="2" t="s">
        <v>2297</v>
      </c>
      <c r="G87" s="2" t="s">
        <v>19</v>
      </c>
      <c r="H87" s="2">
        <v>76121</v>
      </c>
      <c r="I87" t="s">
        <v>1983</v>
      </c>
    </row>
    <row r="88" spans="1:9">
      <c r="A88" s="2" t="s">
        <v>347</v>
      </c>
      <c r="B88" s="2" t="s">
        <v>2390</v>
      </c>
      <c r="C88" s="2" t="s">
        <v>2391</v>
      </c>
      <c r="D88" s="2"/>
      <c r="E88" s="2" t="s">
        <v>2392</v>
      </c>
      <c r="F88" s="2" t="s">
        <v>2393</v>
      </c>
      <c r="G88" s="2" t="s">
        <v>19</v>
      </c>
      <c r="H88" s="2">
        <v>73179</v>
      </c>
      <c r="I88" t="s">
        <v>1975</v>
      </c>
    </row>
    <row r="89" spans="1:9">
      <c r="A89" s="2" t="s">
        <v>253</v>
      </c>
      <c r="B89" s="2" t="s">
        <v>2394</v>
      </c>
      <c r="C89" s="2" t="s">
        <v>2395</v>
      </c>
      <c r="D89" s="2"/>
      <c r="E89" s="2" t="s">
        <v>2396</v>
      </c>
      <c r="F89" s="2" t="s">
        <v>2397</v>
      </c>
      <c r="G89" s="2" t="s">
        <v>19</v>
      </c>
      <c r="H89" s="2">
        <v>77705</v>
      </c>
      <c r="I89" t="s">
        <v>1983</v>
      </c>
    </row>
    <row r="90" spans="1:9">
      <c r="A90" s="2" t="s">
        <v>255</v>
      </c>
      <c r="B90" s="2" t="s">
        <v>2398</v>
      </c>
      <c r="C90" s="2" t="s">
        <v>2399</v>
      </c>
      <c r="D90" s="2"/>
      <c r="E90" s="2" t="s">
        <v>2400</v>
      </c>
      <c r="F90" s="2" t="s">
        <v>2401</v>
      </c>
      <c r="G90" s="2" t="s">
        <v>19</v>
      </c>
      <c r="H90" s="2">
        <v>89519</v>
      </c>
      <c r="I90" t="s">
        <v>1983</v>
      </c>
    </row>
    <row r="91" spans="1:9">
      <c r="A91" s="2" t="s">
        <v>257</v>
      </c>
      <c r="B91" s="2" t="s">
        <v>2402</v>
      </c>
      <c r="C91" s="2" t="s">
        <v>2403</v>
      </c>
      <c r="D91" s="2" t="s">
        <v>2404</v>
      </c>
      <c r="E91" s="2" t="s">
        <v>2405</v>
      </c>
      <c r="F91" s="2" t="s">
        <v>2406</v>
      </c>
      <c r="G91" s="2" t="s">
        <v>19</v>
      </c>
      <c r="H91" s="2">
        <v>64136</v>
      </c>
      <c r="I91" t="s">
        <v>1983</v>
      </c>
    </row>
    <row r="92" spans="1:9">
      <c r="A92" s="2" t="s">
        <v>259</v>
      </c>
      <c r="B92" s="2" t="s">
        <v>2407</v>
      </c>
      <c r="C92" s="2"/>
      <c r="D92" s="2" t="s">
        <v>2408</v>
      </c>
      <c r="E92" s="2" t="s">
        <v>2409</v>
      </c>
      <c r="F92" s="2" t="s">
        <v>1981</v>
      </c>
      <c r="G92" s="2" t="s">
        <v>17</v>
      </c>
      <c r="H92" s="2" t="s">
        <v>1982</v>
      </c>
      <c r="I92" t="s">
        <v>1975</v>
      </c>
    </row>
    <row r="93" spans="1:9">
      <c r="A93" s="2" t="s">
        <v>261</v>
      </c>
      <c r="B93" s="2" t="s">
        <v>2410</v>
      </c>
      <c r="C93" s="2" t="s">
        <v>2411</v>
      </c>
      <c r="D93" s="2" t="s">
        <v>2412</v>
      </c>
      <c r="E93" s="2" t="s">
        <v>2413</v>
      </c>
      <c r="F93" s="2" t="s">
        <v>2414</v>
      </c>
      <c r="G93" s="2" t="s">
        <v>19</v>
      </c>
      <c r="H93" s="2">
        <v>92878</v>
      </c>
      <c r="I93" t="s">
        <v>1983</v>
      </c>
    </row>
    <row r="94" spans="1:9">
      <c r="A94" s="2" t="s">
        <v>263</v>
      </c>
      <c r="B94" s="2" t="s">
        <v>2415</v>
      </c>
      <c r="C94" s="2"/>
      <c r="D94" s="2" t="s">
        <v>2416</v>
      </c>
      <c r="E94" s="2" t="s">
        <v>2417</v>
      </c>
      <c r="F94" s="2" t="s">
        <v>2418</v>
      </c>
      <c r="G94" s="2" t="s">
        <v>19</v>
      </c>
      <c r="H94" s="2">
        <v>78759</v>
      </c>
      <c r="I94" t="s">
        <v>1975</v>
      </c>
    </row>
    <row r="95" spans="1:9">
      <c r="A95" s="2" t="s">
        <v>265</v>
      </c>
      <c r="B95" s="2" t="s">
        <v>2419</v>
      </c>
      <c r="C95" s="2" t="s">
        <v>2420</v>
      </c>
      <c r="D95" s="2" t="s">
        <v>2421</v>
      </c>
      <c r="E95" s="2" t="s">
        <v>2422</v>
      </c>
      <c r="F95" s="2" t="s">
        <v>2423</v>
      </c>
      <c r="G95" s="2" t="s">
        <v>18</v>
      </c>
      <c r="H95" s="2" t="s">
        <v>2424</v>
      </c>
      <c r="I95" t="s">
        <v>1975</v>
      </c>
    </row>
    <row r="96" spans="1:9">
      <c r="A96" s="2" t="s">
        <v>267</v>
      </c>
      <c r="B96" s="2" t="s">
        <v>2425</v>
      </c>
      <c r="C96" s="2"/>
      <c r="D96" s="2"/>
      <c r="E96" s="2" t="s">
        <v>2426</v>
      </c>
      <c r="F96" s="2" t="s">
        <v>2427</v>
      </c>
      <c r="G96" s="2" t="s">
        <v>17</v>
      </c>
      <c r="H96" s="2" t="s">
        <v>2428</v>
      </c>
      <c r="I96" t="s">
        <v>1975</v>
      </c>
    </row>
    <row r="97" spans="1:9">
      <c r="A97" s="2" t="s">
        <v>269</v>
      </c>
      <c r="B97" s="2" t="s">
        <v>2429</v>
      </c>
      <c r="C97" s="2" t="s">
        <v>2430</v>
      </c>
      <c r="D97" s="2"/>
      <c r="E97" s="2" t="s">
        <v>2431</v>
      </c>
      <c r="F97" s="2" t="s">
        <v>2386</v>
      </c>
      <c r="G97" s="2" t="s">
        <v>19</v>
      </c>
      <c r="H97" s="2">
        <v>93762</v>
      </c>
      <c r="I97" t="s">
        <v>1983</v>
      </c>
    </row>
    <row r="98" spans="1:9">
      <c r="A98" s="2" t="s">
        <v>271</v>
      </c>
      <c r="B98" s="2" t="s">
        <v>2432</v>
      </c>
      <c r="C98" s="2" t="s">
        <v>2433</v>
      </c>
      <c r="D98" s="2"/>
      <c r="E98" s="2" t="s">
        <v>2434</v>
      </c>
      <c r="F98" s="2" t="s">
        <v>2045</v>
      </c>
      <c r="G98" s="2" t="s">
        <v>19</v>
      </c>
      <c r="H98" s="2">
        <v>63150</v>
      </c>
      <c r="I98" t="s">
        <v>1983</v>
      </c>
    </row>
    <row r="99" spans="1:9">
      <c r="A99" s="2" t="s">
        <v>273</v>
      </c>
      <c r="B99" s="2" t="s">
        <v>2435</v>
      </c>
      <c r="C99" s="2" t="s">
        <v>2436</v>
      </c>
      <c r="D99" s="2" t="s">
        <v>2437</v>
      </c>
      <c r="E99" s="2" t="s">
        <v>2438</v>
      </c>
      <c r="F99" s="2" t="s">
        <v>2386</v>
      </c>
      <c r="G99" s="2" t="s">
        <v>19</v>
      </c>
      <c r="H99" s="2">
        <v>93726</v>
      </c>
      <c r="I99" t="s">
        <v>1983</v>
      </c>
    </row>
    <row r="100" spans="1:9">
      <c r="A100" s="2" t="s">
        <v>275</v>
      </c>
      <c r="B100" s="2" t="s">
        <v>2439</v>
      </c>
      <c r="C100" s="2"/>
      <c r="D100" s="2" t="s">
        <v>2440</v>
      </c>
      <c r="E100" s="2" t="s">
        <v>2441</v>
      </c>
      <c r="F100" s="2" t="s">
        <v>2442</v>
      </c>
      <c r="G100" s="2" t="s">
        <v>17</v>
      </c>
      <c r="H100" s="2" t="s">
        <v>2443</v>
      </c>
      <c r="I100" t="s">
        <v>1983</v>
      </c>
    </row>
    <row r="101" spans="1:9">
      <c r="A101" s="2" t="s">
        <v>277</v>
      </c>
      <c r="B101" s="2" t="s">
        <v>2444</v>
      </c>
      <c r="C101" s="2"/>
      <c r="D101" s="2" t="s">
        <v>2445</v>
      </c>
      <c r="E101" s="2" t="s">
        <v>2446</v>
      </c>
      <c r="F101" s="2" t="s">
        <v>2318</v>
      </c>
      <c r="G101" s="2" t="s">
        <v>19</v>
      </c>
      <c r="H101" s="2">
        <v>43210</v>
      </c>
      <c r="I101" t="s">
        <v>1975</v>
      </c>
    </row>
    <row r="102" spans="1:9">
      <c r="A102" s="2" t="s">
        <v>279</v>
      </c>
      <c r="B102" s="2" t="s">
        <v>2447</v>
      </c>
      <c r="C102" s="2"/>
      <c r="D102" s="2" t="s">
        <v>2448</v>
      </c>
      <c r="E102" s="2" t="s">
        <v>2449</v>
      </c>
      <c r="F102" s="2" t="s">
        <v>2450</v>
      </c>
      <c r="G102" s="2" t="s">
        <v>19</v>
      </c>
      <c r="H102" s="2">
        <v>95205</v>
      </c>
      <c r="I102" t="s">
        <v>1975</v>
      </c>
    </row>
    <row r="103" spans="1:9">
      <c r="A103" s="2" t="s">
        <v>281</v>
      </c>
      <c r="B103" s="2" t="s">
        <v>2451</v>
      </c>
      <c r="C103" s="2" t="s">
        <v>2452</v>
      </c>
      <c r="D103" s="2" t="s">
        <v>2453</v>
      </c>
      <c r="E103" s="2" t="s">
        <v>2454</v>
      </c>
      <c r="F103" s="2" t="s">
        <v>2455</v>
      </c>
      <c r="G103" s="2" t="s">
        <v>17</v>
      </c>
      <c r="H103" s="2" t="s">
        <v>2456</v>
      </c>
      <c r="I103" t="s">
        <v>1975</v>
      </c>
    </row>
    <row r="104" spans="1:9">
      <c r="A104" s="2" t="s">
        <v>283</v>
      </c>
      <c r="B104" s="2" t="s">
        <v>2457</v>
      </c>
      <c r="C104" s="2" t="s">
        <v>2458</v>
      </c>
      <c r="D104" s="2" t="s">
        <v>2459</v>
      </c>
      <c r="E104" s="2" t="s">
        <v>2460</v>
      </c>
      <c r="F104" s="2" t="s">
        <v>2461</v>
      </c>
      <c r="G104" s="2" t="s">
        <v>17</v>
      </c>
      <c r="H104" s="2" t="s">
        <v>2443</v>
      </c>
      <c r="I104" t="s">
        <v>1975</v>
      </c>
    </row>
    <row r="105" spans="1:9">
      <c r="A105" s="2" t="s">
        <v>285</v>
      </c>
      <c r="B105" s="2" t="s">
        <v>2462</v>
      </c>
      <c r="C105" s="2" t="s">
        <v>2463</v>
      </c>
      <c r="D105" s="2" t="s">
        <v>2464</v>
      </c>
      <c r="E105" s="2" t="s">
        <v>2465</v>
      </c>
      <c r="F105" s="2" t="s">
        <v>2194</v>
      </c>
      <c r="G105" s="2" t="s">
        <v>19</v>
      </c>
      <c r="H105" s="2">
        <v>14652</v>
      </c>
      <c r="I105" t="s">
        <v>1983</v>
      </c>
    </row>
    <row r="106" spans="1:9">
      <c r="A106" s="2" t="s">
        <v>287</v>
      </c>
      <c r="B106" s="2" t="s">
        <v>2466</v>
      </c>
      <c r="C106" s="2" t="s">
        <v>2467</v>
      </c>
      <c r="D106" s="2" t="s">
        <v>2468</v>
      </c>
      <c r="E106" s="2" t="s">
        <v>2469</v>
      </c>
      <c r="F106" s="2" t="s">
        <v>2470</v>
      </c>
      <c r="G106" s="2" t="s">
        <v>19</v>
      </c>
      <c r="H106" s="2">
        <v>35487</v>
      </c>
      <c r="I106" t="s">
        <v>1983</v>
      </c>
    </row>
    <row r="107" spans="1:9">
      <c r="A107" s="2" t="s">
        <v>289</v>
      </c>
      <c r="B107" s="2" t="s">
        <v>2471</v>
      </c>
      <c r="C107" s="2" t="s">
        <v>2472</v>
      </c>
      <c r="D107" s="2" t="s">
        <v>2473</v>
      </c>
      <c r="E107" s="2" t="s">
        <v>2474</v>
      </c>
      <c r="F107" s="2" t="s">
        <v>2059</v>
      </c>
      <c r="G107" s="2" t="s">
        <v>19</v>
      </c>
      <c r="H107" s="2">
        <v>77260</v>
      </c>
      <c r="I107" t="s">
        <v>1975</v>
      </c>
    </row>
    <row r="108" spans="1:9">
      <c r="A108" s="2" t="s">
        <v>291</v>
      </c>
      <c r="B108" s="2" t="s">
        <v>2475</v>
      </c>
      <c r="C108" s="2" t="s">
        <v>2476</v>
      </c>
      <c r="D108" s="2" t="s">
        <v>2477</v>
      </c>
      <c r="E108" s="2" t="s">
        <v>2478</v>
      </c>
      <c r="F108" s="2" t="s">
        <v>2479</v>
      </c>
      <c r="G108" s="2" t="s">
        <v>19</v>
      </c>
      <c r="H108" s="2">
        <v>88514</v>
      </c>
      <c r="I108" t="s">
        <v>1983</v>
      </c>
    </row>
    <row r="109" spans="1:9">
      <c r="A109" s="2" t="s">
        <v>294</v>
      </c>
      <c r="B109" s="2" t="s">
        <v>2480</v>
      </c>
      <c r="C109" s="2" t="s">
        <v>2481</v>
      </c>
      <c r="D109" s="2" t="s">
        <v>2482</v>
      </c>
      <c r="E109" s="2" t="s">
        <v>2483</v>
      </c>
      <c r="F109" s="2" t="s">
        <v>2371</v>
      </c>
      <c r="G109" s="2" t="s">
        <v>19</v>
      </c>
      <c r="H109" s="2">
        <v>80935</v>
      </c>
      <c r="I109" t="s">
        <v>1975</v>
      </c>
    </row>
    <row r="110" spans="1:9">
      <c r="A110" s="2" t="s">
        <v>296</v>
      </c>
      <c r="B110" s="2" t="s">
        <v>2484</v>
      </c>
      <c r="C110" s="2"/>
      <c r="D110" s="2" t="s">
        <v>2485</v>
      </c>
      <c r="E110" s="2" t="s">
        <v>2486</v>
      </c>
      <c r="F110" s="2" t="s">
        <v>2269</v>
      </c>
      <c r="G110" s="2" t="s">
        <v>19</v>
      </c>
      <c r="H110" s="2">
        <v>46862</v>
      </c>
      <c r="I110" t="s">
        <v>1983</v>
      </c>
    </row>
    <row r="111" spans="1:9">
      <c r="A111" s="2" t="s">
        <v>298</v>
      </c>
      <c r="B111" s="2" t="s">
        <v>2487</v>
      </c>
      <c r="C111" s="2" t="s">
        <v>2488</v>
      </c>
      <c r="D111" s="2" t="s">
        <v>2489</v>
      </c>
      <c r="E111" s="2" t="s">
        <v>2490</v>
      </c>
      <c r="F111" s="2" t="s">
        <v>2491</v>
      </c>
      <c r="G111" s="2" t="s">
        <v>19</v>
      </c>
      <c r="H111" s="2">
        <v>11054</v>
      </c>
      <c r="I111" t="s">
        <v>1975</v>
      </c>
    </row>
    <row r="112" spans="1:9">
      <c r="A112" s="2" t="s">
        <v>300</v>
      </c>
      <c r="B112" s="2" t="s">
        <v>2492</v>
      </c>
      <c r="C112" s="2" t="s">
        <v>2493</v>
      </c>
      <c r="D112" s="2" t="s">
        <v>2494</v>
      </c>
      <c r="E112" s="2" t="s">
        <v>2495</v>
      </c>
      <c r="F112" s="2" t="s">
        <v>1994</v>
      </c>
      <c r="G112" s="2" t="s">
        <v>19</v>
      </c>
      <c r="H112" s="2">
        <v>1105</v>
      </c>
      <c r="I112" t="s">
        <v>1975</v>
      </c>
    </row>
    <row r="113" spans="1:9">
      <c r="A113" s="2" t="s">
        <v>303</v>
      </c>
      <c r="B113" s="2" t="s">
        <v>2496</v>
      </c>
      <c r="C113" s="2" t="s">
        <v>2497</v>
      </c>
      <c r="D113" s="2"/>
      <c r="E113" s="2" t="s">
        <v>2498</v>
      </c>
      <c r="F113" s="2" t="s">
        <v>2256</v>
      </c>
      <c r="G113" s="2" t="s">
        <v>19</v>
      </c>
      <c r="H113" s="2">
        <v>32575</v>
      </c>
      <c r="I113" t="s">
        <v>1983</v>
      </c>
    </row>
    <row r="114" spans="1:9">
      <c r="A114" s="2" t="s">
        <v>305</v>
      </c>
      <c r="B114" s="2" t="s">
        <v>2499</v>
      </c>
      <c r="C114" s="2" t="s">
        <v>2500</v>
      </c>
      <c r="D114" s="2" t="s">
        <v>2501</v>
      </c>
      <c r="E114" s="2" t="s">
        <v>2502</v>
      </c>
      <c r="F114" s="2" t="s">
        <v>2036</v>
      </c>
      <c r="G114" s="2" t="s">
        <v>19</v>
      </c>
      <c r="H114" s="2">
        <v>23242</v>
      </c>
      <c r="I114" t="s">
        <v>1983</v>
      </c>
    </row>
    <row r="115" spans="1:9">
      <c r="A115" s="2" t="s">
        <v>307</v>
      </c>
      <c r="B115" s="2" t="s">
        <v>2503</v>
      </c>
      <c r="C115" s="2" t="s">
        <v>2504</v>
      </c>
      <c r="D115" s="2" t="s">
        <v>2505</v>
      </c>
      <c r="E115" s="2" t="s">
        <v>2506</v>
      </c>
      <c r="F115" s="2" t="s">
        <v>2507</v>
      </c>
      <c r="G115" s="2" t="s">
        <v>17</v>
      </c>
      <c r="H115" s="2" t="s">
        <v>2508</v>
      </c>
      <c r="I115" t="s">
        <v>1983</v>
      </c>
    </row>
    <row r="116" spans="1:9">
      <c r="A116" s="2" t="s">
        <v>309</v>
      </c>
      <c r="B116" s="2" t="s">
        <v>2509</v>
      </c>
      <c r="C116" s="2"/>
      <c r="D116" s="2" t="s">
        <v>2510</v>
      </c>
      <c r="E116" s="2" t="s">
        <v>2511</v>
      </c>
      <c r="F116" s="2" t="s">
        <v>2512</v>
      </c>
      <c r="G116" s="2" t="s">
        <v>19</v>
      </c>
      <c r="H116" s="2">
        <v>25705</v>
      </c>
      <c r="I116" t="s">
        <v>1983</v>
      </c>
    </row>
    <row r="117" spans="1:9">
      <c r="A117" s="2" t="s">
        <v>311</v>
      </c>
      <c r="B117" s="2" t="s">
        <v>2513</v>
      </c>
      <c r="C117" s="2" t="s">
        <v>2514</v>
      </c>
      <c r="D117" s="2" t="s">
        <v>2515</v>
      </c>
      <c r="E117" s="2" t="s">
        <v>2516</v>
      </c>
      <c r="F117" s="2" t="s">
        <v>2203</v>
      </c>
      <c r="G117" s="2" t="s">
        <v>18</v>
      </c>
      <c r="H117" s="2" t="s">
        <v>2517</v>
      </c>
      <c r="I117" t="s">
        <v>1983</v>
      </c>
    </row>
    <row r="118" spans="1:9">
      <c r="A118" s="2" t="s">
        <v>313</v>
      </c>
      <c r="B118" s="2" t="s">
        <v>2518</v>
      </c>
      <c r="C118" s="2" t="s">
        <v>2519</v>
      </c>
      <c r="D118" s="2" t="s">
        <v>2520</v>
      </c>
      <c r="E118" s="2" t="s">
        <v>2521</v>
      </c>
      <c r="F118" s="2" t="s">
        <v>2522</v>
      </c>
      <c r="G118" s="2" t="s">
        <v>17</v>
      </c>
      <c r="H118" s="2" t="s">
        <v>2523</v>
      </c>
      <c r="I118" t="s">
        <v>1975</v>
      </c>
    </row>
    <row r="119" spans="1:9">
      <c r="A119" s="2" t="s">
        <v>315</v>
      </c>
      <c r="B119" s="2" t="s">
        <v>2524</v>
      </c>
      <c r="C119" s="2" t="s">
        <v>2525</v>
      </c>
      <c r="D119" s="2" t="s">
        <v>2526</v>
      </c>
      <c r="E119" s="2" t="s">
        <v>2527</v>
      </c>
      <c r="F119" s="2" t="s">
        <v>2008</v>
      </c>
      <c r="G119" s="2" t="s">
        <v>19</v>
      </c>
      <c r="H119" s="2">
        <v>45432</v>
      </c>
      <c r="I119" t="s">
        <v>1983</v>
      </c>
    </row>
    <row r="120" spans="1:9">
      <c r="A120" s="2" t="s">
        <v>317</v>
      </c>
      <c r="B120" s="2" t="s">
        <v>2528</v>
      </c>
      <c r="C120" s="2" t="s">
        <v>2529</v>
      </c>
      <c r="D120" s="2" t="s">
        <v>2530</v>
      </c>
      <c r="E120" s="2" t="s">
        <v>2531</v>
      </c>
      <c r="F120" s="2" t="s">
        <v>2532</v>
      </c>
      <c r="G120" s="2" t="s">
        <v>19</v>
      </c>
      <c r="H120" s="2">
        <v>99507</v>
      </c>
      <c r="I120" t="s">
        <v>1975</v>
      </c>
    </row>
    <row r="121" spans="1:9">
      <c r="A121" s="2" t="s">
        <v>319</v>
      </c>
      <c r="B121" s="2" t="s">
        <v>2533</v>
      </c>
      <c r="C121" s="2" t="s">
        <v>2534</v>
      </c>
      <c r="D121" s="2" t="s">
        <v>2535</v>
      </c>
      <c r="E121" s="2" t="s">
        <v>2536</v>
      </c>
      <c r="F121" s="2" t="s">
        <v>2537</v>
      </c>
      <c r="G121" s="2" t="s">
        <v>19</v>
      </c>
      <c r="H121" s="2">
        <v>37215</v>
      </c>
      <c r="I121" t="s">
        <v>1983</v>
      </c>
    </row>
    <row r="122" spans="1:9">
      <c r="A122" s="2" t="s">
        <v>2538</v>
      </c>
      <c r="B122" s="2" t="s">
        <v>2539</v>
      </c>
      <c r="C122" s="2" t="s">
        <v>2540</v>
      </c>
      <c r="D122" s="2" t="s">
        <v>2541</v>
      </c>
      <c r="E122" s="2" t="s">
        <v>2542</v>
      </c>
      <c r="F122" s="2" t="s">
        <v>2018</v>
      </c>
      <c r="G122" s="2" t="s">
        <v>19</v>
      </c>
      <c r="H122" s="2">
        <v>90040</v>
      </c>
      <c r="I122" t="s">
        <v>1975</v>
      </c>
    </row>
    <row r="123" spans="1:9">
      <c r="A123" s="2" t="s">
        <v>2543</v>
      </c>
      <c r="B123" s="2" t="s">
        <v>2544</v>
      </c>
      <c r="C123" s="2" t="s">
        <v>2545</v>
      </c>
      <c r="D123" s="2" t="s">
        <v>2546</v>
      </c>
      <c r="E123" s="2" t="s">
        <v>2547</v>
      </c>
      <c r="F123" s="2" t="s">
        <v>2331</v>
      </c>
      <c r="G123" s="2" t="s">
        <v>19</v>
      </c>
      <c r="H123" s="2">
        <v>28289</v>
      </c>
      <c r="I123" t="s">
        <v>1983</v>
      </c>
    </row>
    <row r="124" spans="1:9">
      <c r="A124" s="2" t="s">
        <v>321</v>
      </c>
      <c r="B124" s="2" t="s">
        <v>2548</v>
      </c>
      <c r="C124" s="2" t="s">
        <v>2549</v>
      </c>
      <c r="D124" s="2" t="s">
        <v>2550</v>
      </c>
      <c r="E124" s="2" t="s">
        <v>2551</v>
      </c>
      <c r="F124" s="2" t="s">
        <v>2163</v>
      </c>
      <c r="G124" s="2" t="s">
        <v>19</v>
      </c>
      <c r="H124" s="2">
        <v>80217</v>
      </c>
      <c r="I124" t="s">
        <v>1975</v>
      </c>
    </row>
    <row r="125" spans="1:9">
      <c r="A125" s="2" t="s">
        <v>323</v>
      </c>
      <c r="B125" s="2" t="s">
        <v>2552</v>
      </c>
      <c r="C125" s="2" t="s">
        <v>2553</v>
      </c>
      <c r="D125" s="2" t="s">
        <v>2554</v>
      </c>
      <c r="E125" s="2" t="s">
        <v>2555</v>
      </c>
      <c r="F125" s="2" t="s">
        <v>2556</v>
      </c>
      <c r="G125" s="2" t="s">
        <v>19</v>
      </c>
      <c r="H125" s="2">
        <v>6912</v>
      </c>
      <c r="I125" t="s">
        <v>1983</v>
      </c>
    </row>
    <row r="126" spans="1:9">
      <c r="A126" s="2" t="s">
        <v>325</v>
      </c>
      <c r="B126" s="2" t="s">
        <v>2557</v>
      </c>
      <c r="C126" s="2" t="s">
        <v>2558</v>
      </c>
      <c r="D126" s="2" t="s">
        <v>2559</v>
      </c>
      <c r="E126" s="2" t="s">
        <v>2560</v>
      </c>
      <c r="F126" s="2" t="s">
        <v>2561</v>
      </c>
      <c r="G126" s="2" t="s">
        <v>19</v>
      </c>
      <c r="H126" s="2">
        <v>23605</v>
      </c>
      <c r="I126" t="s">
        <v>1975</v>
      </c>
    </row>
    <row r="127" spans="1:9">
      <c r="A127" s="2" t="s">
        <v>327</v>
      </c>
      <c r="B127" s="2" t="s">
        <v>2562</v>
      </c>
      <c r="C127" s="2" t="s">
        <v>2563</v>
      </c>
      <c r="D127" s="2" t="s">
        <v>2564</v>
      </c>
      <c r="E127" s="2" t="s">
        <v>2565</v>
      </c>
      <c r="F127" s="2" t="s">
        <v>2566</v>
      </c>
      <c r="G127" s="2" t="s">
        <v>17</v>
      </c>
      <c r="H127" s="2" t="s">
        <v>2567</v>
      </c>
      <c r="I127" t="s">
        <v>1975</v>
      </c>
    </row>
    <row r="128" spans="1:9">
      <c r="A128" s="2" t="s">
        <v>329</v>
      </c>
      <c r="B128" s="2" t="s">
        <v>2568</v>
      </c>
      <c r="C128" s="2" t="s">
        <v>2569</v>
      </c>
      <c r="D128" s="2" t="s">
        <v>2570</v>
      </c>
      <c r="E128" s="2" t="s">
        <v>2571</v>
      </c>
      <c r="F128" s="2" t="s">
        <v>2532</v>
      </c>
      <c r="G128" s="2" t="s">
        <v>19</v>
      </c>
      <c r="H128" s="2">
        <v>99599</v>
      </c>
      <c r="I128" t="s">
        <v>1983</v>
      </c>
    </row>
    <row r="129" spans="1:9">
      <c r="A129" s="2" t="s">
        <v>331</v>
      </c>
      <c r="B129" s="2" t="s">
        <v>2572</v>
      </c>
      <c r="C129" s="2" t="s">
        <v>2573</v>
      </c>
      <c r="D129" s="2" t="s">
        <v>2574</v>
      </c>
      <c r="E129" s="2" t="s">
        <v>2575</v>
      </c>
      <c r="F129" s="2" t="s">
        <v>2397</v>
      </c>
      <c r="G129" s="2" t="s">
        <v>17</v>
      </c>
      <c r="H129" s="2" t="s">
        <v>2576</v>
      </c>
      <c r="I129" t="s">
        <v>1983</v>
      </c>
    </row>
    <row r="130" spans="1:9">
      <c r="A130" s="2" t="s">
        <v>333</v>
      </c>
      <c r="B130" s="2" t="s">
        <v>2577</v>
      </c>
      <c r="C130" s="2" t="s">
        <v>2578</v>
      </c>
      <c r="D130" s="2" t="s">
        <v>2579</v>
      </c>
      <c r="E130" s="2" t="s">
        <v>2580</v>
      </c>
      <c r="F130" s="2" t="s">
        <v>2581</v>
      </c>
      <c r="G130" s="2" t="s">
        <v>19</v>
      </c>
      <c r="H130" s="2">
        <v>58122</v>
      </c>
      <c r="I130" t="s">
        <v>1983</v>
      </c>
    </row>
    <row r="131" spans="1:9">
      <c r="A131" s="2" t="s">
        <v>335</v>
      </c>
      <c r="B131" s="2" t="s">
        <v>2582</v>
      </c>
      <c r="C131" s="2" t="s">
        <v>2583</v>
      </c>
      <c r="D131" s="2" t="s">
        <v>2584</v>
      </c>
      <c r="E131" s="2" t="s">
        <v>2585</v>
      </c>
      <c r="F131" s="2" t="s">
        <v>2586</v>
      </c>
      <c r="G131" s="2" t="s">
        <v>19</v>
      </c>
      <c r="H131" s="2">
        <v>47737</v>
      </c>
      <c r="I131" t="s">
        <v>1975</v>
      </c>
    </row>
    <row r="132" spans="1:9">
      <c r="A132" s="2" t="s">
        <v>337</v>
      </c>
      <c r="B132" s="2" t="s">
        <v>2587</v>
      </c>
      <c r="C132" s="2"/>
      <c r="D132" s="2" t="s">
        <v>2588</v>
      </c>
      <c r="E132" s="2" t="s">
        <v>2589</v>
      </c>
      <c r="F132" s="2" t="s">
        <v>2507</v>
      </c>
      <c r="G132" s="2" t="s">
        <v>17</v>
      </c>
      <c r="H132" s="2" t="s">
        <v>2508</v>
      </c>
      <c r="I132" t="s">
        <v>1975</v>
      </c>
    </row>
    <row r="133" spans="1:9">
      <c r="A133" s="2" t="s">
        <v>339</v>
      </c>
      <c r="B133" s="2" t="s">
        <v>2590</v>
      </c>
      <c r="C133" s="2" t="s">
        <v>2591</v>
      </c>
      <c r="D133" s="2" t="s">
        <v>2592</v>
      </c>
      <c r="E133" s="2" t="s">
        <v>2593</v>
      </c>
      <c r="F133" s="2" t="s">
        <v>2331</v>
      </c>
      <c r="G133" s="2" t="s">
        <v>19</v>
      </c>
      <c r="H133" s="2">
        <v>28210</v>
      </c>
      <c r="I133" t="s">
        <v>1975</v>
      </c>
    </row>
    <row r="134" spans="1:9">
      <c r="A134" s="2" t="s">
        <v>341</v>
      </c>
      <c r="B134" s="2" t="s">
        <v>2594</v>
      </c>
      <c r="C134" s="2" t="s">
        <v>2595</v>
      </c>
      <c r="D134" s="2" t="s">
        <v>2596</v>
      </c>
      <c r="E134" s="2" t="s">
        <v>2597</v>
      </c>
      <c r="F134" s="2" t="s">
        <v>2598</v>
      </c>
      <c r="G134" s="2" t="s">
        <v>19</v>
      </c>
      <c r="H134" s="2">
        <v>35815</v>
      </c>
      <c r="I134" t="s">
        <v>1975</v>
      </c>
    </row>
    <row r="135" spans="1:9">
      <c r="A135" s="2" t="s">
        <v>343</v>
      </c>
      <c r="B135" s="2" t="s">
        <v>2599</v>
      </c>
      <c r="C135" s="2" t="s">
        <v>2600</v>
      </c>
      <c r="D135" s="2" t="s">
        <v>2601</v>
      </c>
      <c r="E135" s="2" t="s">
        <v>2602</v>
      </c>
      <c r="F135" s="2" t="s">
        <v>2603</v>
      </c>
      <c r="G135" s="2" t="s">
        <v>19</v>
      </c>
      <c r="H135" s="2">
        <v>92725</v>
      </c>
      <c r="I135" t="s">
        <v>1983</v>
      </c>
    </row>
    <row r="136" spans="1:9">
      <c r="A136" s="2" t="s">
        <v>345</v>
      </c>
      <c r="B136" s="2" t="s">
        <v>2604</v>
      </c>
      <c r="C136" s="2"/>
      <c r="D136" s="2"/>
      <c r="E136" s="2" t="s">
        <v>2605</v>
      </c>
      <c r="F136" s="2" t="s">
        <v>2217</v>
      </c>
      <c r="G136" s="2" t="s">
        <v>19</v>
      </c>
      <c r="H136" s="2">
        <v>20520</v>
      </c>
      <c r="I136" t="s">
        <v>1975</v>
      </c>
    </row>
    <row r="137" spans="1:9">
      <c r="A137" s="2" t="s">
        <v>2606</v>
      </c>
      <c r="B137" s="2" t="s">
        <v>2607</v>
      </c>
      <c r="C137" s="2" t="s">
        <v>2608</v>
      </c>
      <c r="D137" s="2" t="s">
        <v>2609</v>
      </c>
      <c r="E137" s="2" t="s">
        <v>2610</v>
      </c>
      <c r="F137" s="2" t="s">
        <v>2611</v>
      </c>
      <c r="G137" s="2" t="s">
        <v>17</v>
      </c>
      <c r="H137" s="2" t="s">
        <v>2612</v>
      </c>
      <c r="I137" t="s">
        <v>1983</v>
      </c>
    </row>
    <row r="138" spans="1:9">
      <c r="A138" s="2" t="s">
        <v>349</v>
      </c>
      <c r="B138" s="2" t="s">
        <v>2613</v>
      </c>
      <c r="C138" s="2" t="s">
        <v>2614</v>
      </c>
      <c r="D138" s="2" t="s">
        <v>2615</v>
      </c>
      <c r="E138" s="2" t="s">
        <v>2616</v>
      </c>
      <c r="F138" s="2" t="s">
        <v>2045</v>
      </c>
      <c r="G138" s="2" t="s">
        <v>19</v>
      </c>
      <c r="H138" s="2">
        <v>63131</v>
      </c>
      <c r="I138" t="s">
        <v>1983</v>
      </c>
    </row>
    <row r="139" spans="1:9">
      <c r="A139" s="2" t="s">
        <v>351</v>
      </c>
      <c r="B139" s="2" t="s">
        <v>2617</v>
      </c>
      <c r="C139" s="2"/>
      <c r="D139" s="2" t="s">
        <v>2618</v>
      </c>
      <c r="E139" s="2" t="s">
        <v>2619</v>
      </c>
      <c r="F139" s="2" t="s">
        <v>2137</v>
      </c>
      <c r="G139" s="2" t="s">
        <v>17</v>
      </c>
      <c r="H139" s="2" t="s">
        <v>2138</v>
      </c>
      <c r="I139" t="s">
        <v>1983</v>
      </c>
    </row>
    <row r="140" spans="1:9">
      <c r="A140" s="2" t="s">
        <v>353</v>
      </c>
      <c r="B140" s="2" t="s">
        <v>2620</v>
      </c>
      <c r="C140" s="2"/>
      <c r="D140" s="2" t="s">
        <v>2621</v>
      </c>
      <c r="E140" s="2" t="s">
        <v>2622</v>
      </c>
      <c r="F140" s="2" t="s">
        <v>2623</v>
      </c>
      <c r="G140" s="2" t="s">
        <v>19</v>
      </c>
      <c r="H140" s="2">
        <v>96805</v>
      </c>
      <c r="I140" t="s">
        <v>1983</v>
      </c>
    </row>
    <row r="141" spans="1:9">
      <c r="A141" s="2" t="s">
        <v>355</v>
      </c>
      <c r="B141" s="2" t="s">
        <v>2624</v>
      </c>
      <c r="C141" s="2"/>
      <c r="D141" s="2" t="s">
        <v>2625</v>
      </c>
      <c r="E141" s="2" t="s">
        <v>2626</v>
      </c>
      <c r="F141" s="2" t="s">
        <v>2414</v>
      </c>
      <c r="G141" s="2" t="s">
        <v>19</v>
      </c>
      <c r="H141" s="2">
        <v>92878</v>
      </c>
      <c r="I141" t="s">
        <v>1975</v>
      </c>
    </row>
    <row r="142" spans="1:9">
      <c r="A142" s="2" t="s">
        <v>357</v>
      </c>
      <c r="B142" s="2" t="s">
        <v>2627</v>
      </c>
      <c r="C142" s="2" t="s">
        <v>2628</v>
      </c>
      <c r="D142" s="2" t="s">
        <v>2629</v>
      </c>
      <c r="E142" s="2" t="s">
        <v>2630</v>
      </c>
      <c r="F142" s="2" t="s">
        <v>2631</v>
      </c>
      <c r="G142" s="2" t="s">
        <v>17</v>
      </c>
      <c r="H142" s="2" t="s">
        <v>2576</v>
      </c>
      <c r="I142" t="s">
        <v>1975</v>
      </c>
    </row>
    <row r="143" spans="1:9">
      <c r="A143" s="2" t="s">
        <v>359</v>
      </c>
      <c r="B143" s="2" t="s">
        <v>2632</v>
      </c>
      <c r="C143" s="2" t="s">
        <v>2633</v>
      </c>
      <c r="D143" s="2" t="s">
        <v>2634</v>
      </c>
      <c r="E143" s="2" t="s">
        <v>2635</v>
      </c>
      <c r="F143" s="2" t="s">
        <v>2217</v>
      </c>
      <c r="G143" s="2" t="s">
        <v>19</v>
      </c>
      <c r="H143" s="2">
        <v>20520</v>
      </c>
      <c r="I143" t="s">
        <v>1975</v>
      </c>
    </row>
    <row r="144" spans="1:9">
      <c r="A144" s="2" t="s">
        <v>361</v>
      </c>
      <c r="B144" s="2" t="s">
        <v>2636</v>
      </c>
      <c r="C144" s="2"/>
      <c r="D144" s="2"/>
      <c r="E144" s="2" t="s">
        <v>2637</v>
      </c>
      <c r="F144" s="2" t="s">
        <v>2638</v>
      </c>
      <c r="G144" s="2" t="s">
        <v>17</v>
      </c>
      <c r="H144" s="2" t="s">
        <v>2341</v>
      </c>
      <c r="I144" t="s">
        <v>1975</v>
      </c>
    </row>
    <row r="145" spans="1:9">
      <c r="A145" s="2" t="s">
        <v>363</v>
      </c>
      <c r="B145" s="2" t="s">
        <v>2639</v>
      </c>
      <c r="C145" s="2" t="s">
        <v>2640</v>
      </c>
      <c r="D145" s="2" t="s">
        <v>2641</v>
      </c>
      <c r="E145" s="2" t="s">
        <v>2642</v>
      </c>
      <c r="F145" s="2" t="s">
        <v>2059</v>
      </c>
      <c r="G145" s="2" t="s">
        <v>19</v>
      </c>
      <c r="H145" s="2">
        <v>77281</v>
      </c>
      <c r="I145" t="s">
        <v>1983</v>
      </c>
    </row>
    <row r="146" spans="1:9">
      <c r="A146" s="2" t="s">
        <v>365</v>
      </c>
      <c r="B146" s="2" t="s">
        <v>2643</v>
      </c>
      <c r="C146" s="2" t="s">
        <v>2644</v>
      </c>
      <c r="D146" s="2" t="s">
        <v>2645</v>
      </c>
      <c r="E146" s="2" t="s">
        <v>2646</v>
      </c>
      <c r="F146" s="2" t="s">
        <v>2647</v>
      </c>
      <c r="G146" s="2" t="s">
        <v>19</v>
      </c>
      <c r="H146" s="2">
        <v>92668</v>
      </c>
      <c r="I146" t="s">
        <v>1975</v>
      </c>
    </row>
    <row r="147" spans="1:9">
      <c r="A147" s="2" t="s">
        <v>367</v>
      </c>
      <c r="B147" s="2" t="s">
        <v>2648</v>
      </c>
      <c r="C147" s="2" t="s">
        <v>2649</v>
      </c>
      <c r="D147" s="2" t="s">
        <v>2650</v>
      </c>
      <c r="E147" s="2" t="s">
        <v>2651</v>
      </c>
      <c r="F147" s="2" t="s">
        <v>2479</v>
      </c>
      <c r="G147" s="2" t="s">
        <v>19</v>
      </c>
      <c r="H147" s="2">
        <v>88553</v>
      </c>
      <c r="I147" t="s">
        <v>1983</v>
      </c>
    </row>
    <row r="148" spans="1:9">
      <c r="A148" s="2" t="s">
        <v>369</v>
      </c>
      <c r="B148" s="2" t="s">
        <v>2652</v>
      </c>
      <c r="C148" s="2" t="s">
        <v>2653</v>
      </c>
      <c r="D148" s="2" t="s">
        <v>2654</v>
      </c>
      <c r="E148" s="2" t="s">
        <v>2655</v>
      </c>
      <c r="F148" s="2" t="s">
        <v>2656</v>
      </c>
      <c r="G148" s="2" t="s">
        <v>19</v>
      </c>
      <c r="H148" s="2">
        <v>89714</v>
      </c>
      <c r="I148" t="s">
        <v>1983</v>
      </c>
    </row>
    <row r="149" spans="1:9">
      <c r="A149" s="2" t="s">
        <v>2657</v>
      </c>
      <c r="B149" s="2" t="s">
        <v>2658</v>
      </c>
      <c r="C149" s="2" t="s">
        <v>2659</v>
      </c>
      <c r="D149" s="2" t="s">
        <v>2660</v>
      </c>
      <c r="E149" s="2" t="s">
        <v>2661</v>
      </c>
      <c r="F149" s="2" t="s">
        <v>2297</v>
      </c>
      <c r="G149" s="2" t="s">
        <v>19</v>
      </c>
      <c r="H149" s="2">
        <v>76105</v>
      </c>
      <c r="I149" t="s">
        <v>1975</v>
      </c>
    </row>
    <row r="150" spans="1:9">
      <c r="A150" s="2" t="s">
        <v>371</v>
      </c>
      <c r="B150" s="2" t="s">
        <v>2662</v>
      </c>
      <c r="C150" s="2" t="s">
        <v>2663</v>
      </c>
      <c r="D150" s="2" t="s">
        <v>2664</v>
      </c>
      <c r="E150" s="2" t="s">
        <v>2665</v>
      </c>
      <c r="F150" s="2" t="s">
        <v>2237</v>
      </c>
      <c r="G150" s="2" t="s">
        <v>19</v>
      </c>
      <c r="H150" s="2">
        <v>84605</v>
      </c>
      <c r="I150" t="s">
        <v>1975</v>
      </c>
    </row>
    <row r="151" spans="1:9">
      <c r="A151" s="2" t="s">
        <v>373</v>
      </c>
      <c r="B151" s="2" t="s">
        <v>2666</v>
      </c>
      <c r="C151" s="2"/>
      <c r="D151" s="2" t="s">
        <v>2667</v>
      </c>
      <c r="E151" s="2" t="s">
        <v>2668</v>
      </c>
      <c r="F151" s="2" t="s">
        <v>2669</v>
      </c>
      <c r="G151" s="2" t="s">
        <v>19</v>
      </c>
      <c r="H151" s="2">
        <v>33487</v>
      </c>
      <c r="I151" t="s">
        <v>1975</v>
      </c>
    </row>
    <row r="152" spans="1:9">
      <c r="A152" s="2" t="s">
        <v>375</v>
      </c>
      <c r="B152" s="2" t="s">
        <v>2670</v>
      </c>
      <c r="C152" s="2" t="s">
        <v>2671</v>
      </c>
      <c r="D152" s="2" t="s">
        <v>2672</v>
      </c>
      <c r="E152" s="2" t="s">
        <v>2673</v>
      </c>
      <c r="F152" s="2" t="s">
        <v>2674</v>
      </c>
      <c r="G152" s="2" t="s">
        <v>19</v>
      </c>
      <c r="H152" s="2">
        <v>24040</v>
      </c>
      <c r="I152" t="s">
        <v>1975</v>
      </c>
    </row>
    <row r="153" spans="1:9">
      <c r="A153" s="2" t="s">
        <v>377</v>
      </c>
      <c r="B153" s="2" t="s">
        <v>2675</v>
      </c>
      <c r="C153" s="2"/>
      <c r="D153" s="2" t="s">
        <v>2676</v>
      </c>
      <c r="E153" s="2" t="s">
        <v>2677</v>
      </c>
      <c r="F153" s="2" t="s">
        <v>2678</v>
      </c>
      <c r="G153" s="2" t="s">
        <v>19</v>
      </c>
      <c r="H153" s="2">
        <v>50369</v>
      </c>
      <c r="I153" t="s">
        <v>1975</v>
      </c>
    </row>
    <row r="154" spans="1:9">
      <c r="A154" s="2" t="s">
        <v>379</v>
      </c>
      <c r="B154" s="2" t="s">
        <v>2679</v>
      </c>
      <c r="C154" s="2" t="s">
        <v>2680</v>
      </c>
      <c r="D154" s="2" t="s">
        <v>2681</v>
      </c>
      <c r="E154" s="2" t="s">
        <v>2682</v>
      </c>
      <c r="F154" s="2" t="s">
        <v>2623</v>
      </c>
      <c r="G154" s="2" t="s">
        <v>19</v>
      </c>
      <c r="H154" s="2">
        <v>96805</v>
      </c>
      <c r="I154" t="s">
        <v>1975</v>
      </c>
    </row>
    <row r="155" spans="1:9">
      <c r="A155" s="2" t="s">
        <v>381</v>
      </c>
      <c r="B155" s="2" t="s">
        <v>2683</v>
      </c>
      <c r="C155" s="2"/>
      <c r="D155" s="2" t="s">
        <v>2684</v>
      </c>
      <c r="E155" s="2" t="s">
        <v>2685</v>
      </c>
      <c r="F155" s="2" t="s">
        <v>2222</v>
      </c>
      <c r="G155" s="2" t="s">
        <v>19</v>
      </c>
      <c r="H155" s="2">
        <v>33345</v>
      </c>
      <c r="I155" t="s">
        <v>1983</v>
      </c>
    </row>
    <row r="156" spans="1:9">
      <c r="A156" s="2" t="s">
        <v>383</v>
      </c>
      <c r="B156" s="2" t="s">
        <v>2686</v>
      </c>
      <c r="C156" s="2" t="s">
        <v>2687</v>
      </c>
      <c r="D156" s="2" t="s">
        <v>2688</v>
      </c>
      <c r="E156" s="2" t="s">
        <v>2689</v>
      </c>
      <c r="F156" s="2" t="s">
        <v>2049</v>
      </c>
      <c r="G156" s="2" t="s">
        <v>19</v>
      </c>
      <c r="H156" s="2">
        <v>19172</v>
      </c>
      <c r="I156" t="s">
        <v>1983</v>
      </c>
    </row>
    <row r="157" spans="1:9">
      <c r="A157" s="2" t="s">
        <v>385</v>
      </c>
      <c r="B157" s="2" t="s">
        <v>2690</v>
      </c>
      <c r="C157" s="2" t="s">
        <v>2691</v>
      </c>
      <c r="D157" s="2" t="s">
        <v>2692</v>
      </c>
      <c r="E157" s="2" t="s">
        <v>2693</v>
      </c>
      <c r="F157" s="2" t="s">
        <v>2694</v>
      </c>
      <c r="G157" s="2" t="s">
        <v>19</v>
      </c>
      <c r="H157" s="2">
        <v>6854</v>
      </c>
      <c r="I157" t="s">
        <v>1975</v>
      </c>
    </row>
    <row r="158" spans="1:9">
      <c r="A158" s="2" t="s">
        <v>387</v>
      </c>
      <c r="B158" s="2" t="s">
        <v>2695</v>
      </c>
      <c r="C158" s="2" t="s">
        <v>2696</v>
      </c>
      <c r="D158" s="2" t="s">
        <v>2697</v>
      </c>
      <c r="E158" s="2" t="s">
        <v>2698</v>
      </c>
      <c r="F158" s="2" t="s">
        <v>2699</v>
      </c>
      <c r="G158" s="2" t="s">
        <v>19</v>
      </c>
      <c r="H158" s="2">
        <v>76011</v>
      </c>
      <c r="I158" t="s">
        <v>1975</v>
      </c>
    </row>
    <row r="159" spans="1:9">
      <c r="A159" s="2" t="s">
        <v>389</v>
      </c>
      <c r="B159" s="2" t="s">
        <v>2700</v>
      </c>
      <c r="C159" s="2" t="s">
        <v>2701</v>
      </c>
      <c r="D159" s="2" t="s">
        <v>2702</v>
      </c>
      <c r="E159" s="2" t="s">
        <v>2703</v>
      </c>
      <c r="F159" s="2" t="s">
        <v>2704</v>
      </c>
      <c r="G159" s="2" t="s">
        <v>17</v>
      </c>
      <c r="H159" s="2" t="s">
        <v>2705</v>
      </c>
      <c r="I159" t="s">
        <v>1983</v>
      </c>
    </row>
    <row r="160" spans="1:9">
      <c r="A160" s="2" t="s">
        <v>391</v>
      </c>
      <c r="B160" s="2" t="s">
        <v>2706</v>
      </c>
      <c r="C160" s="2"/>
      <c r="D160" s="2" t="s">
        <v>2707</v>
      </c>
      <c r="E160" s="2" t="s">
        <v>2708</v>
      </c>
      <c r="F160" s="2" t="s">
        <v>2709</v>
      </c>
      <c r="G160" s="2" t="s">
        <v>19</v>
      </c>
      <c r="H160" s="2">
        <v>37416</v>
      </c>
      <c r="I160" t="s">
        <v>1975</v>
      </c>
    </row>
    <row r="161" spans="1:9">
      <c r="A161" s="2" t="s">
        <v>393</v>
      </c>
      <c r="B161" s="2" t="s">
        <v>2710</v>
      </c>
      <c r="C161" s="2"/>
      <c r="D161" s="2" t="s">
        <v>2711</v>
      </c>
      <c r="E161" s="2" t="s">
        <v>2712</v>
      </c>
      <c r="F161" s="2" t="s">
        <v>2054</v>
      </c>
      <c r="G161" s="2" t="s">
        <v>19</v>
      </c>
      <c r="H161" s="2">
        <v>97296</v>
      </c>
      <c r="I161" t="s">
        <v>1983</v>
      </c>
    </row>
    <row r="162" spans="1:9">
      <c r="A162" s="2" t="s">
        <v>395</v>
      </c>
      <c r="B162" s="2" t="s">
        <v>2713</v>
      </c>
      <c r="C162" s="2" t="s">
        <v>2714</v>
      </c>
      <c r="D162" s="2" t="s">
        <v>2715</v>
      </c>
      <c r="E162" s="2" t="s">
        <v>2716</v>
      </c>
      <c r="F162" s="2" t="s">
        <v>2393</v>
      </c>
      <c r="G162" s="2" t="s">
        <v>19</v>
      </c>
      <c r="H162" s="2">
        <v>73135</v>
      </c>
      <c r="I162" t="s">
        <v>1983</v>
      </c>
    </row>
    <row r="163" spans="1:9">
      <c r="A163" s="2" t="s">
        <v>397</v>
      </c>
      <c r="B163" s="2" t="s">
        <v>2717</v>
      </c>
      <c r="C163" s="2" t="s">
        <v>2718</v>
      </c>
      <c r="D163" s="2" t="s">
        <v>2719</v>
      </c>
      <c r="E163" s="2" t="s">
        <v>2720</v>
      </c>
      <c r="F163" s="2" t="s">
        <v>2217</v>
      </c>
      <c r="G163" s="2" t="s">
        <v>19</v>
      </c>
      <c r="H163" s="2">
        <v>20520</v>
      </c>
      <c r="I163" t="s">
        <v>1983</v>
      </c>
    </row>
    <row r="164" spans="1:9">
      <c r="A164" s="2" t="s">
        <v>399</v>
      </c>
      <c r="B164" s="2" t="s">
        <v>2721</v>
      </c>
      <c r="C164" s="2" t="s">
        <v>2722</v>
      </c>
      <c r="D164" s="2" t="s">
        <v>2723</v>
      </c>
      <c r="E164" s="2" t="s">
        <v>2724</v>
      </c>
      <c r="F164" s="2" t="s">
        <v>2725</v>
      </c>
      <c r="G164" s="2" t="s">
        <v>19</v>
      </c>
      <c r="H164" s="2">
        <v>27415</v>
      </c>
      <c r="I164" t="s">
        <v>1975</v>
      </c>
    </row>
    <row r="165" spans="1:9">
      <c r="A165" s="2" t="s">
        <v>401</v>
      </c>
      <c r="B165" s="2" t="s">
        <v>2726</v>
      </c>
      <c r="C165" s="2" t="s">
        <v>2727</v>
      </c>
      <c r="D165" s="2" t="s">
        <v>2728</v>
      </c>
      <c r="E165" s="2" t="s">
        <v>2729</v>
      </c>
      <c r="F165" s="2" t="s">
        <v>2730</v>
      </c>
      <c r="G165" s="2" t="s">
        <v>19</v>
      </c>
      <c r="H165" s="2">
        <v>22313</v>
      </c>
      <c r="I165" t="s">
        <v>1983</v>
      </c>
    </row>
    <row r="166" spans="1:9">
      <c r="A166" s="2" t="s">
        <v>403</v>
      </c>
      <c r="B166" s="2" t="s">
        <v>2731</v>
      </c>
      <c r="C166" s="2" t="s">
        <v>2732</v>
      </c>
      <c r="D166" s="2" t="s">
        <v>2733</v>
      </c>
      <c r="E166" s="2" t="s">
        <v>2734</v>
      </c>
      <c r="F166" s="2" t="s">
        <v>2735</v>
      </c>
      <c r="G166" s="2" t="s">
        <v>17</v>
      </c>
      <c r="H166" s="2" t="s">
        <v>2736</v>
      </c>
      <c r="I166" t="s">
        <v>1983</v>
      </c>
    </row>
    <row r="167" spans="1:9">
      <c r="A167" s="2" t="s">
        <v>405</v>
      </c>
      <c r="B167" s="2" t="s">
        <v>2737</v>
      </c>
      <c r="C167" s="2"/>
      <c r="D167" s="2" t="s">
        <v>2738</v>
      </c>
      <c r="E167" s="2" t="s">
        <v>2739</v>
      </c>
      <c r="F167" s="2" t="s">
        <v>2740</v>
      </c>
      <c r="G167" s="2" t="s">
        <v>19</v>
      </c>
      <c r="H167" s="2">
        <v>53405</v>
      </c>
      <c r="I167" t="s">
        <v>1975</v>
      </c>
    </row>
    <row r="168" spans="1:9">
      <c r="A168" s="2" t="s">
        <v>407</v>
      </c>
      <c r="B168" s="2" t="s">
        <v>2741</v>
      </c>
      <c r="C168" s="2"/>
      <c r="D168" s="2" t="s">
        <v>2742</v>
      </c>
      <c r="E168" s="2" t="s">
        <v>2743</v>
      </c>
      <c r="F168" s="2" t="s">
        <v>2744</v>
      </c>
      <c r="G168" s="2" t="s">
        <v>19</v>
      </c>
      <c r="H168" s="2">
        <v>34629</v>
      </c>
      <c r="I168" t="s">
        <v>1975</v>
      </c>
    </row>
    <row r="169" spans="1:9">
      <c r="A169" s="2" t="s">
        <v>409</v>
      </c>
      <c r="B169" s="2" t="s">
        <v>2745</v>
      </c>
      <c r="C169" s="2" t="s">
        <v>2746</v>
      </c>
      <c r="D169" s="2" t="s">
        <v>2747</v>
      </c>
      <c r="E169" s="2" t="s">
        <v>2748</v>
      </c>
      <c r="F169" s="2" t="s">
        <v>2740</v>
      </c>
      <c r="G169" s="2" t="s">
        <v>19</v>
      </c>
      <c r="H169" s="2">
        <v>53405</v>
      </c>
      <c r="I169" t="s">
        <v>1975</v>
      </c>
    </row>
    <row r="170" spans="1:9">
      <c r="A170" s="2" t="s">
        <v>411</v>
      </c>
      <c r="B170" s="2" t="s">
        <v>2749</v>
      </c>
      <c r="C170" s="2"/>
      <c r="D170" s="2" t="s">
        <v>2750</v>
      </c>
      <c r="E170" s="2" t="s">
        <v>2751</v>
      </c>
      <c r="F170" s="2" t="s">
        <v>2735</v>
      </c>
      <c r="G170" s="2" t="s">
        <v>17</v>
      </c>
      <c r="H170" s="2" t="s">
        <v>2736</v>
      </c>
      <c r="I170" t="s">
        <v>1983</v>
      </c>
    </row>
    <row r="171" spans="1:9">
      <c r="A171" s="2" t="s">
        <v>413</v>
      </c>
      <c r="B171" s="2" t="s">
        <v>2752</v>
      </c>
      <c r="C171" s="2" t="s">
        <v>2753</v>
      </c>
      <c r="D171" s="2" t="s">
        <v>2754</v>
      </c>
      <c r="E171" s="2" t="s">
        <v>2755</v>
      </c>
      <c r="F171" s="2" t="s">
        <v>2756</v>
      </c>
      <c r="G171" s="2" t="s">
        <v>17</v>
      </c>
      <c r="H171" s="2" t="s">
        <v>2757</v>
      </c>
      <c r="I171" t="s">
        <v>1983</v>
      </c>
    </row>
    <row r="172" spans="1:9">
      <c r="A172" s="2" t="s">
        <v>415</v>
      </c>
      <c r="B172" s="2" t="s">
        <v>2758</v>
      </c>
      <c r="C172" s="2" t="s">
        <v>2759</v>
      </c>
      <c r="D172" s="2"/>
      <c r="E172" s="2" t="s">
        <v>2760</v>
      </c>
      <c r="F172" s="2" t="s">
        <v>2761</v>
      </c>
      <c r="G172" s="2" t="s">
        <v>18</v>
      </c>
      <c r="H172" s="2" t="s">
        <v>2762</v>
      </c>
      <c r="I172" t="s">
        <v>1983</v>
      </c>
    </row>
    <row r="173" spans="1:9">
      <c r="A173" s="2" t="s">
        <v>417</v>
      </c>
      <c r="B173" s="2" t="s">
        <v>2763</v>
      </c>
      <c r="C173" s="2" t="s">
        <v>2764</v>
      </c>
      <c r="D173" s="2" t="s">
        <v>2765</v>
      </c>
      <c r="E173" s="2" t="s">
        <v>2766</v>
      </c>
      <c r="F173" s="2" t="s">
        <v>2251</v>
      </c>
      <c r="G173" s="2" t="s">
        <v>19</v>
      </c>
      <c r="H173" s="2">
        <v>33686</v>
      </c>
      <c r="I173" t="s">
        <v>1975</v>
      </c>
    </row>
    <row r="174" spans="1:9">
      <c r="A174" s="2" t="s">
        <v>419</v>
      </c>
      <c r="B174" s="2" t="s">
        <v>2767</v>
      </c>
      <c r="C174" s="2" t="s">
        <v>2768</v>
      </c>
      <c r="D174" s="2"/>
      <c r="E174" s="2" t="s">
        <v>2769</v>
      </c>
      <c r="F174" s="2" t="s">
        <v>2770</v>
      </c>
      <c r="G174" s="2" t="s">
        <v>17</v>
      </c>
      <c r="H174" s="2" t="s">
        <v>2443</v>
      </c>
      <c r="I174" t="s">
        <v>1983</v>
      </c>
    </row>
    <row r="175" spans="1:9">
      <c r="A175" s="2" t="s">
        <v>421</v>
      </c>
      <c r="B175" s="2" t="s">
        <v>2771</v>
      </c>
      <c r="C175" s="2" t="s">
        <v>2772</v>
      </c>
      <c r="D175" s="2" t="s">
        <v>2773</v>
      </c>
      <c r="E175" s="2" t="s">
        <v>2774</v>
      </c>
      <c r="F175" s="2" t="s">
        <v>2775</v>
      </c>
      <c r="G175" s="2" t="s">
        <v>19</v>
      </c>
      <c r="H175" s="2">
        <v>36195</v>
      </c>
      <c r="I175" t="s">
        <v>1983</v>
      </c>
    </row>
    <row r="176" spans="1:9">
      <c r="A176" s="2" t="s">
        <v>423</v>
      </c>
      <c r="B176" s="2" t="s">
        <v>2776</v>
      </c>
      <c r="C176" s="2"/>
      <c r="D176" s="2" t="s">
        <v>2777</v>
      </c>
      <c r="E176" s="2" t="s">
        <v>2778</v>
      </c>
      <c r="F176" s="2" t="s">
        <v>2779</v>
      </c>
      <c r="G176" s="2" t="s">
        <v>19</v>
      </c>
      <c r="H176" s="2">
        <v>89436</v>
      </c>
      <c r="I176" t="s">
        <v>1975</v>
      </c>
    </row>
    <row r="177" spans="1:9">
      <c r="A177" s="2" t="s">
        <v>425</v>
      </c>
      <c r="B177" s="2" t="s">
        <v>2780</v>
      </c>
      <c r="C177" s="2" t="s">
        <v>2781</v>
      </c>
      <c r="D177" s="2" t="s">
        <v>2782</v>
      </c>
      <c r="E177" s="2" t="s">
        <v>2783</v>
      </c>
      <c r="F177" s="2" t="s">
        <v>2784</v>
      </c>
      <c r="G177" s="2" t="s">
        <v>19</v>
      </c>
      <c r="H177" s="2">
        <v>31205</v>
      </c>
      <c r="I177" t="s">
        <v>1975</v>
      </c>
    </row>
    <row r="178" spans="1:9">
      <c r="A178" s="2" t="s">
        <v>427</v>
      </c>
      <c r="B178" s="2" t="s">
        <v>2785</v>
      </c>
      <c r="C178" s="2" t="s">
        <v>2786</v>
      </c>
      <c r="D178" s="2" t="s">
        <v>2787</v>
      </c>
      <c r="E178" s="2" t="s">
        <v>2788</v>
      </c>
      <c r="F178" s="2" t="s">
        <v>2789</v>
      </c>
      <c r="G178" s="2" t="s">
        <v>19</v>
      </c>
      <c r="H178" s="2">
        <v>90605</v>
      </c>
      <c r="I178" t="s">
        <v>1975</v>
      </c>
    </row>
    <row r="179" spans="1:9">
      <c r="A179" s="2" t="s">
        <v>429</v>
      </c>
      <c r="B179" s="2" t="s">
        <v>2790</v>
      </c>
      <c r="C179" s="2" t="s">
        <v>2791</v>
      </c>
      <c r="D179" s="2"/>
      <c r="E179" s="2" t="s">
        <v>2792</v>
      </c>
      <c r="F179" s="2" t="s">
        <v>2793</v>
      </c>
      <c r="G179" s="2" t="s">
        <v>19</v>
      </c>
      <c r="H179" s="2">
        <v>37605</v>
      </c>
      <c r="I179" t="s">
        <v>1975</v>
      </c>
    </row>
    <row r="180" spans="1:9">
      <c r="A180" s="2" t="s">
        <v>431</v>
      </c>
      <c r="B180" s="2" t="s">
        <v>2794</v>
      </c>
      <c r="C180" s="2" t="s">
        <v>2795</v>
      </c>
      <c r="D180" s="2" t="s">
        <v>2796</v>
      </c>
      <c r="E180" s="2" t="s">
        <v>2797</v>
      </c>
      <c r="F180" s="2" t="s">
        <v>2194</v>
      </c>
      <c r="G180" s="2" t="s">
        <v>19</v>
      </c>
      <c r="H180" s="2">
        <v>14614</v>
      </c>
      <c r="I180" t="s">
        <v>1983</v>
      </c>
    </row>
    <row r="181" spans="1:9">
      <c r="A181" s="2" t="s">
        <v>433</v>
      </c>
      <c r="B181" s="2" t="s">
        <v>2798</v>
      </c>
      <c r="C181" s="2"/>
      <c r="D181" s="2" t="s">
        <v>2799</v>
      </c>
      <c r="E181" s="2" t="s">
        <v>2800</v>
      </c>
      <c r="F181" s="2" t="s">
        <v>2801</v>
      </c>
      <c r="G181" s="2" t="s">
        <v>17</v>
      </c>
      <c r="H181" s="2" t="s">
        <v>2802</v>
      </c>
      <c r="I181" t="s">
        <v>1983</v>
      </c>
    </row>
    <row r="182" spans="1:9">
      <c r="A182" s="2" t="s">
        <v>435</v>
      </c>
      <c r="B182" s="2" t="s">
        <v>2803</v>
      </c>
      <c r="C182" s="2" t="s">
        <v>2804</v>
      </c>
      <c r="D182" s="2" t="s">
        <v>2805</v>
      </c>
      <c r="E182" s="2" t="s">
        <v>2806</v>
      </c>
      <c r="F182" s="2" t="s">
        <v>2807</v>
      </c>
      <c r="G182" s="2" t="s">
        <v>19</v>
      </c>
      <c r="H182" s="2">
        <v>11254</v>
      </c>
      <c r="I182" t="s">
        <v>1983</v>
      </c>
    </row>
    <row r="183" spans="1:9">
      <c r="A183" s="2" t="s">
        <v>2808</v>
      </c>
      <c r="B183" s="2" t="s">
        <v>2809</v>
      </c>
      <c r="C183" s="2" t="s">
        <v>2810</v>
      </c>
      <c r="D183" s="2" t="s">
        <v>2811</v>
      </c>
      <c r="E183" s="2" t="s">
        <v>2812</v>
      </c>
      <c r="F183" s="2" t="s">
        <v>1994</v>
      </c>
      <c r="G183" s="2" t="s">
        <v>19</v>
      </c>
      <c r="H183" s="2">
        <v>1114</v>
      </c>
      <c r="I183" t="s">
        <v>1983</v>
      </c>
    </row>
    <row r="184" spans="1:9">
      <c r="A184" s="2" t="s">
        <v>437</v>
      </c>
      <c r="B184" s="2" t="s">
        <v>2813</v>
      </c>
      <c r="C184" s="2" t="s">
        <v>2814</v>
      </c>
      <c r="D184" s="2" t="s">
        <v>2815</v>
      </c>
      <c r="E184" s="2" t="s">
        <v>2816</v>
      </c>
      <c r="F184" s="2" t="s">
        <v>2817</v>
      </c>
      <c r="G184" s="2" t="s">
        <v>19</v>
      </c>
      <c r="H184" s="2">
        <v>22908</v>
      </c>
      <c r="I184" t="s">
        <v>1983</v>
      </c>
    </row>
    <row r="185" spans="1:9">
      <c r="A185" s="2" t="s">
        <v>439</v>
      </c>
      <c r="B185" s="2" t="s">
        <v>2818</v>
      </c>
      <c r="C185" s="2" t="s">
        <v>2819</v>
      </c>
      <c r="D185" s="2" t="s">
        <v>2820</v>
      </c>
      <c r="E185" s="2" t="s">
        <v>2821</v>
      </c>
      <c r="F185" s="2" t="s">
        <v>2822</v>
      </c>
      <c r="G185" s="2" t="s">
        <v>19</v>
      </c>
      <c r="H185" s="2">
        <v>75044</v>
      </c>
      <c r="I185" t="s">
        <v>1983</v>
      </c>
    </row>
    <row r="186" spans="1:9">
      <c r="A186" s="2" t="s">
        <v>441</v>
      </c>
      <c r="B186" s="2" t="s">
        <v>2823</v>
      </c>
      <c r="C186" s="2" t="s">
        <v>2824</v>
      </c>
      <c r="D186" s="2" t="s">
        <v>2825</v>
      </c>
      <c r="E186" s="2" t="s">
        <v>2826</v>
      </c>
      <c r="F186" s="2" t="s">
        <v>2168</v>
      </c>
      <c r="G186" s="2" t="s">
        <v>19</v>
      </c>
      <c r="H186" s="2">
        <v>55448</v>
      </c>
      <c r="I186" t="s">
        <v>1983</v>
      </c>
    </row>
    <row r="187" spans="1:9">
      <c r="A187" s="2" t="s">
        <v>443</v>
      </c>
      <c r="B187" s="2" t="s">
        <v>2827</v>
      </c>
      <c r="C187" s="2" t="s">
        <v>2828</v>
      </c>
      <c r="D187" s="2" t="s">
        <v>2829</v>
      </c>
      <c r="E187" s="2" t="s">
        <v>2830</v>
      </c>
      <c r="F187" s="2" t="s">
        <v>2831</v>
      </c>
      <c r="G187" s="2" t="s">
        <v>19</v>
      </c>
      <c r="H187" s="2">
        <v>48919</v>
      </c>
      <c r="I187" t="s">
        <v>1975</v>
      </c>
    </row>
    <row r="188" spans="1:9">
      <c r="A188" s="2" t="s">
        <v>445</v>
      </c>
      <c r="B188" s="2" t="s">
        <v>2832</v>
      </c>
      <c r="C188" s="2" t="s">
        <v>2833</v>
      </c>
      <c r="D188" s="2" t="s">
        <v>2834</v>
      </c>
      <c r="E188" s="2" t="s">
        <v>2835</v>
      </c>
      <c r="F188" s="2" t="s">
        <v>2142</v>
      </c>
      <c r="G188" s="2" t="s">
        <v>19</v>
      </c>
      <c r="H188" s="2">
        <v>58207</v>
      </c>
      <c r="I188" t="s">
        <v>1983</v>
      </c>
    </row>
    <row r="189" spans="1:9">
      <c r="A189" s="2" t="s">
        <v>447</v>
      </c>
      <c r="B189" s="2" t="s">
        <v>2836</v>
      </c>
      <c r="C189" s="2" t="s">
        <v>2837</v>
      </c>
      <c r="D189" s="2"/>
      <c r="E189" s="2" t="s">
        <v>2838</v>
      </c>
      <c r="F189" s="2" t="s">
        <v>2532</v>
      </c>
      <c r="G189" s="2" t="s">
        <v>19</v>
      </c>
      <c r="H189" s="2">
        <v>99522</v>
      </c>
      <c r="I189" t="s">
        <v>1975</v>
      </c>
    </row>
    <row r="190" spans="1:9">
      <c r="A190" s="2" t="s">
        <v>449</v>
      </c>
      <c r="B190" s="2" t="s">
        <v>2839</v>
      </c>
      <c r="C190" s="2" t="s">
        <v>2840</v>
      </c>
      <c r="D190" s="2" t="s">
        <v>2841</v>
      </c>
      <c r="E190" s="2" t="s">
        <v>2842</v>
      </c>
      <c r="F190" s="2" t="s">
        <v>2393</v>
      </c>
      <c r="G190" s="2" t="s">
        <v>19</v>
      </c>
      <c r="H190" s="2">
        <v>73129</v>
      </c>
      <c r="I190" t="s">
        <v>1975</v>
      </c>
    </row>
    <row r="191" spans="1:9">
      <c r="A191" s="2" t="s">
        <v>451</v>
      </c>
      <c r="B191" s="2" t="s">
        <v>2843</v>
      </c>
      <c r="C191" s="2" t="s">
        <v>2844</v>
      </c>
      <c r="D191" s="2" t="s">
        <v>2845</v>
      </c>
      <c r="E191" s="2" t="s">
        <v>2846</v>
      </c>
      <c r="F191" s="2" t="s">
        <v>2847</v>
      </c>
      <c r="G191" s="2" t="s">
        <v>19</v>
      </c>
      <c r="H191" s="2">
        <v>74103</v>
      </c>
      <c r="I191" t="s">
        <v>1975</v>
      </c>
    </row>
    <row r="192" spans="1:9">
      <c r="A192" s="2" t="s">
        <v>453</v>
      </c>
      <c r="B192" s="2" t="s">
        <v>2848</v>
      </c>
      <c r="C192" s="2" t="s">
        <v>2849</v>
      </c>
      <c r="D192" s="2" t="s">
        <v>2850</v>
      </c>
      <c r="E192" s="2" t="s">
        <v>2851</v>
      </c>
      <c r="F192" s="2" t="s">
        <v>2852</v>
      </c>
      <c r="G192" s="2" t="s">
        <v>19</v>
      </c>
      <c r="H192" s="2">
        <v>48211</v>
      </c>
      <c r="I192" t="s">
        <v>1975</v>
      </c>
    </row>
    <row r="193" spans="1:9">
      <c r="A193" s="2" t="s">
        <v>455</v>
      </c>
      <c r="B193" s="2" t="s">
        <v>2853</v>
      </c>
      <c r="C193" s="2" t="s">
        <v>2854</v>
      </c>
      <c r="D193" s="2" t="s">
        <v>2855</v>
      </c>
      <c r="E193" s="2" t="s">
        <v>2856</v>
      </c>
      <c r="F193" s="2" t="s">
        <v>2217</v>
      </c>
      <c r="G193" s="2" t="s">
        <v>19</v>
      </c>
      <c r="H193" s="2">
        <v>20436</v>
      </c>
      <c r="I193" t="s">
        <v>1975</v>
      </c>
    </row>
    <row r="194" spans="1:9">
      <c r="A194" s="2" t="s">
        <v>457</v>
      </c>
      <c r="B194" s="2" t="s">
        <v>2857</v>
      </c>
      <c r="C194" s="2" t="s">
        <v>2858</v>
      </c>
      <c r="D194" s="2" t="s">
        <v>2859</v>
      </c>
      <c r="E194" s="2" t="s">
        <v>2860</v>
      </c>
      <c r="F194" s="2" t="s">
        <v>2861</v>
      </c>
      <c r="G194" s="2" t="s">
        <v>17</v>
      </c>
      <c r="H194" s="2" t="s">
        <v>2862</v>
      </c>
      <c r="I194" t="s">
        <v>1975</v>
      </c>
    </row>
    <row r="195" spans="1:9">
      <c r="A195" s="2" t="s">
        <v>459</v>
      </c>
      <c r="B195" s="2" t="s">
        <v>2863</v>
      </c>
      <c r="C195" s="2"/>
      <c r="D195" s="2" t="s">
        <v>2864</v>
      </c>
      <c r="E195" s="2" t="s">
        <v>2865</v>
      </c>
      <c r="F195" s="2" t="s">
        <v>2866</v>
      </c>
      <c r="G195" s="2" t="s">
        <v>19</v>
      </c>
      <c r="H195" s="2">
        <v>85215</v>
      </c>
      <c r="I195" t="s">
        <v>1983</v>
      </c>
    </row>
    <row r="196" spans="1:9">
      <c r="A196" s="2" t="s">
        <v>461</v>
      </c>
      <c r="B196" s="2" t="s">
        <v>2867</v>
      </c>
      <c r="C196" s="2" t="s">
        <v>2868</v>
      </c>
      <c r="D196" s="2" t="s">
        <v>2869</v>
      </c>
      <c r="E196" s="2" t="s">
        <v>2870</v>
      </c>
      <c r="F196" s="2" t="s">
        <v>2871</v>
      </c>
      <c r="G196" s="2" t="s">
        <v>19</v>
      </c>
      <c r="H196" s="2">
        <v>44485</v>
      </c>
      <c r="I196" t="s">
        <v>1983</v>
      </c>
    </row>
    <row r="197" spans="1:9">
      <c r="A197" s="2" t="s">
        <v>463</v>
      </c>
      <c r="B197" s="2" t="s">
        <v>2872</v>
      </c>
      <c r="C197" s="2" t="s">
        <v>2873</v>
      </c>
      <c r="D197" s="2" t="s">
        <v>2874</v>
      </c>
      <c r="E197" s="2" t="s">
        <v>2875</v>
      </c>
      <c r="F197" s="2" t="s">
        <v>2876</v>
      </c>
      <c r="G197" s="2" t="s">
        <v>19</v>
      </c>
      <c r="H197" s="2">
        <v>38150</v>
      </c>
      <c r="I197" t="s">
        <v>1983</v>
      </c>
    </row>
    <row r="198" spans="1:9">
      <c r="A198" s="2" t="s">
        <v>465</v>
      </c>
      <c r="B198" s="2" t="s">
        <v>2877</v>
      </c>
      <c r="C198" s="2" t="s">
        <v>2878</v>
      </c>
      <c r="D198" s="2"/>
      <c r="E198" s="2" t="s">
        <v>2879</v>
      </c>
      <c r="F198" s="2" t="s">
        <v>2217</v>
      </c>
      <c r="G198" s="2" t="s">
        <v>19</v>
      </c>
      <c r="H198" s="2">
        <v>20535</v>
      </c>
      <c r="I198" t="s">
        <v>1983</v>
      </c>
    </row>
    <row r="199" spans="1:9">
      <c r="A199" s="2" t="s">
        <v>2880</v>
      </c>
      <c r="B199" s="2" t="s">
        <v>2881</v>
      </c>
      <c r="C199" s="2" t="s">
        <v>2882</v>
      </c>
      <c r="D199" s="2" t="s">
        <v>2883</v>
      </c>
      <c r="E199" s="2" t="s">
        <v>2884</v>
      </c>
      <c r="F199" s="2" t="s">
        <v>2885</v>
      </c>
      <c r="G199" s="2" t="s">
        <v>17</v>
      </c>
      <c r="H199" s="2" t="s">
        <v>2886</v>
      </c>
      <c r="I199" t="s">
        <v>1975</v>
      </c>
    </row>
    <row r="200" spans="1:9">
      <c r="A200" s="2" t="s">
        <v>2887</v>
      </c>
      <c r="B200" s="2" t="s">
        <v>2888</v>
      </c>
      <c r="C200" s="2" t="s">
        <v>2889</v>
      </c>
      <c r="D200" s="2" t="s">
        <v>2890</v>
      </c>
      <c r="E200" s="2" t="s">
        <v>2891</v>
      </c>
      <c r="F200" s="2" t="s">
        <v>2892</v>
      </c>
      <c r="G200" s="2" t="s">
        <v>19</v>
      </c>
      <c r="H200" s="2">
        <v>33064</v>
      </c>
      <c r="I200" t="s">
        <v>1983</v>
      </c>
    </row>
    <row r="201" spans="1:9">
      <c r="A201" s="2" t="s">
        <v>2893</v>
      </c>
      <c r="B201" s="2" t="s">
        <v>2894</v>
      </c>
      <c r="C201" s="2" t="s">
        <v>2895</v>
      </c>
      <c r="D201" s="2" t="s">
        <v>2896</v>
      </c>
      <c r="E201" s="2" t="s">
        <v>2897</v>
      </c>
      <c r="F201" s="2" t="s">
        <v>2283</v>
      </c>
      <c r="G201" s="2" t="s">
        <v>19</v>
      </c>
      <c r="H201" s="2">
        <v>60604</v>
      </c>
      <c r="I201" t="s">
        <v>1983</v>
      </c>
    </row>
    <row r="202" spans="1:9">
      <c r="A202" s="2" t="s">
        <v>2898</v>
      </c>
      <c r="B202" s="2" t="s">
        <v>2899</v>
      </c>
      <c r="C202" s="2" t="s">
        <v>2900</v>
      </c>
      <c r="D202" s="2" t="s">
        <v>2901</v>
      </c>
      <c r="E202" s="2" t="s">
        <v>2902</v>
      </c>
      <c r="F202" s="2" t="s">
        <v>2903</v>
      </c>
      <c r="G202" s="2" t="s">
        <v>18</v>
      </c>
      <c r="H202" s="2" t="s">
        <v>2904</v>
      </c>
      <c r="I202" t="s">
        <v>1983</v>
      </c>
    </row>
    <row r="203" spans="1:9">
      <c r="A203" s="2" t="s">
        <v>467</v>
      </c>
      <c r="B203" s="2" t="s">
        <v>2905</v>
      </c>
      <c r="C203" s="2"/>
      <c r="D203" s="2" t="s">
        <v>2906</v>
      </c>
      <c r="E203" s="2" t="s">
        <v>2907</v>
      </c>
      <c r="F203" s="2" t="s">
        <v>2185</v>
      </c>
      <c r="G203" s="2" t="s">
        <v>19</v>
      </c>
      <c r="H203" s="2">
        <v>84409</v>
      </c>
      <c r="I203" t="s">
        <v>1983</v>
      </c>
    </row>
    <row r="204" spans="1:9">
      <c r="A204" s="2" t="s">
        <v>469</v>
      </c>
      <c r="B204" s="2" t="s">
        <v>2908</v>
      </c>
      <c r="C204" s="2" t="s">
        <v>2909</v>
      </c>
      <c r="D204" s="2" t="s">
        <v>2910</v>
      </c>
      <c r="E204" s="2" t="s">
        <v>2911</v>
      </c>
      <c r="F204" s="2" t="s">
        <v>2912</v>
      </c>
      <c r="G204" s="2" t="s">
        <v>19</v>
      </c>
      <c r="H204" s="2">
        <v>12205</v>
      </c>
      <c r="I204" t="s">
        <v>1975</v>
      </c>
    </row>
    <row r="205" spans="1:9">
      <c r="A205" s="2" t="s">
        <v>471</v>
      </c>
      <c r="B205" s="2" t="s">
        <v>2913</v>
      </c>
      <c r="C205" s="2" t="s">
        <v>2914</v>
      </c>
      <c r="D205" s="2" t="s">
        <v>2915</v>
      </c>
      <c r="E205" s="2" t="s">
        <v>2916</v>
      </c>
      <c r="F205" s="2" t="s">
        <v>2917</v>
      </c>
      <c r="G205" s="2" t="s">
        <v>19</v>
      </c>
      <c r="H205" s="2">
        <v>29305</v>
      </c>
      <c r="I205" t="s">
        <v>1983</v>
      </c>
    </row>
    <row r="206" spans="1:9">
      <c r="A206" s="2" t="s">
        <v>473</v>
      </c>
      <c r="B206" s="2" t="s">
        <v>2918</v>
      </c>
      <c r="C206" s="2"/>
      <c r="D206" s="2" t="s">
        <v>2919</v>
      </c>
      <c r="E206" s="2" t="s">
        <v>2920</v>
      </c>
      <c r="F206" s="2" t="s">
        <v>2921</v>
      </c>
      <c r="G206" s="2" t="s">
        <v>19</v>
      </c>
      <c r="H206" s="2">
        <v>10310</v>
      </c>
      <c r="I206" t="s">
        <v>1983</v>
      </c>
    </row>
    <row r="207" spans="1:9">
      <c r="A207" s="2" t="s">
        <v>475</v>
      </c>
      <c r="B207" s="2" t="s">
        <v>2922</v>
      </c>
      <c r="C207" s="2"/>
      <c r="D207" s="2" t="s">
        <v>2923</v>
      </c>
      <c r="E207" s="2" t="s">
        <v>2924</v>
      </c>
      <c r="F207" s="2" t="s">
        <v>2217</v>
      </c>
      <c r="G207" s="2" t="s">
        <v>19</v>
      </c>
      <c r="H207" s="2">
        <v>20337</v>
      </c>
      <c r="I207" t="s">
        <v>1975</v>
      </c>
    </row>
    <row r="208" spans="1:9">
      <c r="A208" s="2" t="s">
        <v>477</v>
      </c>
      <c r="B208" s="2" t="s">
        <v>2925</v>
      </c>
      <c r="C208" s="2" t="s">
        <v>2926</v>
      </c>
      <c r="D208" s="2"/>
      <c r="E208" s="2" t="s">
        <v>2927</v>
      </c>
      <c r="F208" s="2" t="s">
        <v>2331</v>
      </c>
      <c r="G208" s="2" t="s">
        <v>19</v>
      </c>
      <c r="H208" s="2">
        <v>28225</v>
      </c>
      <c r="I208" t="s">
        <v>1983</v>
      </c>
    </row>
    <row r="209" spans="1:9">
      <c r="A209" s="2" t="s">
        <v>479</v>
      </c>
      <c r="B209" s="2" t="s">
        <v>2928</v>
      </c>
      <c r="C209" s="2" t="s">
        <v>2929</v>
      </c>
      <c r="D209" s="2" t="s">
        <v>2930</v>
      </c>
      <c r="E209" s="2" t="s">
        <v>2931</v>
      </c>
      <c r="F209" s="2" t="s">
        <v>2932</v>
      </c>
      <c r="G209" s="2" t="s">
        <v>19</v>
      </c>
      <c r="H209" s="2">
        <v>79491</v>
      </c>
      <c r="I209" t="s">
        <v>1975</v>
      </c>
    </row>
    <row r="210" spans="1:9">
      <c r="A210" s="2" t="s">
        <v>481</v>
      </c>
      <c r="B210" s="2" t="s">
        <v>2933</v>
      </c>
      <c r="C210" s="2" t="s">
        <v>2934</v>
      </c>
      <c r="D210" s="2" t="s">
        <v>2935</v>
      </c>
      <c r="E210" s="2" t="s">
        <v>2936</v>
      </c>
      <c r="F210" s="2" t="s">
        <v>2937</v>
      </c>
      <c r="G210" s="2" t="s">
        <v>17</v>
      </c>
      <c r="H210" s="2" t="s">
        <v>2938</v>
      </c>
      <c r="I210" t="s">
        <v>1975</v>
      </c>
    </row>
    <row r="211" spans="1:9">
      <c r="A211" s="2" t="s">
        <v>483</v>
      </c>
      <c r="B211" s="2" t="s">
        <v>2939</v>
      </c>
      <c r="C211" s="2" t="s">
        <v>2940</v>
      </c>
      <c r="D211" s="2" t="s">
        <v>2941</v>
      </c>
      <c r="E211" s="2" t="s">
        <v>2942</v>
      </c>
      <c r="F211" s="2" t="s">
        <v>2943</v>
      </c>
      <c r="G211" s="2" t="s">
        <v>18</v>
      </c>
      <c r="H211" s="2" t="s">
        <v>2944</v>
      </c>
      <c r="I211" t="s">
        <v>1983</v>
      </c>
    </row>
    <row r="212" spans="1:9">
      <c r="A212" s="2" t="s">
        <v>485</v>
      </c>
      <c r="B212" s="2" t="s">
        <v>2945</v>
      </c>
      <c r="C212" s="2" t="s">
        <v>2946</v>
      </c>
      <c r="D212" s="2" t="s">
        <v>2947</v>
      </c>
      <c r="E212" s="2" t="s">
        <v>2948</v>
      </c>
      <c r="F212" s="2" t="s">
        <v>2817</v>
      </c>
      <c r="G212" s="2" t="s">
        <v>19</v>
      </c>
      <c r="H212" s="2">
        <v>22908</v>
      </c>
      <c r="I212" t="s">
        <v>1975</v>
      </c>
    </row>
    <row r="213" spans="1:9">
      <c r="A213" s="2" t="s">
        <v>487</v>
      </c>
      <c r="B213" s="2" t="s">
        <v>2949</v>
      </c>
      <c r="C213" s="2" t="s">
        <v>2950</v>
      </c>
      <c r="D213" s="2"/>
      <c r="E213" s="2" t="s">
        <v>2951</v>
      </c>
      <c r="F213" s="2" t="s">
        <v>2069</v>
      </c>
      <c r="G213" s="2" t="s">
        <v>19</v>
      </c>
      <c r="H213" s="2">
        <v>10105</v>
      </c>
      <c r="I213" t="s">
        <v>1983</v>
      </c>
    </row>
    <row r="214" spans="1:9">
      <c r="A214" s="2" t="s">
        <v>489</v>
      </c>
      <c r="B214" s="2" t="s">
        <v>2952</v>
      </c>
      <c r="C214" s="2" t="s">
        <v>2953</v>
      </c>
      <c r="D214" s="2" t="s">
        <v>2954</v>
      </c>
      <c r="E214" s="2" t="s">
        <v>2955</v>
      </c>
      <c r="F214" s="2" t="s">
        <v>2674</v>
      </c>
      <c r="G214" s="2" t="s">
        <v>19</v>
      </c>
      <c r="H214" s="2">
        <v>24009</v>
      </c>
      <c r="I214" t="s">
        <v>1975</v>
      </c>
    </row>
    <row r="215" spans="1:9">
      <c r="A215" s="2" t="s">
        <v>491</v>
      </c>
      <c r="B215" s="2" t="s">
        <v>2956</v>
      </c>
      <c r="C215" s="2" t="s">
        <v>2957</v>
      </c>
      <c r="D215" s="2" t="s">
        <v>2958</v>
      </c>
      <c r="E215" s="2" t="s">
        <v>2959</v>
      </c>
      <c r="F215" s="2" t="s">
        <v>2069</v>
      </c>
      <c r="G215" s="2" t="s">
        <v>19</v>
      </c>
      <c r="H215" s="2">
        <v>10009</v>
      </c>
      <c r="I215" t="s">
        <v>1983</v>
      </c>
    </row>
    <row r="216" spans="1:9">
      <c r="A216" s="2" t="s">
        <v>493</v>
      </c>
      <c r="B216" s="2" t="s">
        <v>2960</v>
      </c>
      <c r="C216" s="2" t="s">
        <v>2961</v>
      </c>
      <c r="D216" s="2" t="s">
        <v>2962</v>
      </c>
      <c r="E216" s="2" t="s">
        <v>2963</v>
      </c>
      <c r="F216" s="2" t="s">
        <v>2964</v>
      </c>
      <c r="G216" s="2" t="s">
        <v>17</v>
      </c>
      <c r="H216" s="2" t="s">
        <v>2115</v>
      </c>
      <c r="I216" t="s">
        <v>1983</v>
      </c>
    </row>
    <row r="217" spans="1:9">
      <c r="A217" s="2" t="s">
        <v>495</v>
      </c>
      <c r="B217" s="2" t="s">
        <v>2965</v>
      </c>
      <c r="C217" s="2" t="s">
        <v>2966</v>
      </c>
      <c r="D217" s="2" t="s">
        <v>2967</v>
      </c>
      <c r="E217" s="2" t="s">
        <v>2968</v>
      </c>
      <c r="F217" s="2" t="s">
        <v>2969</v>
      </c>
      <c r="G217" s="2" t="s">
        <v>19</v>
      </c>
      <c r="H217" s="2">
        <v>84120</v>
      </c>
      <c r="I217" t="s">
        <v>1983</v>
      </c>
    </row>
    <row r="218" spans="1:9">
      <c r="A218" s="2" t="s">
        <v>497</v>
      </c>
      <c r="B218" s="2" t="s">
        <v>2970</v>
      </c>
      <c r="C218" s="2" t="s">
        <v>2971</v>
      </c>
      <c r="D218" s="2" t="s">
        <v>2972</v>
      </c>
      <c r="E218" s="2" t="s">
        <v>2973</v>
      </c>
      <c r="F218" s="2" t="s">
        <v>2242</v>
      </c>
      <c r="G218" s="2" t="s">
        <v>19</v>
      </c>
      <c r="H218" s="2">
        <v>43635</v>
      </c>
      <c r="I218" t="s">
        <v>1975</v>
      </c>
    </row>
    <row r="219" spans="1:9">
      <c r="A219" s="2" t="s">
        <v>499</v>
      </c>
      <c r="B219" s="2" t="s">
        <v>2974</v>
      </c>
      <c r="C219" s="2" t="s">
        <v>2975</v>
      </c>
      <c r="D219" s="2" t="s">
        <v>2976</v>
      </c>
      <c r="E219" s="2" t="s">
        <v>2977</v>
      </c>
      <c r="F219" s="2" t="s">
        <v>2978</v>
      </c>
      <c r="G219" s="2" t="s">
        <v>19</v>
      </c>
      <c r="H219" s="2">
        <v>91131</v>
      </c>
      <c r="I219" t="s">
        <v>1983</v>
      </c>
    </row>
    <row r="220" spans="1:9">
      <c r="A220" s="2" t="s">
        <v>501</v>
      </c>
      <c r="B220" s="2" t="s">
        <v>2979</v>
      </c>
      <c r="C220" s="2" t="s">
        <v>2980</v>
      </c>
      <c r="D220" s="2" t="s">
        <v>2981</v>
      </c>
      <c r="E220" s="2" t="s">
        <v>2982</v>
      </c>
      <c r="F220" s="2" t="s">
        <v>2983</v>
      </c>
      <c r="G220" s="2" t="s">
        <v>17</v>
      </c>
      <c r="H220" s="2" t="s">
        <v>2324</v>
      </c>
      <c r="I220" t="s">
        <v>1975</v>
      </c>
    </row>
    <row r="221" spans="1:9">
      <c r="A221" s="2" t="s">
        <v>503</v>
      </c>
      <c r="B221" s="2" t="s">
        <v>2984</v>
      </c>
      <c r="C221" s="2" t="s">
        <v>2985</v>
      </c>
      <c r="D221" s="2" t="s">
        <v>2986</v>
      </c>
      <c r="E221" s="2" t="s">
        <v>2987</v>
      </c>
      <c r="F221" s="2" t="s">
        <v>2988</v>
      </c>
      <c r="G221" s="2" t="s">
        <v>19</v>
      </c>
      <c r="H221" s="2">
        <v>64082</v>
      </c>
      <c r="I221" t="s">
        <v>1983</v>
      </c>
    </row>
    <row r="222" spans="1:9">
      <c r="A222" s="2" t="s">
        <v>2989</v>
      </c>
      <c r="B222" s="2" t="s">
        <v>2990</v>
      </c>
      <c r="C222" s="2" t="s">
        <v>2991</v>
      </c>
      <c r="D222" s="2" t="s">
        <v>2992</v>
      </c>
      <c r="E222" s="2" t="s">
        <v>2993</v>
      </c>
      <c r="F222" s="2" t="s">
        <v>2297</v>
      </c>
      <c r="G222" s="2" t="s">
        <v>19</v>
      </c>
      <c r="H222" s="2">
        <v>76121</v>
      </c>
      <c r="I222" t="s">
        <v>1983</v>
      </c>
    </row>
    <row r="223" spans="1:9">
      <c r="A223" s="2" t="s">
        <v>505</v>
      </c>
      <c r="B223" s="2" t="s">
        <v>2994</v>
      </c>
      <c r="C223" s="2" t="s">
        <v>2995</v>
      </c>
      <c r="D223" s="2" t="s">
        <v>2996</v>
      </c>
      <c r="E223" s="2" t="s">
        <v>2997</v>
      </c>
      <c r="F223" s="2" t="s">
        <v>2998</v>
      </c>
      <c r="G223" s="2" t="s">
        <v>19</v>
      </c>
      <c r="H223" s="2">
        <v>92619</v>
      </c>
      <c r="I223" t="s">
        <v>1975</v>
      </c>
    </row>
    <row r="224" spans="1:9">
      <c r="A224" s="2" t="s">
        <v>507</v>
      </c>
      <c r="B224" s="2" t="s">
        <v>2999</v>
      </c>
      <c r="C224" s="2" t="s">
        <v>3000</v>
      </c>
      <c r="D224" s="2" t="s">
        <v>3001</v>
      </c>
      <c r="E224" s="2" t="s">
        <v>3002</v>
      </c>
      <c r="F224" s="2" t="s">
        <v>3003</v>
      </c>
      <c r="G224" s="2" t="s">
        <v>19</v>
      </c>
      <c r="H224" s="2">
        <v>11854</v>
      </c>
      <c r="I224" t="s">
        <v>1983</v>
      </c>
    </row>
    <row r="225" spans="1:9">
      <c r="A225" s="2" t="s">
        <v>509</v>
      </c>
      <c r="B225" s="2" t="s">
        <v>3004</v>
      </c>
      <c r="C225" s="2"/>
      <c r="D225" s="2" t="s">
        <v>3005</v>
      </c>
      <c r="E225" s="2" t="s">
        <v>3006</v>
      </c>
      <c r="F225" s="2" t="s">
        <v>2217</v>
      </c>
      <c r="G225" s="2" t="s">
        <v>19</v>
      </c>
      <c r="H225" s="2">
        <v>20546</v>
      </c>
      <c r="I225" t="s">
        <v>1975</v>
      </c>
    </row>
    <row r="226" spans="1:9">
      <c r="A226" s="2" t="s">
        <v>511</v>
      </c>
      <c r="B226" s="2" t="s">
        <v>3007</v>
      </c>
      <c r="C226" s="2" t="s">
        <v>3008</v>
      </c>
      <c r="D226" s="2" t="s">
        <v>3009</v>
      </c>
      <c r="E226" s="2" t="s">
        <v>3010</v>
      </c>
      <c r="F226" s="2" t="s">
        <v>2069</v>
      </c>
      <c r="G226" s="2" t="s">
        <v>19</v>
      </c>
      <c r="H226" s="2">
        <v>10060</v>
      </c>
      <c r="I226" t="s">
        <v>1975</v>
      </c>
    </row>
    <row r="227" spans="1:9">
      <c r="A227" s="2" t="s">
        <v>513</v>
      </c>
      <c r="B227" s="2" t="s">
        <v>3011</v>
      </c>
      <c r="C227" s="2" t="s">
        <v>3012</v>
      </c>
      <c r="D227" s="2" t="s">
        <v>3013</v>
      </c>
      <c r="E227" s="2" t="s">
        <v>3014</v>
      </c>
      <c r="F227" s="2" t="s">
        <v>2323</v>
      </c>
      <c r="G227" s="2" t="s">
        <v>17</v>
      </c>
      <c r="H227" s="2" t="s">
        <v>2324</v>
      </c>
      <c r="I227" t="s">
        <v>1983</v>
      </c>
    </row>
    <row r="228" spans="1:9">
      <c r="A228" s="2" t="s">
        <v>515</v>
      </c>
      <c r="B228" s="2" t="s">
        <v>3015</v>
      </c>
      <c r="C228" s="2" t="s">
        <v>3016</v>
      </c>
      <c r="D228" s="2" t="s">
        <v>3017</v>
      </c>
      <c r="E228" s="2" t="s">
        <v>3018</v>
      </c>
      <c r="F228" s="2" t="s">
        <v>3019</v>
      </c>
      <c r="G228" s="2" t="s">
        <v>19</v>
      </c>
      <c r="H228" s="2">
        <v>66276</v>
      </c>
      <c r="I228" t="s">
        <v>1983</v>
      </c>
    </row>
    <row r="229" spans="1:9">
      <c r="A229" s="2" t="s">
        <v>517</v>
      </c>
      <c r="B229" s="2" t="s">
        <v>3020</v>
      </c>
      <c r="C229" s="2" t="s">
        <v>3021</v>
      </c>
      <c r="D229" s="2" t="s">
        <v>3022</v>
      </c>
      <c r="E229" s="2" t="s">
        <v>3023</v>
      </c>
      <c r="F229" s="2" t="s">
        <v>3024</v>
      </c>
      <c r="G229" s="2" t="s">
        <v>18</v>
      </c>
      <c r="H229" s="2" t="s">
        <v>3025</v>
      </c>
      <c r="I229" t="s">
        <v>1975</v>
      </c>
    </row>
    <row r="230" spans="1:9">
      <c r="A230" s="2" t="s">
        <v>519</v>
      </c>
      <c r="B230" s="2" t="s">
        <v>3026</v>
      </c>
      <c r="C230" s="2" t="s">
        <v>3027</v>
      </c>
      <c r="D230" s="2" t="s">
        <v>3028</v>
      </c>
      <c r="E230" s="2" t="s">
        <v>3029</v>
      </c>
      <c r="F230" s="2" t="s">
        <v>3030</v>
      </c>
      <c r="G230" s="2" t="s">
        <v>19</v>
      </c>
      <c r="H230" s="2">
        <v>94291</v>
      </c>
      <c r="I230" t="s">
        <v>1983</v>
      </c>
    </row>
    <row r="231" spans="1:9">
      <c r="A231" s="2" t="s">
        <v>521</v>
      </c>
      <c r="B231" s="2" t="s">
        <v>3031</v>
      </c>
      <c r="C231" s="2" t="s">
        <v>3032</v>
      </c>
      <c r="D231" s="2" t="s">
        <v>3033</v>
      </c>
      <c r="E231" s="2" t="s">
        <v>3034</v>
      </c>
      <c r="F231" s="2" t="s">
        <v>3035</v>
      </c>
      <c r="G231" s="2" t="s">
        <v>19</v>
      </c>
      <c r="H231" s="2">
        <v>18706</v>
      </c>
      <c r="I231" t="s">
        <v>1983</v>
      </c>
    </row>
    <row r="232" spans="1:9">
      <c r="A232" s="2" t="s">
        <v>523</v>
      </c>
      <c r="B232" s="2" t="s">
        <v>3036</v>
      </c>
      <c r="C232" s="2" t="s">
        <v>3037</v>
      </c>
      <c r="D232" s="2" t="s">
        <v>3038</v>
      </c>
      <c r="E232" s="2" t="s">
        <v>3039</v>
      </c>
      <c r="F232" s="2" t="s">
        <v>2725</v>
      </c>
      <c r="G232" s="2" t="s">
        <v>19</v>
      </c>
      <c r="H232" s="2">
        <v>27499</v>
      </c>
      <c r="I232" t="s">
        <v>1983</v>
      </c>
    </row>
    <row r="233" spans="1:9">
      <c r="A233" s="2" t="s">
        <v>525</v>
      </c>
      <c r="B233" s="2" t="s">
        <v>3040</v>
      </c>
      <c r="C233" s="2"/>
      <c r="D233" s="2" t="s">
        <v>3041</v>
      </c>
      <c r="E233" s="2" t="s">
        <v>3042</v>
      </c>
      <c r="F233" s="2" t="s">
        <v>2287</v>
      </c>
      <c r="G233" s="2" t="s">
        <v>19</v>
      </c>
      <c r="H233" s="2">
        <v>19725</v>
      </c>
      <c r="I233" t="s">
        <v>1975</v>
      </c>
    </row>
    <row r="234" spans="1:9">
      <c r="A234" s="2" t="s">
        <v>527</v>
      </c>
      <c r="B234" s="2" t="s">
        <v>3043</v>
      </c>
      <c r="C234" s="2" t="s">
        <v>3044</v>
      </c>
      <c r="D234" s="2" t="s">
        <v>3045</v>
      </c>
      <c r="E234" s="2" t="s">
        <v>3046</v>
      </c>
      <c r="F234" s="2" t="s">
        <v>2230</v>
      </c>
      <c r="G234" s="2" t="s">
        <v>18</v>
      </c>
      <c r="H234" s="2" t="s">
        <v>2231</v>
      </c>
      <c r="I234" t="s">
        <v>1983</v>
      </c>
    </row>
    <row r="235" spans="1:9">
      <c r="A235" s="2" t="s">
        <v>529</v>
      </c>
      <c r="B235" s="2" t="s">
        <v>3047</v>
      </c>
      <c r="C235" s="2" t="s">
        <v>3048</v>
      </c>
      <c r="D235" s="2" t="s">
        <v>3049</v>
      </c>
      <c r="E235" s="2" t="s">
        <v>3050</v>
      </c>
      <c r="F235" s="2" t="s">
        <v>2623</v>
      </c>
      <c r="G235" s="2" t="s">
        <v>19</v>
      </c>
      <c r="H235" s="2">
        <v>96825</v>
      </c>
      <c r="I235" t="s">
        <v>1983</v>
      </c>
    </row>
    <row r="236" spans="1:9">
      <c r="A236" s="2" t="s">
        <v>531</v>
      </c>
      <c r="B236" s="2" t="s">
        <v>3051</v>
      </c>
      <c r="C236" s="2" t="s">
        <v>3052</v>
      </c>
      <c r="D236" s="2" t="s">
        <v>3053</v>
      </c>
      <c r="E236" s="2" t="s">
        <v>3054</v>
      </c>
      <c r="F236" s="2" t="s">
        <v>2069</v>
      </c>
      <c r="G236" s="2" t="s">
        <v>19</v>
      </c>
      <c r="H236" s="2">
        <v>10150</v>
      </c>
      <c r="I236" t="s">
        <v>1983</v>
      </c>
    </row>
    <row r="237" spans="1:9">
      <c r="A237" s="2" t="s">
        <v>533</v>
      </c>
      <c r="B237" s="2" t="s">
        <v>3055</v>
      </c>
      <c r="C237" s="2"/>
      <c r="D237" s="2"/>
      <c r="E237" s="2" t="s">
        <v>3056</v>
      </c>
      <c r="F237" s="2" t="s">
        <v>3057</v>
      </c>
      <c r="G237" s="2" t="s">
        <v>17</v>
      </c>
      <c r="H237" s="2" t="s">
        <v>3058</v>
      </c>
      <c r="I237" t="s">
        <v>1983</v>
      </c>
    </row>
    <row r="238" spans="1:9">
      <c r="A238" s="2" t="s">
        <v>535</v>
      </c>
      <c r="B238" s="2" t="s">
        <v>3059</v>
      </c>
      <c r="C238" s="2" t="s">
        <v>3060</v>
      </c>
      <c r="D238" s="2" t="s">
        <v>3061</v>
      </c>
      <c r="E238" s="2" t="s">
        <v>3062</v>
      </c>
      <c r="F238" s="2" t="s">
        <v>3063</v>
      </c>
      <c r="G238" s="2" t="s">
        <v>17</v>
      </c>
      <c r="H238" s="2" t="s">
        <v>3064</v>
      </c>
      <c r="I238" t="s">
        <v>1983</v>
      </c>
    </row>
    <row r="239" spans="1:9">
      <c r="A239" s="2" t="s">
        <v>537</v>
      </c>
      <c r="B239" s="2" t="s">
        <v>3065</v>
      </c>
      <c r="C239" s="2"/>
      <c r="D239" s="2" t="s">
        <v>3066</v>
      </c>
      <c r="E239" s="2" t="s">
        <v>3067</v>
      </c>
      <c r="F239" s="2" t="s">
        <v>3068</v>
      </c>
      <c r="G239" s="2" t="s">
        <v>19</v>
      </c>
      <c r="H239" s="2">
        <v>45218</v>
      </c>
      <c r="I239" t="s">
        <v>1975</v>
      </c>
    </row>
    <row r="240" spans="1:9">
      <c r="A240" s="2" t="s">
        <v>539</v>
      </c>
      <c r="B240" s="2" t="s">
        <v>3069</v>
      </c>
      <c r="C240" s="2" t="s">
        <v>3070</v>
      </c>
      <c r="D240" s="2" t="s">
        <v>3071</v>
      </c>
      <c r="E240" s="2" t="s">
        <v>3072</v>
      </c>
      <c r="F240" s="2" t="s">
        <v>2351</v>
      </c>
      <c r="G240" s="2" t="s">
        <v>19</v>
      </c>
      <c r="H240" s="2">
        <v>48670</v>
      </c>
      <c r="I240" t="s">
        <v>1975</v>
      </c>
    </row>
    <row r="241" spans="1:9">
      <c r="A241" s="2" t="s">
        <v>541</v>
      </c>
      <c r="B241" s="2" t="s">
        <v>3073</v>
      </c>
      <c r="C241" s="2" t="s">
        <v>3074</v>
      </c>
      <c r="D241" s="2" t="s">
        <v>3075</v>
      </c>
      <c r="E241" s="2" t="s">
        <v>3076</v>
      </c>
      <c r="F241" s="2" t="s">
        <v>3077</v>
      </c>
      <c r="G241" s="2" t="s">
        <v>19</v>
      </c>
      <c r="H241" s="2">
        <v>82007</v>
      </c>
      <c r="I241" t="s">
        <v>1983</v>
      </c>
    </row>
    <row r="242" spans="1:9">
      <c r="A242" s="2" t="s">
        <v>543</v>
      </c>
      <c r="B242" s="2" t="s">
        <v>3078</v>
      </c>
      <c r="C242" s="2"/>
      <c r="D242" s="2"/>
      <c r="E242" s="2" t="s">
        <v>3079</v>
      </c>
      <c r="F242" s="2" t="s">
        <v>3080</v>
      </c>
      <c r="G242" s="2" t="s">
        <v>19</v>
      </c>
      <c r="H242" s="2">
        <v>31119</v>
      </c>
      <c r="I242" t="s">
        <v>1975</v>
      </c>
    </row>
    <row r="243" spans="1:9">
      <c r="A243" s="2" t="s">
        <v>545</v>
      </c>
      <c r="B243" s="2" t="s">
        <v>3081</v>
      </c>
      <c r="C243" s="2"/>
      <c r="D243" s="2" t="s">
        <v>3082</v>
      </c>
      <c r="E243" s="2" t="s">
        <v>3083</v>
      </c>
      <c r="F243" s="2" t="s">
        <v>3084</v>
      </c>
      <c r="G243" s="2" t="s">
        <v>19</v>
      </c>
      <c r="H243" s="2">
        <v>30096</v>
      </c>
      <c r="I243" t="s">
        <v>1983</v>
      </c>
    </row>
    <row r="244" spans="1:9">
      <c r="A244" s="2" t="s">
        <v>547</v>
      </c>
      <c r="B244" s="2" t="s">
        <v>3085</v>
      </c>
      <c r="C244" s="2" t="s">
        <v>3086</v>
      </c>
      <c r="D244" s="2" t="s">
        <v>3087</v>
      </c>
      <c r="E244" s="2" t="s">
        <v>3088</v>
      </c>
      <c r="F244" s="2" t="s">
        <v>3030</v>
      </c>
      <c r="G244" s="2" t="s">
        <v>19</v>
      </c>
      <c r="H244" s="2">
        <v>94250</v>
      </c>
      <c r="I244" t="s">
        <v>1975</v>
      </c>
    </row>
    <row r="245" spans="1:9">
      <c r="A245" s="2" t="s">
        <v>549</v>
      </c>
      <c r="B245" s="2" t="s">
        <v>3089</v>
      </c>
      <c r="C245" s="2" t="s">
        <v>3090</v>
      </c>
      <c r="D245" s="2" t="s">
        <v>3091</v>
      </c>
      <c r="E245" s="2" t="s">
        <v>3092</v>
      </c>
      <c r="F245" s="2" t="s">
        <v>2251</v>
      </c>
      <c r="G245" s="2" t="s">
        <v>19</v>
      </c>
      <c r="H245" s="2">
        <v>33661</v>
      </c>
      <c r="I245" t="s">
        <v>1975</v>
      </c>
    </row>
    <row r="246" spans="1:9">
      <c r="A246" s="2" t="s">
        <v>551</v>
      </c>
      <c r="B246" s="2" t="s">
        <v>3093</v>
      </c>
      <c r="C246" s="2" t="s">
        <v>3094</v>
      </c>
      <c r="D246" s="2" t="s">
        <v>3095</v>
      </c>
      <c r="E246" s="2" t="s">
        <v>3096</v>
      </c>
      <c r="F246" s="2" t="s">
        <v>2623</v>
      </c>
      <c r="G246" s="2" t="s">
        <v>19</v>
      </c>
      <c r="H246" s="2">
        <v>96805</v>
      </c>
      <c r="I246" t="s">
        <v>1983</v>
      </c>
    </row>
    <row r="247" spans="1:9">
      <c r="A247" s="2" t="s">
        <v>553</v>
      </c>
      <c r="B247" s="2" t="s">
        <v>3097</v>
      </c>
      <c r="C247" s="2" t="s">
        <v>3098</v>
      </c>
      <c r="D247" s="2" t="s">
        <v>3099</v>
      </c>
      <c r="E247" s="2" t="s">
        <v>3100</v>
      </c>
      <c r="F247" s="2" t="s">
        <v>3101</v>
      </c>
      <c r="G247" s="2" t="s">
        <v>19</v>
      </c>
      <c r="H247" s="2">
        <v>70820</v>
      </c>
      <c r="I247" t="s">
        <v>1975</v>
      </c>
    </row>
    <row r="248" spans="1:9">
      <c r="A248" s="2" t="s">
        <v>555</v>
      </c>
      <c r="B248" s="2" t="s">
        <v>3102</v>
      </c>
      <c r="C248" s="2" t="s">
        <v>3103</v>
      </c>
      <c r="D248" s="2" t="s">
        <v>3104</v>
      </c>
      <c r="E248" s="2" t="s">
        <v>3105</v>
      </c>
      <c r="F248" s="2" t="s">
        <v>3106</v>
      </c>
      <c r="G248" s="2" t="s">
        <v>18</v>
      </c>
      <c r="H248" s="2" t="s">
        <v>3107</v>
      </c>
      <c r="I248" t="s">
        <v>1983</v>
      </c>
    </row>
    <row r="249" spans="1:9">
      <c r="A249" s="2" t="s">
        <v>557</v>
      </c>
      <c r="B249" s="2" t="s">
        <v>3108</v>
      </c>
      <c r="C249" s="2"/>
      <c r="D249" s="2" t="s">
        <v>3109</v>
      </c>
      <c r="E249" s="2" t="s">
        <v>3110</v>
      </c>
      <c r="F249" s="2" t="s">
        <v>3111</v>
      </c>
      <c r="G249" s="2" t="s">
        <v>17</v>
      </c>
      <c r="H249" s="2" t="s">
        <v>3112</v>
      </c>
      <c r="I249" t="s">
        <v>1975</v>
      </c>
    </row>
    <row r="250" spans="1:9">
      <c r="A250" s="2" t="s">
        <v>559</v>
      </c>
      <c r="B250" s="2" t="s">
        <v>3113</v>
      </c>
      <c r="C250" s="2" t="s">
        <v>3114</v>
      </c>
      <c r="D250" s="2" t="s">
        <v>3115</v>
      </c>
      <c r="E250" s="2" t="s">
        <v>3116</v>
      </c>
      <c r="F250" s="2" t="s">
        <v>2168</v>
      </c>
      <c r="G250" s="2" t="s">
        <v>19</v>
      </c>
      <c r="H250" s="2">
        <v>55458</v>
      </c>
      <c r="I250" t="s">
        <v>1975</v>
      </c>
    </row>
    <row r="251" spans="1:9">
      <c r="A251" s="2" t="s">
        <v>3117</v>
      </c>
      <c r="B251" s="2" t="s">
        <v>3118</v>
      </c>
      <c r="C251" s="2"/>
      <c r="D251" s="2" t="s">
        <v>3119</v>
      </c>
      <c r="E251" s="2" t="s">
        <v>3120</v>
      </c>
      <c r="F251" s="2" t="s">
        <v>3121</v>
      </c>
      <c r="G251" s="2" t="s">
        <v>19</v>
      </c>
      <c r="H251" s="2">
        <v>94159</v>
      </c>
      <c r="I251" t="s">
        <v>1983</v>
      </c>
    </row>
    <row r="252" spans="1:9">
      <c r="A252" s="2" t="s">
        <v>563</v>
      </c>
      <c r="B252" s="2" t="s">
        <v>3122</v>
      </c>
      <c r="C252" s="2" t="s">
        <v>3123</v>
      </c>
      <c r="D252" s="2" t="s">
        <v>3124</v>
      </c>
      <c r="E252" s="2" t="s">
        <v>3125</v>
      </c>
      <c r="F252" s="2" t="s">
        <v>2331</v>
      </c>
      <c r="G252" s="2" t="s">
        <v>19</v>
      </c>
      <c r="H252" s="2">
        <v>28225</v>
      </c>
      <c r="I252" t="s">
        <v>1975</v>
      </c>
    </row>
    <row r="253" spans="1:9">
      <c r="A253" s="2" t="s">
        <v>565</v>
      </c>
      <c r="B253" s="2" t="s">
        <v>3126</v>
      </c>
      <c r="C253" s="2" t="s">
        <v>3127</v>
      </c>
      <c r="D253" s="2" t="s">
        <v>3128</v>
      </c>
      <c r="E253" s="2" t="s">
        <v>3129</v>
      </c>
      <c r="F253" s="2" t="s">
        <v>3130</v>
      </c>
      <c r="G253" s="2" t="s">
        <v>19</v>
      </c>
      <c r="H253" s="2">
        <v>85099</v>
      </c>
      <c r="I253" t="s">
        <v>1975</v>
      </c>
    </row>
    <row r="254" spans="1:9">
      <c r="A254" s="2" t="s">
        <v>567</v>
      </c>
      <c r="B254" s="2" t="s">
        <v>3131</v>
      </c>
      <c r="C254" s="2"/>
      <c r="D254" s="2" t="s">
        <v>3132</v>
      </c>
      <c r="E254" s="2" t="s">
        <v>3133</v>
      </c>
      <c r="F254" s="2" t="s">
        <v>2131</v>
      </c>
      <c r="G254" s="2" t="s">
        <v>19</v>
      </c>
      <c r="H254" s="2">
        <v>11407</v>
      </c>
      <c r="I254" t="s">
        <v>1983</v>
      </c>
    </row>
    <row r="255" spans="1:9">
      <c r="A255" s="2" t="s">
        <v>569</v>
      </c>
      <c r="B255" s="2" t="s">
        <v>3134</v>
      </c>
      <c r="C255" s="2" t="s">
        <v>3135</v>
      </c>
      <c r="D255" s="2" t="s">
        <v>3136</v>
      </c>
      <c r="E255" s="2" t="s">
        <v>3137</v>
      </c>
      <c r="F255" s="2" t="s">
        <v>3138</v>
      </c>
      <c r="G255" s="2" t="s">
        <v>19</v>
      </c>
      <c r="H255" s="2">
        <v>61825</v>
      </c>
      <c r="I255" t="s">
        <v>1983</v>
      </c>
    </row>
    <row r="256" spans="1:9">
      <c r="A256" s="2" t="s">
        <v>571</v>
      </c>
      <c r="B256" s="2" t="s">
        <v>3139</v>
      </c>
      <c r="C256" s="2" t="s">
        <v>3140</v>
      </c>
      <c r="D256" s="2"/>
      <c r="E256" s="2" t="s">
        <v>3141</v>
      </c>
      <c r="F256" s="2" t="s">
        <v>3142</v>
      </c>
      <c r="G256" s="2" t="s">
        <v>18</v>
      </c>
      <c r="H256" s="2" t="s">
        <v>3143</v>
      </c>
      <c r="I256" t="s">
        <v>1983</v>
      </c>
    </row>
    <row r="257" spans="1:9">
      <c r="A257" s="2" t="s">
        <v>573</v>
      </c>
      <c r="B257" s="2" t="s">
        <v>3144</v>
      </c>
      <c r="C257" s="2" t="s">
        <v>3145</v>
      </c>
      <c r="D257" s="2" t="s">
        <v>3146</v>
      </c>
      <c r="E257" s="2" t="s">
        <v>3147</v>
      </c>
      <c r="F257" s="2" t="s">
        <v>2171</v>
      </c>
      <c r="G257" s="2" t="s">
        <v>19</v>
      </c>
      <c r="H257" s="2">
        <v>85715</v>
      </c>
      <c r="I257" t="s">
        <v>1983</v>
      </c>
    </row>
    <row r="258" spans="1:9">
      <c r="A258" s="2" t="s">
        <v>561</v>
      </c>
      <c r="B258" s="2" t="s">
        <v>3148</v>
      </c>
      <c r="C258" s="2" t="s">
        <v>3149</v>
      </c>
      <c r="D258" s="2" t="s">
        <v>3150</v>
      </c>
      <c r="E258" s="2" t="s">
        <v>3151</v>
      </c>
      <c r="F258" s="2" t="s">
        <v>3152</v>
      </c>
      <c r="G258" s="2" t="s">
        <v>19</v>
      </c>
      <c r="H258" s="2">
        <v>53205</v>
      </c>
      <c r="I258" t="s">
        <v>1975</v>
      </c>
    </row>
    <row r="259" spans="1:9">
      <c r="A259" s="2" t="s">
        <v>576</v>
      </c>
      <c r="B259" s="2" t="s">
        <v>3153</v>
      </c>
      <c r="C259" s="2" t="s">
        <v>3154</v>
      </c>
      <c r="D259" s="2" t="s">
        <v>3155</v>
      </c>
      <c r="E259" s="2" t="s">
        <v>3156</v>
      </c>
      <c r="F259" s="2" t="s">
        <v>2892</v>
      </c>
      <c r="G259" s="2" t="s">
        <v>19</v>
      </c>
      <c r="H259" s="2">
        <v>33064</v>
      </c>
      <c r="I259" t="s">
        <v>1975</v>
      </c>
    </row>
    <row r="260" spans="1:9">
      <c r="A260" s="2" t="s">
        <v>579</v>
      </c>
      <c r="B260" s="2" t="s">
        <v>3157</v>
      </c>
      <c r="C260" s="2" t="s">
        <v>3158</v>
      </c>
      <c r="D260" s="2" t="s">
        <v>3159</v>
      </c>
      <c r="E260" s="2" t="s">
        <v>3160</v>
      </c>
      <c r="F260" s="2" t="s">
        <v>2789</v>
      </c>
      <c r="G260" s="2" t="s">
        <v>19</v>
      </c>
      <c r="H260" s="2">
        <v>90610</v>
      </c>
      <c r="I260" t="s">
        <v>1983</v>
      </c>
    </row>
    <row r="261" spans="1:9">
      <c r="A261" s="2" t="s">
        <v>581</v>
      </c>
      <c r="B261" s="2" t="s">
        <v>3161</v>
      </c>
      <c r="C261" s="2" t="s">
        <v>3162</v>
      </c>
      <c r="D261" s="2" t="s">
        <v>3163</v>
      </c>
      <c r="E261" s="2" t="s">
        <v>3164</v>
      </c>
      <c r="F261" s="2" t="s">
        <v>3165</v>
      </c>
      <c r="G261" s="2" t="s">
        <v>18</v>
      </c>
      <c r="H261" s="2" t="s">
        <v>3166</v>
      </c>
      <c r="I261" t="s">
        <v>1983</v>
      </c>
    </row>
    <row r="262" spans="1:9">
      <c r="A262" s="2" t="s">
        <v>583</v>
      </c>
      <c r="B262" s="2" t="s">
        <v>3167</v>
      </c>
      <c r="C262" s="2" t="s">
        <v>3168</v>
      </c>
      <c r="D262" s="2"/>
      <c r="E262" s="2" t="s">
        <v>3169</v>
      </c>
      <c r="F262" s="2" t="s">
        <v>2045</v>
      </c>
      <c r="G262" s="2" t="s">
        <v>19</v>
      </c>
      <c r="H262" s="2">
        <v>63180</v>
      </c>
      <c r="I262" t="s">
        <v>1975</v>
      </c>
    </row>
    <row r="263" spans="1:9">
      <c r="A263" s="2" t="s">
        <v>585</v>
      </c>
      <c r="B263" s="2" t="s">
        <v>3170</v>
      </c>
      <c r="C263" s="2" t="s">
        <v>3171</v>
      </c>
      <c r="D263" s="2" t="s">
        <v>3172</v>
      </c>
      <c r="E263" s="2" t="s">
        <v>3173</v>
      </c>
      <c r="F263" s="2" t="s">
        <v>3174</v>
      </c>
      <c r="G263" s="2" t="s">
        <v>19</v>
      </c>
      <c r="H263" s="2">
        <v>16522</v>
      </c>
      <c r="I263" t="s">
        <v>1975</v>
      </c>
    </row>
    <row r="264" spans="1:9">
      <c r="A264" s="2" t="s">
        <v>587</v>
      </c>
      <c r="B264" s="2" t="s">
        <v>3175</v>
      </c>
      <c r="C264" s="2" t="s">
        <v>3176</v>
      </c>
      <c r="D264" s="2" t="s">
        <v>3177</v>
      </c>
      <c r="E264" s="2" t="s">
        <v>3178</v>
      </c>
      <c r="F264" s="2" t="s">
        <v>3179</v>
      </c>
      <c r="G264" s="2" t="s">
        <v>19</v>
      </c>
      <c r="H264" s="2">
        <v>98464</v>
      </c>
      <c r="I264" t="s">
        <v>1983</v>
      </c>
    </row>
    <row r="265" spans="1:9">
      <c r="A265" s="2" t="s">
        <v>589</v>
      </c>
      <c r="B265" s="2" t="s">
        <v>3180</v>
      </c>
      <c r="C265" s="2"/>
      <c r="D265" s="2" t="s">
        <v>3181</v>
      </c>
      <c r="E265" s="2" t="s">
        <v>3182</v>
      </c>
      <c r="F265" s="2" t="s">
        <v>2036</v>
      </c>
      <c r="G265" s="2" t="s">
        <v>19</v>
      </c>
      <c r="H265" s="2">
        <v>23277</v>
      </c>
      <c r="I265" t="s">
        <v>1983</v>
      </c>
    </row>
    <row r="266" spans="1:9">
      <c r="A266" s="2" t="s">
        <v>591</v>
      </c>
      <c r="B266" s="2" t="s">
        <v>3183</v>
      </c>
      <c r="C266" s="2"/>
      <c r="D266" s="2" t="s">
        <v>3184</v>
      </c>
      <c r="E266" s="2" t="s">
        <v>3185</v>
      </c>
      <c r="F266" s="2" t="s">
        <v>3186</v>
      </c>
      <c r="G266" s="2" t="s">
        <v>17</v>
      </c>
      <c r="H266" s="2" t="s">
        <v>2576</v>
      </c>
      <c r="I266" t="s">
        <v>1975</v>
      </c>
    </row>
    <row r="267" spans="1:9">
      <c r="A267" s="2" t="s">
        <v>593</v>
      </c>
      <c r="B267" s="2" t="s">
        <v>3187</v>
      </c>
      <c r="C267" s="2" t="s">
        <v>3188</v>
      </c>
      <c r="D267" s="2" t="s">
        <v>3189</v>
      </c>
      <c r="E267" s="2" t="s">
        <v>3190</v>
      </c>
      <c r="F267" s="2" t="s">
        <v>2158</v>
      </c>
      <c r="G267" s="2" t="s">
        <v>19</v>
      </c>
      <c r="H267" s="2">
        <v>72204</v>
      </c>
      <c r="I267" t="s">
        <v>1975</v>
      </c>
    </row>
    <row r="268" spans="1:9">
      <c r="A268" s="2" t="s">
        <v>595</v>
      </c>
      <c r="B268" s="2" t="s">
        <v>3191</v>
      </c>
      <c r="C268" s="2" t="s">
        <v>3192</v>
      </c>
      <c r="D268" s="2" t="s">
        <v>3193</v>
      </c>
      <c r="E268" s="2" t="s">
        <v>3194</v>
      </c>
      <c r="F268" s="2" t="s">
        <v>3195</v>
      </c>
      <c r="G268" s="2" t="s">
        <v>18</v>
      </c>
      <c r="H268" s="2" t="s">
        <v>3196</v>
      </c>
      <c r="I268" t="s">
        <v>1983</v>
      </c>
    </row>
    <row r="269" spans="1:9">
      <c r="A269" s="2" t="s">
        <v>597</v>
      </c>
      <c r="B269" s="2" t="s">
        <v>3197</v>
      </c>
      <c r="C269" s="2" t="s">
        <v>3198</v>
      </c>
      <c r="D269" s="2" t="s">
        <v>3199</v>
      </c>
      <c r="E269" s="2" t="s">
        <v>3200</v>
      </c>
      <c r="F269" s="2" t="s">
        <v>2779</v>
      </c>
      <c r="G269" s="2" t="s">
        <v>19</v>
      </c>
      <c r="H269" s="2">
        <v>89436</v>
      </c>
      <c r="I269" t="s">
        <v>1975</v>
      </c>
    </row>
    <row r="270" spans="1:9">
      <c r="A270" s="2" t="s">
        <v>3201</v>
      </c>
      <c r="B270" s="2" t="s">
        <v>3202</v>
      </c>
      <c r="C270" s="2"/>
      <c r="D270" s="2" t="s">
        <v>3203</v>
      </c>
      <c r="E270" s="2" t="s">
        <v>3204</v>
      </c>
      <c r="F270" s="2" t="s">
        <v>3205</v>
      </c>
      <c r="G270" s="2" t="s">
        <v>19</v>
      </c>
      <c r="H270" s="2">
        <v>77806</v>
      </c>
      <c r="I270" t="s">
        <v>1975</v>
      </c>
    </row>
    <row r="271" spans="1:9">
      <c r="A271" s="2" t="s">
        <v>600</v>
      </c>
      <c r="B271" s="2" t="s">
        <v>3206</v>
      </c>
      <c r="C271" s="2" t="s">
        <v>3207</v>
      </c>
      <c r="D271" s="2" t="s">
        <v>3208</v>
      </c>
      <c r="E271" s="2" t="s">
        <v>3209</v>
      </c>
      <c r="F271" s="2" t="s">
        <v>3210</v>
      </c>
      <c r="G271" s="2" t="s">
        <v>19</v>
      </c>
      <c r="H271" s="2">
        <v>76210</v>
      </c>
      <c r="I271" t="s">
        <v>1983</v>
      </c>
    </row>
    <row r="272" spans="1:9">
      <c r="A272" s="2" t="s">
        <v>602</v>
      </c>
      <c r="B272" s="2" t="s">
        <v>3211</v>
      </c>
      <c r="C272" s="2"/>
      <c r="D272" s="2"/>
      <c r="E272" s="2" t="s">
        <v>3212</v>
      </c>
      <c r="F272" s="2" t="s">
        <v>3213</v>
      </c>
      <c r="G272" s="2" t="s">
        <v>17</v>
      </c>
      <c r="H272" s="2" t="s">
        <v>3214</v>
      </c>
      <c r="I272" t="s">
        <v>1975</v>
      </c>
    </row>
    <row r="273" spans="1:9">
      <c r="A273" s="2" t="s">
        <v>604</v>
      </c>
      <c r="B273" s="2" t="s">
        <v>3215</v>
      </c>
      <c r="C273" s="2" t="s">
        <v>3216</v>
      </c>
      <c r="D273" s="2" t="s">
        <v>3217</v>
      </c>
      <c r="E273" s="2" t="s">
        <v>3218</v>
      </c>
      <c r="F273" s="2" t="s">
        <v>3219</v>
      </c>
      <c r="G273" s="2" t="s">
        <v>19</v>
      </c>
      <c r="H273" s="2">
        <v>27635</v>
      </c>
      <c r="I273" t="s">
        <v>1975</v>
      </c>
    </row>
    <row r="274" spans="1:9">
      <c r="A274" s="2" t="s">
        <v>606</v>
      </c>
      <c r="B274" s="2" t="s">
        <v>3220</v>
      </c>
      <c r="C274" s="2" t="s">
        <v>3221</v>
      </c>
      <c r="D274" s="2" t="s">
        <v>3222</v>
      </c>
      <c r="E274" s="2" t="s">
        <v>3223</v>
      </c>
      <c r="F274" s="2" t="s">
        <v>3224</v>
      </c>
      <c r="G274" s="2" t="s">
        <v>17</v>
      </c>
      <c r="H274" s="2" t="s">
        <v>3225</v>
      </c>
      <c r="I274" t="s">
        <v>1975</v>
      </c>
    </row>
    <row r="275" spans="1:9">
      <c r="A275" s="2" t="s">
        <v>608</v>
      </c>
      <c r="B275" s="2" t="s">
        <v>3226</v>
      </c>
      <c r="C275" s="2" t="s">
        <v>3227</v>
      </c>
      <c r="D275" s="2" t="s">
        <v>3228</v>
      </c>
      <c r="E275" s="2" t="s">
        <v>3229</v>
      </c>
      <c r="F275" s="2" t="s">
        <v>2069</v>
      </c>
      <c r="G275" s="2" t="s">
        <v>19</v>
      </c>
      <c r="H275" s="2">
        <v>10105</v>
      </c>
      <c r="I275" t="s">
        <v>1983</v>
      </c>
    </row>
    <row r="276" spans="1:9">
      <c r="A276" s="2" t="s">
        <v>610</v>
      </c>
      <c r="B276" s="2" t="s">
        <v>3230</v>
      </c>
      <c r="C276" s="2" t="s">
        <v>3231</v>
      </c>
      <c r="D276" s="2" t="s">
        <v>3232</v>
      </c>
      <c r="E276" s="2" t="s">
        <v>3233</v>
      </c>
      <c r="F276" s="2" t="s">
        <v>2556</v>
      </c>
      <c r="G276" s="2" t="s">
        <v>19</v>
      </c>
      <c r="H276" s="2">
        <v>6905</v>
      </c>
      <c r="I276" t="s">
        <v>1983</v>
      </c>
    </row>
    <row r="277" spans="1:9">
      <c r="A277" s="2" t="s">
        <v>612</v>
      </c>
      <c r="B277" s="2" t="s">
        <v>3234</v>
      </c>
      <c r="C277" s="2" t="s">
        <v>3235</v>
      </c>
      <c r="D277" s="2" t="s">
        <v>3236</v>
      </c>
      <c r="E277" s="2" t="s">
        <v>3237</v>
      </c>
      <c r="F277" s="2" t="s">
        <v>2242</v>
      </c>
      <c r="G277" s="2" t="s">
        <v>19</v>
      </c>
      <c r="H277" s="2">
        <v>43666</v>
      </c>
      <c r="I277" t="s">
        <v>1983</v>
      </c>
    </row>
    <row r="278" spans="1:9">
      <c r="A278" s="2" t="s">
        <v>614</v>
      </c>
      <c r="B278" s="2" t="s">
        <v>3238</v>
      </c>
      <c r="C278" s="2" t="s">
        <v>3239</v>
      </c>
      <c r="D278" s="2" t="s">
        <v>3240</v>
      </c>
      <c r="E278" s="2" t="s">
        <v>3241</v>
      </c>
      <c r="F278" s="2" t="s">
        <v>3242</v>
      </c>
      <c r="G278" s="2" t="s">
        <v>17</v>
      </c>
      <c r="H278" s="2" t="s">
        <v>3243</v>
      </c>
      <c r="I278" t="s">
        <v>1975</v>
      </c>
    </row>
    <row r="279" spans="1:9">
      <c r="A279" s="2" t="s">
        <v>616</v>
      </c>
      <c r="B279" s="2" t="s">
        <v>3244</v>
      </c>
      <c r="C279" s="2" t="s">
        <v>3245</v>
      </c>
      <c r="D279" s="2" t="s">
        <v>3246</v>
      </c>
      <c r="E279" s="2" t="s">
        <v>3247</v>
      </c>
      <c r="F279" s="2" t="s">
        <v>3248</v>
      </c>
      <c r="G279" s="2" t="s">
        <v>19</v>
      </c>
      <c r="H279" s="2">
        <v>65211</v>
      </c>
      <c r="I279" t="s">
        <v>1983</v>
      </c>
    </row>
    <row r="280" spans="1:9">
      <c r="A280" s="2" t="s">
        <v>618</v>
      </c>
      <c r="B280" s="2" t="s">
        <v>3249</v>
      </c>
      <c r="C280" s="2" t="s">
        <v>3250</v>
      </c>
      <c r="D280" s="2" t="s">
        <v>3251</v>
      </c>
      <c r="E280" s="2" t="s">
        <v>3252</v>
      </c>
      <c r="F280" s="2" t="s">
        <v>2269</v>
      </c>
      <c r="G280" s="2" t="s">
        <v>19</v>
      </c>
      <c r="H280" s="2">
        <v>46852</v>
      </c>
      <c r="I280" t="s">
        <v>1975</v>
      </c>
    </row>
    <row r="281" spans="1:9">
      <c r="A281" s="2" t="s">
        <v>620</v>
      </c>
      <c r="B281" s="2" t="s">
        <v>3253</v>
      </c>
      <c r="C281" s="2" t="s">
        <v>3254</v>
      </c>
      <c r="D281" s="2" t="s">
        <v>3255</v>
      </c>
      <c r="E281" s="2" t="s">
        <v>3256</v>
      </c>
      <c r="F281" s="2" t="s">
        <v>2045</v>
      </c>
      <c r="G281" s="2" t="s">
        <v>19</v>
      </c>
      <c r="H281" s="2">
        <v>63143</v>
      </c>
      <c r="I281" t="s">
        <v>1975</v>
      </c>
    </row>
    <row r="282" spans="1:9">
      <c r="A282" s="2" t="s">
        <v>622</v>
      </c>
      <c r="B282" s="2" t="s">
        <v>3257</v>
      </c>
      <c r="C282" s="2"/>
      <c r="D282" s="2" t="s">
        <v>3258</v>
      </c>
      <c r="E282" s="2" t="s">
        <v>3259</v>
      </c>
      <c r="F282" s="2" t="s">
        <v>2054</v>
      </c>
      <c r="G282" s="2" t="s">
        <v>19</v>
      </c>
      <c r="H282" s="2">
        <v>97211</v>
      </c>
      <c r="I282" t="s">
        <v>1975</v>
      </c>
    </row>
    <row r="283" spans="1:9">
      <c r="A283" s="2" t="s">
        <v>624</v>
      </c>
      <c r="B283" s="2" t="s">
        <v>3260</v>
      </c>
      <c r="C283" s="2" t="s">
        <v>3261</v>
      </c>
      <c r="D283" s="2" t="s">
        <v>3262</v>
      </c>
      <c r="E283" s="2" t="s">
        <v>3263</v>
      </c>
      <c r="F283" s="2" t="s">
        <v>3264</v>
      </c>
      <c r="G283" s="2" t="s">
        <v>19</v>
      </c>
      <c r="H283" s="2">
        <v>80305</v>
      </c>
      <c r="I283" t="s">
        <v>1975</v>
      </c>
    </row>
    <row r="284" spans="1:9">
      <c r="A284" s="2" t="s">
        <v>626</v>
      </c>
      <c r="B284" s="2" t="s">
        <v>3265</v>
      </c>
      <c r="C284" s="2" t="s">
        <v>3266</v>
      </c>
      <c r="D284" s="2" t="s">
        <v>3267</v>
      </c>
      <c r="E284" s="2" t="s">
        <v>3268</v>
      </c>
      <c r="F284" s="2" t="s">
        <v>3269</v>
      </c>
      <c r="G284" s="2" t="s">
        <v>18</v>
      </c>
      <c r="H284" s="2" t="s">
        <v>3270</v>
      </c>
      <c r="I284" t="s">
        <v>1983</v>
      </c>
    </row>
    <row r="285" spans="1:9">
      <c r="A285" s="2" t="s">
        <v>628</v>
      </c>
      <c r="B285" s="2" t="s">
        <v>3271</v>
      </c>
      <c r="C285" s="2" t="s">
        <v>3272</v>
      </c>
      <c r="D285" s="2" t="s">
        <v>3273</v>
      </c>
      <c r="E285" s="2" t="s">
        <v>3274</v>
      </c>
      <c r="F285" s="2" t="s">
        <v>3165</v>
      </c>
      <c r="G285" s="2" t="s">
        <v>18</v>
      </c>
      <c r="H285" s="2" t="s">
        <v>3166</v>
      </c>
      <c r="I285" t="s">
        <v>1975</v>
      </c>
    </row>
    <row r="286" spans="1:9">
      <c r="A286" s="2" t="s">
        <v>630</v>
      </c>
      <c r="B286" s="2" t="s">
        <v>3275</v>
      </c>
      <c r="C286" s="2"/>
      <c r="D286" s="2" t="s">
        <v>3276</v>
      </c>
      <c r="E286" s="2" t="s">
        <v>3277</v>
      </c>
      <c r="F286" s="2" t="s">
        <v>3278</v>
      </c>
      <c r="G286" s="2" t="s">
        <v>19</v>
      </c>
      <c r="H286" s="2">
        <v>40298</v>
      </c>
      <c r="I286" t="s">
        <v>1983</v>
      </c>
    </row>
    <row r="287" spans="1:9">
      <c r="A287" s="2" t="s">
        <v>632</v>
      </c>
      <c r="B287" s="2" t="s">
        <v>3279</v>
      </c>
      <c r="C287" s="2"/>
      <c r="D287" s="2" t="s">
        <v>3280</v>
      </c>
      <c r="E287" s="2" t="s">
        <v>3281</v>
      </c>
      <c r="F287" s="2" t="s">
        <v>2381</v>
      </c>
      <c r="G287" s="2" t="s">
        <v>19</v>
      </c>
      <c r="H287" s="2">
        <v>14276</v>
      </c>
      <c r="I287" t="s">
        <v>1983</v>
      </c>
    </row>
    <row r="288" spans="1:9">
      <c r="A288" s="2" t="s">
        <v>634</v>
      </c>
      <c r="B288" s="2" t="s">
        <v>3282</v>
      </c>
      <c r="C288" s="2" t="s">
        <v>3283</v>
      </c>
      <c r="D288" s="2"/>
      <c r="E288" s="2" t="s">
        <v>3284</v>
      </c>
      <c r="F288" s="2" t="s">
        <v>3285</v>
      </c>
      <c r="G288" s="2" t="s">
        <v>19</v>
      </c>
      <c r="H288" s="2">
        <v>44710</v>
      </c>
      <c r="I288" t="s">
        <v>1975</v>
      </c>
    </row>
    <row r="289" spans="1:9">
      <c r="A289" s="2" t="s">
        <v>636</v>
      </c>
      <c r="B289" s="2" t="s">
        <v>3286</v>
      </c>
      <c r="C289" s="2" t="s">
        <v>3287</v>
      </c>
      <c r="D289" s="2" t="s">
        <v>3288</v>
      </c>
      <c r="E289" s="2" t="s">
        <v>3289</v>
      </c>
      <c r="F289" s="2" t="s">
        <v>2189</v>
      </c>
      <c r="G289" s="2" t="s">
        <v>19</v>
      </c>
      <c r="H289" s="2">
        <v>2114</v>
      </c>
      <c r="I289" t="s">
        <v>1983</v>
      </c>
    </row>
    <row r="290" spans="1:9">
      <c r="A290" s="2" t="s">
        <v>638</v>
      </c>
      <c r="B290" s="2" t="s">
        <v>3290</v>
      </c>
      <c r="C290" s="2"/>
      <c r="D290" s="2" t="s">
        <v>3291</v>
      </c>
      <c r="E290" s="2" t="s">
        <v>3292</v>
      </c>
      <c r="F290" s="2" t="s">
        <v>3293</v>
      </c>
      <c r="G290" s="2" t="s">
        <v>17</v>
      </c>
      <c r="H290" s="2" t="s">
        <v>3294</v>
      </c>
      <c r="I290" t="s">
        <v>1975</v>
      </c>
    </row>
    <row r="291" spans="1:9">
      <c r="A291" s="2" t="s">
        <v>640</v>
      </c>
      <c r="B291" s="2" t="s">
        <v>3295</v>
      </c>
      <c r="C291" s="2"/>
      <c r="D291" s="2"/>
      <c r="E291" s="2" t="s">
        <v>3296</v>
      </c>
      <c r="F291" s="2" t="s">
        <v>3297</v>
      </c>
      <c r="G291" s="2" t="s">
        <v>19</v>
      </c>
      <c r="H291" s="2">
        <v>24515</v>
      </c>
      <c r="I291" t="s">
        <v>1975</v>
      </c>
    </row>
    <row r="292" spans="1:9">
      <c r="A292" s="2" t="s">
        <v>642</v>
      </c>
      <c r="B292" s="2" t="s">
        <v>3298</v>
      </c>
      <c r="C292" s="2" t="s">
        <v>3299</v>
      </c>
      <c r="D292" s="2" t="s">
        <v>3300</v>
      </c>
      <c r="E292" s="2" t="s">
        <v>3301</v>
      </c>
      <c r="F292" s="2" t="s">
        <v>2018</v>
      </c>
      <c r="G292" s="2" t="s">
        <v>19</v>
      </c>
      <c r="H292" s="2">
        <v>90071</v>
      </c>
      <c r="I292" t="s">
        <v>1983</v>
      </c>
    </row>
    <row r="293" spans="1:9">
      <c r="A293" s="2" t="s">
        <v>644</v>
      </c>
      <c r="B293" s="2" t="s">
        <v>3302</v>
      </c>
      <c r="C293" s="2"/>
      <c r="D293" s="2"/>
      <c r="E293" s="2" t="s">
        <v>3303</v>
      </c>
      <c r="F293" s="2" t="s">
        <v>2566</v>
      </c>
      <c r="G293" s="2" t="s">
        <v>17</v>
      </c>
      <c r="H293" s="2" t="s">
        <v>2567</v>
      </c>
      <c r="I293" t="s">
        <v>1983</v>
      </c>
    </row>
    <row r="294" spans="1:9">
      <c r="A294" s="2" t="s">
        <v>646</v>
      </c>
      <c r="B294" s="2" t="s">
        <v>3304</v>
      </c>
      <c r="C294" s="2" t="s">
        <v>3305</v>
      </c>
      <c r="D294" s="2"/>
      <c r="E294" s="2" t="s">
        <v>3306</v>
      </c>
      <c r="F294" s="2" t="s">
        <v>2203</v>
      </c>
      <c r="G294" s="2" t="s">
        <v>19</v>
      </c>
      <c r="H294" s="2">
        <v>35236</v>
      </c>
      <c r="I294" t="s">
        <v>1983</v>
      </c>
    </row>
    <row r="295" spans="1:9">
      <c r="A295" s="2" t="s">
        <v>648</v>
      </c>
      <c r="B295" s="2" t="s">
        <v>3307</v>
      </c>
      <c r="C295" s="2" t="s">
        <v>3308</v>
      </c>
      <c r="D295" s="2" t="s">
        <v>3309</v>
      </c>
      <c r="E295" s="2" t="s">
        <v>3310</v>
      </c>
      <c r="F295" s="2" t="s">
        <v>2730</v>
      </c>
      <c r="G295" s="2" t="s">
        <v>19</v>
      </c>
      <c r="H295" s="2">
        <v>22309</v>
      </c>
      <c r="I295" t="s">
        <v>1983</v>
      </c>
    </row>
    <row r="296" spans="1:9">
      <c r="A296" s="2" t="s">
        <v>650</v>
      </c>
      <c r="B296" s="2" t="s">
        <v>3311</v>
      </c>
      <c r="C296" s="2"/>
      <c r="D296" s="2" t="s">
        <v>3312</v>
      </c>
      <c r="E296" s="2" t="s">
        <v>3313</v>
      </c>
      <c r="F296" s="2" t="s">
        <v>3314</v>
      </c>
      <c r="G296" s="2" t="s">
        <v>19</v>
      </c>
      <c r="H296" s="2">
        <v>6816</v>
      </c>
      <c r="I296" t="s">
        <v>1983</v>
      </c>
    </row>
    <row r="297" spans="1:9">
      <c r="A297" s="2" t="s">
        <v>652</v>
      </c>
      <c r="B297" s="2" t="s">
        <v>3315</v>
      </c>
      <c r="C297" s="2"/>
      <c r="D297" s="2"/>
      <c r="E297" s="2" t="s">
        <v>3316</v>
      </c>
      <c r="F297" s="2" t="s">
        <v>2912</v>
      </c>
      <c r="G297" s="2" t="s">
        <v>19</v>
      </c>
      <c r="H297" s="2">
        <v>12205</v>
      </c>
      <c r="I297" t="s">
        <v>1983</v>
      </c>
    </row>
    <row r="298" spans="1:9">
      <c r="A298" s="2" t="s">
        <v>654</v>
      </c>
      <c r="B298" s="2" t="s">
        <v>3317</v>
      </c>
      <c r="C298" s="2" t="s">
        <v>3318</v>
      </c>
      <c r="D298" s="2" t="s">
        <v>3319</v>
      </c>
      <c r="E298" s="2" t="s">
        <v>3320</v>
      </c>
      <c r="F298" s="2" t="s">
        <v>2278</v>
      </c>
      <c r="G298" s="2" t="s">
        <v>19</v>
      </c>
      <c r="H298" s="2">
        <v>34108</v>
      </c>
      <c r="I298" t="s">
        <v>1975</v>
      </c>
    </row>
    <row r="299" spans="1:9">
      <c r="A299" s="2" t="s">
        <v>656</v>
      </c>
      <c r="B299" s="2" t="s">
        <v>3321</v>
      </c>
      <c r="C299" s="2" t="s">
        <v>3322</v>
      </c>
      <c r="D299" s="2" t="s">
        <v>3323</v>
      </c>
      <c r="E299" s="2" t="s">
        <v>3324</v>
      </c>
      <c r="F299" s="2" t="s">
        <v>3325</v>
      </c>
      <c r="G299" s="2" t="s">
        <v>19</v>
      </c>
      <c r="H299" s="2">
        <v>33141</v>
      </c>
      <c r="I299" t="s">
        <v>1975</v>
      </c>
    </row>
    <row r="300" spans="1:9">
      <c r="A300" s="2" t="s">
        <v>658</v>
      </c>
      <c r="B300" s="2" t="s">
        <v>3326</v>
      </c>
      <c r="C300" s="2" t="s">
        <v>3327</v>
      </c>
      <c r="D300" s="2" t="s">
        <v>3328</v>
      </c>
      <c r="E300" s="2" t="s">
        <v>3329</v>
      </c>
      <c r="F300" s="2" t="s">
        <v>3080</v>
      </c>
      <c r="G300" s="2" t="s">
        <v>19</v>
      </c>
      <c r="H300" s="2">
        <v>30358</v>
      </c>
      <c r="I300" t="s">
        <v>1975</v>
      </c>
    </row>
    <row r="301" spans="1:9">
      <c r="A301" s="2" t="s">
        <v>660</v>
      </c>
      <c r="B301" s="2" t="s">
        <v>3330</v>
      </c>
      <c r="C301" s="2" t="s">
        <v>3331</v>
      </c>
      <c r="D301" s="2" t="s">
        <v>3332</v>
      </c>
      <c r="E301" s="2" t="s">
        <v>3333</v>
      </c>
      <c r="F301" s="2" t="s">
        <v>3334</v>
      </c>
      <c r="G301" s="2" t="s">
        <v>19</v>
      </c>
      <c r="H301" s="2">
        <v>78405</v>
      </c>
      <c r="I301" t="s">
        <v>1975</v>
      </c>
    </row>
    <row r="302" spans="1:9">
      <c r="A302" s="2" t="s">
        <v>662</v>
      </c>
      <c r="B302" s="2" t="s">
        <v>3335</v>
      </c>
      <c r="C302" s="2" t="s">
        <v>3336</v>
      </c>
      <c r="D302" s="2" t="s">
        <v>3337</v>
      </c>
      <c r="E302" s="2" t="s">
        <v>3338</v>
      </c>
      <c r="F302" s="2" t="s">
        <v>2623</v>
      </c>
      <c r="G302" s="2" t="s">
        <v>19</v>
      </c>
      <c r="H302" s="2">
        <v>96835</v>
      </c>
      <c r="I302" t="s">
        <v>1975</v>
      </c>
    </row>
    <row r="303" spans="1:9">
      <c r="A303" s="2" t="s">
        <v>664</v>
      </c>
      <c r="B303" s="2" t="s">
        <v>3339</v>
      </c>
      <c r="C303" s="2" t="s">
        <v>3340</v>
      </c>
      <c r="D303" s="2" t="s">
        <v>3341</v>
      </c>
      <c r="E303" s="2" t="s">
        <v>3342</v>
      </c>
      <c r="F303" s="2" t="s">
        <v>2418</v>
      </c>
      <c r="G303" s="2" t="s">
        <v>19</v>
      </c>
      <c r="H303" s="2">
        <v>78737</v>
      </c>
      <c r="I303" t="s">
        <v>1975</v>
      </c>
    </row>
    <row r="304" spans="1:9">
      <c r="A304" s="2" t="s">
        <v>666</v>
      </c>
      <c r="B304" s="2" t="s">
        <v>3343</v>
      </c>
      <c r="C304" s="2" t="s">
        <v>3344</v>
      </c>
      <c r="D304" s="2" t="s">
        <v>3345</v>
      </c>
      <c r="E304" s="2" t="s">
        <v>3346</v>
      </c>
      <c r="F304" s="2" t="s">
        <v>3347</v>
      </c>
      <c r="G304" s="2" t="s">
        <v>19</v>
      </c>
      <c r="H304" s="2">
        <v>21290</v>
      </c>
      <c r="I304" t="s">
        <v>1983</v>
      </c>
    </row>
    <row r="305" spans="1:9">
      <c r="A305" s="2" t="s">
        <v>668</v>
      </c>
      <c r="B305" s="2" t="s">
        <v>3348</v>
      </c>
      <c r="C305" s="2" t="s">
        <v>3349</v>
      </c>
      <c r="D305" s="2"/>
      <c r="E305" s="2" t="s">
        <v>3350</v>
      </c>
      <c r="F305" s="2" t="s">
        <v>3351</v>
      </c>
      <c r="G305" s="2" t="s">
        <v>19</v>
      </c>
      <c r="H305" s="2">
        <v>40596</v>
      </c>
      <c r="I305" t="s">
        <v>1975</v>
      </c>
    </row>
    <row r="306" spans="1:9">
      <c r="A306" s="2" t="s">
        <v>3352</v>
      </c>
      <c r="B306" s="2" t="s">
        <v>3353</v>
      </c>
      <c r="C306" s="2" t="s">
        <v>3354</v>
      </c>
      <c r="D306" s="2"/>
      <c r="E306" s="2" t="s">
        <v>3355</v>
      </c>
      <c r="F306" s="2" t="s">
        <v>3356</v>
      </c>
      <c r="G306" s="2" t="s">
        <v>19</v>
      </c>
      <c r="H306" s="2">
        <v>60435</v>
      </c>
      <c r="I306" t="s">
        <v>1975</v>
      </c>
    </row>
    <row r="307" spans="1:9">
      <c r="A307" s="2" t="s">
        <v>672</v>
      </c>
      <c r="B307" s="2" t="s">
        <v>3357</v>
      </c>
      <c r="C307" s="2" t="s">
        <v>3358</v>
      </c>
      <c r="D307" s="2" t="s">
        <v>3359</v>
      </c>
      <c r="E307" s="2" t="s">
        <v>3360</v>
      </c>
      <c r="F307" s="2" t="s">
        <v>3361</v>
      </c>
      <c r="G307" s="2" t="s">
        <v>18</v>
      </c>
      <c r="H307" s="2" t="s">
        <v>3362</v>
      </c>
      <c r="I307" t="s">
        <v>1983</v>
      </c>
    </row>
    <row r="308" spans="1:9">
      <c r="A308" s="2" t="s">
        <v>674</v>
      </c>
      <c r="B308" s="2" t="s">
        <v>3363</v>
      </c>
      <c r="C308" s="2" t="s">
        <v>3364</v>
      </c>
      <c r="D308" s="2" t="s">
        <v>3365</v>
      </c>
      <c r="E308" s="2" t="s">
        <v>3366</v>
      </c>
      <c r="F308" s="2" t="s">
        <v>3367</v>
      </c>
      <c r="G308" s="2" t="s">
        <v>19</v>
      </c>
      <c r="H308" s="2">
        <v>68505</v>
      </c>
      <c r="I308" t="s">
        <v>1983</v>
      </c>
    </row>
    <row r="309" spans="1:9">
      <c r="A309" s="2" t="s">
        <v>676</v>
      </c>
      <c r="B309" s="2" t="s">
        <v>3368</v>
      </c>
      <c r="C309" s="2" t="s">
        <v>3369</v>
      </c>
      <c r="D309" s="2" t="s">
        <v>3370</v>
      </c>
      <c r="E309" s="2" t="s">
        <v>3371</v>
      </c>
      <c r="F309" s="2" t="s">
        <v>3068</v>
      </c>
      <c r="G309" s="2" t="s">
        <v>19</v>
      </c>
      <c r="H309" s="2">
        <v>45254</v>
      </c>
      <c r="I309" t="s">
        <v>1975</v>
      </c>
    </row>
    <row r="310" spans="1:9">
      <c r="A310" s="2" t="s">
        <v>678</v>
      </c>
      <c r="B310" s="2" t="s">
        <v>3372</v>
      </c>
      <c r="C310" s="2" t="s">
        <v>3373</v>
      </c>
      <c r="D310" s="2"/>
      <c r="E310" s="2" t="s">
        <v>3374</v>
      </c>
      <c r="F310" s="2" t="s">
        <v>3165</v>
      </c>
      <c r="G310" s="2" t="s">
        <v>18</v>
      </c>
      <c r="H310" s="2" t="s">
        <v>3166</v>
      </c>
      <c r="I310" t="s">
        <v>1983</v>
      </c>
    </row>
    <row r="311" spans="1:9">
      <c r="A311" s="2" t="s">
        <v>680</v>
      </c>
      <c r="B311" s="2" t="s">
        <v>3375</v>
      </c>
      <c r="C311" s="2" t="s">
        <v>3376</v>
      </c>
      <c r="D311" s="2" t="s">
        <v>3377</v>
      </c>
      <c r="E311" s="2" t="s">
        <v>3378</v>
      </c>
      <c r="F311" s="2" t="s">
        <v>3379</v>
      </c>
      <c r="G311" s="2" t="s">
        <v>19</v>
      </c>
      <c r="H311" s="2">
        <v>6127</v>
      </c>
      <c r="I311" t="s">
        <v>1975</v>
      </c>
    </row>
    <row r="312" spans="1:9">
      <c r="A312" s="2" t="s">
        <v>682</v>
      </c>
      <c r="B312" s="2" t="s">
        <v>3380</v>
      </c>
      <c r="C312" s="2" t="s">
        <v>3381</v>
      </c>
      <c r="D312" s="2" t="s">
        <v>3382</v>
      </c>
      <c r="E312" s="2" t="s">
        <v>3383</v>
      </c>
      <c r="F312" s="2" t="s">
        <v>2340</v>
      </c>
      <c r="G312" s="2" t="s">
        <v>17</v>
      </c>
      <c r="H312" s="2" t="s">
        <v>2341</v>
      </c>
      <c r="I312" t="s">
        <v>1983</v>
      </c>
    </row>
    <row r="313" spans="1:9">
      <c r="A313" s="2" t="s">
        <v>670</v>
      </c>
      <c r="B313" s="2" t="s">
        <v>3384</v>
      </c>
      <c r="C313" s="2" t="s">
        <v>3385</v>
      </c>
      <c r="D313" s="2" t="s">
        <v>3386</v>
      </c>
      <c r="E313" s="2" t="s">
        <v>3387</v>
      </c>
      <c r="F313" s="2" t="s">
        <v>2331</v>
      </c>
      <c r="G313" s="2" t="s">
        <v>19</v>
      </c>
      <c r="H313" s="2">
        <v>28299</v>
      </c>
      <c r="I313" t="s">
        <v>1975</v>
      </c>
    </row>
    <row r="314" spans="1:9">
      <c r="A314" s="2" t="s">
        <v>685</v>
      </c>
      <c r="B314" s="2" t="s">
        <v>3388</v>
      </c>
      <c r="C314" s="2" t="s">
        <v>3389</v>
      </c>
      <c r="D314" s="2" t="s">
        <v>3390</v>
      </c>
      <c r="E314" s="2" t="s">
        <v>3391</v>
      </c>
      <c r="F314" s="2" t="s">
        <v>2730</v>
      </c>
      <c r="G314" s="2" t="s">
        <v>19</v>
      </c>
      <c r="H314" s="2">
        <v>71307</v>
      </c>
      <c r="I314" t="s">
        <v>1975</v>
      </c>
    </row>
    <row r="315" spans="1:9">
      <c r="A315" s="2" t="s">
        <v>687</v>
      </c>
      <c r="B315" s="2" t="s">
        <v>3392</v>
      </c>
      <c r="C315" s="2" t="s">
        <v>3393</v>
      </c>
      <c r="D315" s="2" t="s">
        <v>3394</v>
      </c>
      <c r="E315" s="2" t="s">
        <v>3395</v>
      </c>
      <c r="F315" s="2" t="s">
        <v>3396</v>
      </c>
      <c r="G315" s="2" t="s">
        <v>18</v>
      </c>
      <c r="H315" s="2" t="s">
        <v>3397</v>
      </c>
      <c r="I315" t="s">
        <v>1975</v>
      </c>
    </row>
    <row r="316" spans="1:9">
      <c r="A316" s="2" t="s">
        <v>689</v>
      </c>
      <c r="B316" s="2" t="s">
        <v>3398</v>
      </c>
      <c r="C316" s="2"/>
      <c r="D316" s="2" t="s">
        <v>3399</v>
      </c>
      <c r="E316" s="2" t="s">
        <v>3400</v>
      </c>
      <c r="F316" s="2" t="s">
        <v>3401</v>
      </c>
      <c r="G316" s="2" t="s">
        <v>19</v>
      </c>
      <c r="H316" s="2">
        <v>89115</v>
      </c>
      <c r="I316" t="s">
        <v>1983</v>
      </c>
    </row>
    <row r="317" spans="1:9">
      <c r="A317" s="2" t="s">
        <v>691</v>
      </c>
      <c r="B317" s="2" t="s">
        <v>3402</v>
      </c>
      <c r="C317" s="2" t="s">
        <v>3403</v>
      </c>
      <c r="D317" s="2" t="s">
        <v>3404</v>
      </c>
      <c r="E317" s="2" t="s">
        <v>3405</v>
      </c>
      <c r="F317" s="2" t="s">
        <v>2678</v>
      </c>
      <c r="G317" s="2" t="s">
        <v>19</v>
      </c>
      <c r="H317" s="2">
        <v>50369</v>
      </c>
      <c r="I317" t="s">
        <v>1975</v>
      </c>
    </row>
    <row r="318" spans="1:9">
      <c r="A318" s="2" t="s">
        <v>693</v>
      </c>
      <c r="B318" s="2" t="s">
        <v>3406</v>
      </c>
      <c r="C318" s="2" t="s">
        <v>3407</v>
      </c>
      <c r="D318" s="2" t="s">
        <v>3408</v>
      </c>
      <c r="E318" s="2" t="s">
        <v>3409</v>
      </c>
      <c r="F318" s="2" t="s">
        <v>2631</v>
      </c>
      <c r="G318" s="2" t="s">
        <v>17</v>
      </c>
      <c r="H318" s="2" t="s">
        <v>2576</v>
      </c>
      <c r="I318" t="s">
        <v>1983</v>
      </c>
    </row>
    <row r="319" spans="1:9">
      <c r="A319" s="2" t="s">
        <v>695</v>
      </c>
      <c r="B319" s="2" t="s">
        <v>3410</v>
      </c>
      <c r="C319" s="2" t="s">
        <v>3411</v>
      </c>
      <c r="D319" s="2" t="s">
        <v>3412</v>
      </c>
      <c r="E319" s="2" t="s">
        <v>3413</v>
      </c>
      <c r="F319" s="2" t="s">
        <v>3414</v>
      </c>
      <c r="G319" s="2" t="s">
        <v>19</v>
      </c>
      <c r="H319" s="2">
        <v>44315</v>
      </c>
      <c r="I319" t="s">
        <v>1983</v>
      </c>
    </row>
    <row r="320" spans="1:9">
      <c r="A320" s="2" t="s">
        <v>697</v>
      </c>
      <c r="B320" s="2" t="s">
        <v>3415</v>
      </c>
      <c r="C320" s="2" t="s">
        <v>3416</v>
      </c>
      <c r="D320" s="2" t="s">
        <v>3417</v>
      </c>
      <c r="E320" s="2" t="s">
        <v>3418</v>
      </c>
      <c r="F320" s="2" t="s">
        <v>3419</v>
      </c>
      <c r="G320" s="2" t="s">
        <v>19</v>
      </c>
      <c r="H320" s="2">
        <v>33405</v>
      </c>
      <c r="I320" t="s">
        <v>1975</v>
      </c>
    </row>
    <row r="321" spans="1:9">
      <c r="A321" s="2" t="s">
        <v>699</v>
      </c>
      <c r="B321" s="2" t="s">
        <v>3420</v>
      </c>
      <c r="C321" s="2" t="s">
        <v>3421</v>
      </c>
      <c r="D321" s="2"/>
      <c r="E321" s="2" t="s">
        <v>3422</v>
      </c>
      <c r="F321" s="2" t="s">
        <v>2386</v>
      </c>
      <c r="G321" s="2" t="s">
        <v>19</v>
      </c>
      <c r="H321" s="2">
        <v>93715</v>
      </c>
      <c r="I321" t="s">
        <v>1975</v>
      </c>
    </row>
    <row r="322" spans="1:9">
      <c r="A322" s="2" t="s">
        <v>3423</v>
      </c>
      <c r="B322" s="2" t="s">
        <v>3424</v>
      </c>
      <c r="C322" s="2" t="s">
        <v>3425</v>
      </c>
      <c r="D322" s="2" t="s">
        <v>3426</v>
      </c>
      <c r="E322" s="2" t="s">
        <v>3427</v>
      </c>
      <c r="F322" s="2" t="s">
        <v>3428</v>
      </c>
      <c r="G322" s="2" t="s">
        <v>19</v>
      </c>
      <c r="H322" s="2">
        <v>52245</v>
      </c>
      <c r="I322" t="s">
        <v>1975</v>
      </c>
    </row>
    <row r="323" spans="1:9">
      <c r="A323" s="2" t="s">
        <v>701</v>
      </c>
      <c r="B323" s="2" t="s">
        <v>3429</v>
      </c>
      <c r="C323" s="2" t="s">
        <v>3430</v>
      </c>
      <c r="D323" s="2" t="s">
        <v>3431</v>
      </c>
      <c r="E323" s="2" t="s">
        <v>3432</v>
      </c>
      <c r="F323" s="2" t="s">
        <v>3433</v>
      </c>
      <c r="G323" s="2" t="s">
        <v>17</v>
      </c>
      <c r="H323" s="2" t="s">
        <v>2115</v>
      </c>
      <c r="I323" t="s">
        <v>1975</v>
      </c>
    </row>
    <row r="324" spans="1:9">
      <c r="A324" s="2" t="s">
        <v>703</v>
      </c>
      <c r="B324" s="2" t="s">
        <v>3434</v>
      </c>
      <c r="C324" s="2" t="s">
        <v>3435</v>
      </c>
      <c r="D324" s="2" t="s">
        <v>3436</v>
      </c>
      <c r="E324" s="2" t="s">
        <v>3437</v>
      </c>
      <c r="F324" s="2" t="s">
        <v>3438</v>
      </c>
      <c r="G324" s="2" t="s">
        <v>17</v>
      </c>
      <c r="H324" s="2" t="s">
        <v>2115</v>
      </c>
      <c r="I324" t="s">
        <v>1983</v>
      </c>
    </row>
    <row r="325" spans="1:9">
      <c r="A325" s="2" t="s">
        <v>705</v>
      </c>
      <c r="B325" s="2" t="s">
        <v>3439</v>
      </c>
      <c r="C325" s="2" t="s">
        <v>3440</v>
      </c>
      <c r="D325" s="2" t="s">
        <v>3441</v>
      </c>
      <c r="E325" s="2" t="s">
        <v>3442</v>
      </c>
      <c r="F325" s="2" t="s">
        <v>3443</v>
      </c>
      <c r="G325" s="2" t="s">
        <v>19</v>
      </c>
      <c r="H325" s="2">
        <v>37924</v>
      </c>
      <c r="I325" t="s">
        <v>1975</v>
      </c>
    </row>
    <row r="326" spans="1:9">
      <c r="A326" s="2" t="s">
        <v>707</v>
      </c>
      <c r="B326" s="2" t="s">
        <v>3444</v>
      </c>
      <c r="C326" s="2"/>
      <c r="D326" s="2" t="s">
        <v>3445</v>
      </c>
      <c r="E326" s="2" t="s">
        <v>3446</v>
      </c>
      <c r="F326" s="2" t="s">
        <v>3019</v>
      </c>
      <c r="G326" s="2" t="s">
        <v>19</v>
      </c>
      <c r="H326" s="2">
        <v>66276</v>
      </c>
      <c r="I326" t="s">
        <v>1983</v>
      </c>
    </row>
    <row r="327" spans="1:9">
      <c r="A327" s="2" t="s">
        <v>709</v>
      </c>
      <c r="B327" s="2" t="s">
        <v>3447</v>
      </c>
      <c r="C327" s="2" t="s">
        <v>3448</v>
      </c>
      <c r="D327" s="2" t="s">
        <v>3449</v>
      </c>
      <c r="E327" s="2" t="s">
        <v>3450</v>
      </c>
      <c r="F327" s="2" t="s">
        <v>3121</v>
      </c>
      <c r="G327" s="2" t="s">
        <v>19</v>
      </c>
      <c r="H327" s="2">
        <v>94132</v>
      </c>
      <c r="I327" t="s">
        <v>1975</v>
      </c>
    </row>
    <row r="328" spans="1:9">
      <c r="A328" s="2" t="s">
        <v>711</v>
      </c>
      <c r="B328" s="2" t="s">
        <v>3451</v>
      </c>
      <c r="C328" s="2"/>
      <c r="D328" s="2" t="s">
        <v>3452</v>
      </c>
      <c r="E328" s="2" t="s">
        <v>3453</v>
      </c>
      <c r="F328" s="2" t="s">
        <v>2203</v>
      </c>
      <c r="G328" s="2" t="s">
        <v>19</v>
      </c>
      <c r="H328" s="2">
        <v>35244</v>
      </c>
      <c r="I328" t="s">
        <v>1983</v>
      </c>
    </row>
    <row r="329" spans="1:9">
      <c r="A329" s="2" t="s">
        <v>713</v>
      </c>
      <c r="B329" s="2" t="s">
        <v>3454</v>
      </c>
      <c r="C329" s="2" t="s">
        <v>3455</v>
      </c>
      <c r="D329" s="2" t="s">
        <v>3456</v>
      </c>
      <c r="E329" s="2" t="s">
        <v>3457</v>
      </c>
      <c r="F329" s="2" t="s">
        <v>2807</v>
      </c>
      <c r="G329" s="2" t="s">
        <v>19</v>
      </c>
      <c r="H329" s="2">
        <v>11215</v>
      </c>
      <c r="I329" t="s">
        <v>1975</v>
      </c>
    </row>
    <row r="330" spans="1:9">
      <c r="A330" s="2" t="s">
        <v>715</v>
      </c>
      <c r="B330" s="2" t="s">
        <v>3458</v>
      </c>
      <c r="C330" s="2"/>
      <c r="D330" s="2" t="s">
        <v>3459</v>
      </c>
      <c r="E330" s="2" t="s">
        <v>3460</v>
      </c>
      <c r="F330" s="2" t="s">
        <v>2479</v>
      </c>
      <c r="G330" s="2" t="s">
        <v>19</v>
      </c>
      <c r="H330" s="2">
        <v>79934</v>
      </c>
      <c r="I330" t="s">
        <v>1975</v>
      </c>
    </row>
    <row r="331" spans="1:9">
      <c r="A331" s="2" t="s">
        <v>717</v>
      </c>
      <c r="B331" s="2" t="s">
        <v>3461</v>
      </c>
      <c r="C331" s="2" t="s">
        <v>3462</v>
      </c>
      <c r="D331" s="2"/>
      <c r="E331" s="2" t="s">
        <v>3463</v>
      </c>
      <c r="F331" s="2" t="s">
        <v>3030</v>
      </c>
      <c r="G331" s="2" t="s">
        <v>19</v>
      </c>
      <c r="H331" s="2">
        <v>94250</v>
      </c>
      <c r="I331" t="s">
        <v>1975</v>
      </c>
    </row>
    <row r="332" spans="1:9">
      <c r="A332" s="2" t="s">
        <v>3464</v>
      </c>
      <c r="B332" s="2" t="s">
        <v>3465</v>
      </c>
      <c r="C332" s="2" t="s">
        <v>3466</v>
      </c>
      <c r="D332" s="2" t="s">
        <v>3467</v>
      </c>
      <c r="E332" s="2" t="s">
        <v>3468</v>
      </c>
      <c r="F332" s="2" t="s">
        <v>2217</v>
      </c>
      <c r="G332" s="2" t="s">
        <v>19</v>
      </c>
      <c r="H332" s="2">
        <v>20220</v>
      </c>
      <c r="I332" t="s">
        <v>1983</v>
      </c>
    </row>
    <row r="333" spans="1:9">
      <c r="A333" s="2" t="s">
        <v>720</v>
      </c>
      <c r="B333" s="2" t="s">
        <v>3469</v>
      </c>
      <c r="C333" s="2" t="s">
        <v>3470</v>
      </c>
      <c r="D333" s="2" t="s">
        <v>3471</v>
      </c>
      <c r="E333" s="2" t="s">
        <v>3472</v>
      </c>
      <c r="F333" s="2" t="s">
        <v>3473</v>
      </c>
      <c r="G333" s="2" t="s">
        <v>19</v>
      </c>
      <c r="H333" s="2">
        <v>33436</v>
      </c>
      <c r="I333" t="s">
        <v>1975</v>
      </c>
    </row>
    <row r="334" spans="1:9">
      <c r="A334" s="2" t="s">
        <v>722</v>
      </c>
      <c r="B334" s="2" t="s">
        <v>3474</v>
      </c>
      <c r="C334" s="2" t="s">
        <v>3475</v>
      </c>
      <c r="D334" s="2" t="s">
        <v>3476</v>
      </c>
      <c r="E334" s="2" t="s">
        <v>3477</v>
      </c>
      <c r="F334" s="2" t="s">
        <v>2018</v>
      </c>
      <c r="G334" s="2" t="s">
        <v>19</v>
      </c>
      <c r="H334" s="2">
        <v>90094</v>
      </c>
      <c r="I334" t="s">
        <v>1975</v>
      </c>
    </row>
    <row r="335" spans="1:9">
      <c r="A335" s="2" t="s">
        <v>724</v>
      </c>
      <c r="B335" s="2" t="s">
        <v>3478</v>
      </c>
      <c r="C335" s="2" t="s">
        <v>3479</v>
      </c>
      <c r="D335" s="2" t="s">
        <v>3480</v>
      </c>
      <c r="E335" s="2" t="s">
        <v>3481</v>
      </c>
      <c r="F335" s="2" t="s">
        <v>3347</v>
      </c>
      <c r="G335" s="2" t="s">
        <v>19</v>
      </c>
      <c r="H335" s="2">
        <v>21275</v>
      </c>
      <c r="I335" t="s">
        <v>1975</v>
      </c>
    </row>
    <row r="336" spans="1:9">
      <c r="A336" s="2" t="s">
        <v>726</v>
      </c>
      <c r="B336" s="2" t="s">
        <v>3482</v>
      </c>
      <c r="C336" s="2"/>
      <c r="D336" s="2"/>
      <c r="E336" s="2" t="s">
        <v>3483</v>
      </c>
      <c r="F336" s="2" t="s">
        <v>2969</v>
      </c>
      <c r="G336" s="2" t="s">
        <v>19</v>
      </c>
      <c r="H336" s="2">
        <v>84125</v>
      </c>
      <c r="I336" t="s">
        <v>1983</v>
      </c>
    </row>
    <row r="337" spans="1:9">
      <c r="A337" s="2" t="s">
        <v>728</v>
      </c>
      <c r="B337" s="2" t="s">
        <v>3484</v>
      </c>
      <c r="C337" s="2" t="s">
        <v>3485</v>
      </c>
      <c r="D337" s="2" t="s">
        <v>3486</v>
      </c>
      <c r="E337" s="2" t="s">
        <v>3487</v>
      </c>
      <c r="F337" s="2" t="s">
        <v>2822</v>
      </c>
      <c r="G337" s="2" t="s">
        <v>19</v>
      </c>
      <c r="H337" s="2">
        <v>75049</v>
      </c>
      <c r="I337" t="s">
        <v>1975</v>
      </c>
    </row>
    <row r="338" spans="1:9">
      <c r="A338" s="2" t="s">
        <v>730</v>
      </c>
      <c r="B338" s="2" t="s">
        <v>3488</v>
      </c>
      <c r="C338" s="2" t="s">
        <v>3489</v>
      </c>
      <c r="D338" s="2" t="s">
        <v>3490</v>
      </c>
      <c r="E338" s="2" t="s">
        <v>3491</v>
      </c>
      <c r="F338" s="2" t="s">
        <v>3492</v>
      </c>
      <c r="G338" s="2" t="s">
        <v>18</v>
      </c>
      <c r="H338" s="2" t="s">
        <v>3493</v>
      </c>
      <c r="I338" t="s">
        <v>1983</v>
      </c>
    </row>
    <row r="339" spans="1:9">
      <c r="A339" s="2" t="s">
        <v>3494</v>
      </c>
      <c r="B339" s="2" t="s">
        <v>3495</v>
      </c>
      <c r="C339" s="2"/>
      <c r="D339" s="2" t="s">
        <v>3496</v>
      </c>
      <c r="E339" s="2" t="s">
        <v>3497</v>
      </c>
      <c r="F339" s="2" t="s">
        <v>2318</v>
      </c>
      <c r="G339" s="2" t="s">
        <v>19</v>
      </c>
      <c r="H339" s="2">
        <v>43240</v>
      </c>
      <c r="I339" t="s">
        <v>1983</v>
      </c>
    </row>
    <row r="340" spans="1:9">
      <c r="A340" s="2" t="s">
        <v>733</v>
      </c>
      <c r="B340" s="2" t="s">
        <v>3498</v>
      </c>
      <c r="C340" s="2" t="s">
        <v>3499</v>
      </c>
      <c r="D340" s="2" t="s">
        <v>3500</v>
      </c>
      <c r="E340" s="2" t="s">
        <v>3501</v>
      </c>
      <c r="F340" s="2" t="s">
        <v>2069</v>
      </c>
      <c r="G340" s="2" t="s">
        <v>19</v>
      </c>
      <c r="H340" s="2">
        <v>10184</v>
      </c>
      <c r="I340" t="s">
        <v>1983</v>
      </c>
    </row>
    <row r="341" spans="1:9">
      <c r="A341" s="2" t="s">
        <v>735</v>
      </c>
      <c r="B341" s="2" t="s">
        <v>3502</v>
      </c>
      <c r="C341" s="2" t="s">
        <v>3503</v>
      </c>
      <c r="D341" s="2" t="s">
        <v>3504</v>
      </c>
      <c r="E341" s="2" t="s">
        <v>3505</v>
      </c>
      <c r="F341" s="2" t="s">
        <v>2189</v>
      </c>
      <c r="G341" s="2" t="s">
        <v>19</v>
      </c>
      <c r="H341" s="2">
        <v>2216</v>
      </c>
      <c r="I341" t="s">
        <v>1975</v>
      </c>
    </row>
    <row r="342" spans="1:9">
      <c r="A342" s="2" t="s">
        <v>737</v>
      </c>
      <c r="B342" s="2" t="s">
        <v>3506</v>
      </c>
      <c r="C342" s="2" t="s">
        <v>3507</v>
      </c>
      <c r="D342" s="2" t="s">
        <v>3508</v>
      </c>
      <c r="E342" s="2" t="s">
        <v>3509</v>
      </c>
      <c r="F342" s="2" t="s">
        <v>3121</v>
      </c>
      <c r="G342" s="2" t="s">
        <v>19</v>
      </c>
      <c r="H342" s="2">
        <v>94132</v>
      </c>
      <c r="I342" t="s">
        <v>1975</v>
      </c>
    </row>
    <row r="343" spans="1:9">
      <c r="A343" s="2" t="s">
        <v>739</v>
      </c>
      <c r="B343" s="2" t="s">
        <v>3510</v>
      </c>
      <c r="C343" s="2" t="s">
        <v>3511</v>
      </c>
      <c r="D343" s="2" t="s">
        <v>3512</v>
      </c>
      <c r="E343" s="2" t="s">
        <v>3513</v>
      </c>
      <c r="F343" s="2" t="s">
        <v>3514</v>
      </c>
      <c r="G343" s="2" t="s">
        <v>19</v>
      </c>
      <c r="H343" s="2">
        <v>46295</v>
      </c>
      <c r="I343" t="s">
        <v>1983</v>
      </c>
    </row>
    <row r="344" spans="1:9">
      <c r="A344" s="2" t="s">
        <v>3515</v>
      </c>
      <c r="B344" s="2" t="s">
        <v>3516</v>
      </c>
      <c r="C344" s="2" t="s">
        <v>3517</v>
      </c>
      <c r="D344" s="2"/>
      <c r="E344" s="2" t="s">
        <v>3518</v>
      </c>
      <c r="F344" s="2" t="s">
        <v>3519</v>
      </c>
      <c r="G344" s="2" t="s">
        <v>19</v>
      </c>
      <c r="H344" s="2">
        <v>32209</v>
      </c>
      <c r="I344" t="s">
        <v>1983</v>
      </c>
    </row>
    <row r="345" spans="1:9">
      <c r="A345" s="2" t="s">
        <v>741</v>
      </c>
      <c r="B345" s="2" t="s">
        <v>3520</v>
      </c>
      <c r="C345" s="2" t="s">
        <v>3521</v>
      </c>
      <c r="D345" s="2"/>
      <c r="E345" s="2" t="s">
        <v>3522</v>
      </c>
      <c r="F345" s="2" t="s">
        <v>3523</v>
      </c>
      <c r="G345" s="2" t="s">
        <v>19</v>
      </c>
      <c r="H345" s="2">
        <v>98148</v>
      </c>
      <c r="I345" t="s">
        <v>1983</v>
      </c>
    </row>
    <row r="346" spans="1:9">
      <c r="A346" s="2" t="s">
        <v>743</v>
      </c>
      <c r="B346" s="2" t="s">
        <v>3524</v>
      </c>
      <c r="C346" s="2"/>
      <c r="D346" s="2" t="s">
        <v>3525</v>
      </c>
      <c r="E346" s="2" t="s">
        <v>3526</v>
      </c>
      <c r="F346" s="2" t="s">
        <v>3527</v>
      </c>
      <c r="G346" s="2" t="s">
        <v>17</v>
      </c>
      <c r="H346" s="2" t="s">
        <v>3528</v>
      </c>
      <c r="I346" t="s">
        <v>1975</v>
      </c>
    </row>
    <row r="347" spans="1:9">
      <c r="A347" s="2" t="s">
        <v>745</v>
      </c>
      <c r="B347" s="2" t="s">
        <v>3529</v>
      </c>
      <c r="C347" s="2" t="s">
        <v>3530</v>
      </c>
      <c r="D347" s="2" t="s">
        <v>3531</v>
      </c>
      <c r="E347" s="2" t="s">
        <v>3532</v>
      </c>
      <c r="F347" s="2" t="s">
        <v>2775</v>
      </c>
      <c r="G347" s="2" t="s">
        <v>19</v>
      </c>
      <c r="H347" s="2">
        <v>36109</v>
      </c>
      <c r="I347" t="s">
        <v>1983</v>
      </c>
    </row>
    <row r="348" spans="1:9">
      <c r="A348" s="2" t="s">
        <v>747</v>
      </c>
      <c r="B348" s="2" t="s">
        <v>3533</v>
      </c>
      <c r="C348" s="2" t="s">
        <v>3534</v>
      </c>
      <c r="D348" s="2" t="s">
        <v>3535</v>
      </c>
      <c r="E348" s="2" t="s">
        <v>3536</v>
      </c>
      <c r="F348" s="2" t="s">
        <v>2356</v>
      </c>
      <c r="G348" s="2" t="s">
        <v>19</v>
      </c>
      <c r="H348" s="2">
        <v>75372</v>
      </c>
      <c r="I348" t="s">
        <v>1975</v>
      </c>
    </row>
    <row r="349" spans="1:9">
      <c r="A349" s="2" t="s">
        <v>749</v>
      </c>
      <c r="B349" s="2" t="s">
        <v>3537</v>
      </c>
      <c r="C349" s="2" t="s">
        <v>3538</v>
      </c>
      <c r="D349" s="2" t="s">
        <v>3539</v>
      </c>
      <c r="E349" s="2" t="s">
        <v>3540</v>
      </c>
      <c r="F349" s="2" t="s">
        <v>3541</v>
      </c>
      <c r="G349" s="2" t="s">
        <v>19</v>
      </c>
      <c r="H349" s="2">
        <v>66622</v>
      </c>
      <c r="I349" t="s">
        <v>1983</v>
      </c>
    </row>
    <row r="350" spans="1:9">
      <c r="A350" s="2" t="s">
        <v>751</v>
      </c>
      <c r="B350" s="2" t="s">
        <v>3542</v>
      </c>
      <c r="C350" s="2" t="s">
        <v>3543</v>
      </c>
      <c r="D350" s="2" t="s">
        <v>3544</v>
      </c>
      <c r="E350" s="2" t="s">
        <v>3545</v>
      </c>
      <c r="F350" s="2" t="s">
        <v>3546</v>
      </c>
      <c r="G350" s="2" t="s">
        <v>19</v>
      </c>
      <c r="H350" s="2">
        <v>75799</v>
      </c>
      <c r="I350" t="s">
        <v>1983</v>
      </c>
    </row>
    <row r="351" spans="1:9">
      <c r="A351" s="2" t="s">
        <v>753</v>
      </c>
      <c r="B351" s="2" t="s">
        <v>3547</v>
      </c>
      <c r="C351" s="2" t="s">
        <v>3548</v>
      </c>
      <c r="D351" s="2" t="s">
        <v>3549</v>
      </c>
      <c r="E351" s="2" t="s">
        <v>3550</v>
      </c>
      <c r="F351" s="2" t="s">
        <v>2018</v>
      </c>
      <c r="G351" s="2" t="s">
        <v>19</v>
      </c>
      <c r="H351" s="2">
        <v>90065</v>
      </c>
      <c r="I351" t="s">
        <v>1983</v>
      </c>
    </row>
    <row r="352" spans="1:9">
      <c r="A352" s="2" t="s">
        <v>755</v>
      </c>
      <c r="B352" s="2" t="s">
        <v>3551</v>
      </c>
      <c r="C352" s="2" t="s">
        <v>3552</v>
      </c>
      <c r="D352" s="2" t="s">
        <v>3553</v>
      </c>
      <c r="E352" s="2" t="s">
        <v>3554</v>
      </c>
      <c r="F352" s="2" t="s">
        <v>3555</v>
      </c>
      <c r="G352" s="2" t="s">
        <v>19</v>
      </c>
      <c r="H352" s="2">
        <v>71137</v>
      </c>
      <c r="I352" t="s">
        <v>1983</v>
      </c>
    </row>
    <row r="353" spans="1:9">
      <c r="A353" s="2" t="s">
        <v>757</v>
      </c>
      <c r="B353" s="2" t="s">
        <v>3556</v>
      </c>
      <c r="C353" s="2" t="s">
        <v>3557</v>
      </c>
      <c r="D353" s="2" t="s">
        <v>3558</v>
      </c>
      <c r="E353" s="2" t="s">
        <v>3559</v>
      </c>
      <c r="F353" s="2" t="s">
        <v>3560</v>
      </c>
      <c r="G353" s="2" t="s">
        <v>19</v>
      </c>
      <c r="H353" s="2">
        <v>83722</v>
      </c>
      <c r="I353" t="s">
        <v>1983</v>
      </c>
    </row>
    <row r="354" spans="1:9">
      <c r="A354" s="2" t="s">
        <v>3561</v>
      </c>
      <c r="B354" s="2" t="s">
        <v>3562</v>
      </c>
      <c r="C354" s="2" t="s">
        <v>3563</v>
      </c>
      <c r="D354" s="2" t="s">
        <v>3564</v>
      </c>
      <c r="E354" s="2" t="s">
        <v>3565</v>
      </c>
      <c r="F354" s="2" t="s">
        <v>2208</v>
      </c>
      <c r="G354" s="2" t="s">
        <v>19</v>
      </c>
      <c r="H354" s="2">
        <v>92415</v>
      </c>
      <c r="I354" t="s">
        <v>1983</v>
      </c>
    </row>
    <row r="355" spans="1:9">
      <c r="A355" s="2" t="s">
        <v>760</v>
      </c>
      <c r="B355" s="2" t="s">
        <v>3566</v>
      </c>
      <c r="C355" s="2"/>
      <c r="D355" s="2" t="s">
        <v>3567</v>
      </c>
      <c r="E355" s="2" t="s">
        <v>3568</v>
      </c>
      <c r="F355" s="2" t="s">
        <v>2775</v>
      </c>
      <c r="G355" s="2" t="s">
        <v>19</v>
      </c>
      <c r="H355" s="2">
        <v>36177</v>
      </c>
      <c r="I355" t="s">
        <v>1975</v>
      </c>
    </row>
    <row r="356" spans="1:9">
      <c r="A356" s="2" t="s">
        <v>762</v>
      </c>
      <c r="B356" s="2" t="s">
        <v>3569</v>
      </c>
      <c r="C356" s="2" t="s">
        <v>3570</v>
      </c>
      <c r="D356" s="2"/>
      <c r="E356" s="2" t="s">
        <v>3571</v>
      </c>
      <c r="F356" s="2" t="s">
        <v>3572</v>
      </c>
      <c r="G356" s="2" t="s">
        <v>19</v>
      </c>
      <c r="H356" s="2">
        <v>34981</v>
      </c>
      <c r="I356" t="s">
        <v>1983</v>
      </c>
    </row>
    <row r="357" spans="1:9">
      <c r="A357" s="2" t="s">
        <v>764</v>
      </c>
      <c r="B357" s="2" t="s">
        <v>3573</v>
      </c>
      <c r="C357" s="2" t="s">
        <v>3574</v>
      </c>
      <c r="D357" s="2" t="s">
        <v>3575</v>
      </c>
      <c r="E357" s="2" t="s">
        <v>3576</v>
      </c>
      <c r="F357" s="2" t="s">
        <v>2725</v>
      </c>
      <c r="G357" s="2" t="s">
        <v>19</v>
      </c>
      <c r="H357" s="2">
        <v>27415</v>
      </c>
      <c r="I357" t="s">
        <v>1975</v>
      </c>
    </row>
    <row r="358" spans="1:9">
      <c r="A358" s="2" t="s">
        <v>766</v>
      </c>
      <c r="B358" s="2" t="s">
        <v>3577</v>
      </c>
      <c r="C358" s="2" t="s">
        <v>3578</v>
      </c>
      <c r="D358" s="2" t="s">
        <v>3579</v>
      </c>
      <c r="E358" s="2" t="s">
        <v>3580</v>
      </c>
      <c r="F358" s="2" t="s">
        <v>3030</v>
      </c>
      <c r="G358" s="2" t="s">
        <v>19</v>
      </c>
      <c r="H358" s="2">
        <v>94237</v>
      </c>
      <c r="I358" t="s">
        <v>1975</v>
      </c>
    </row>
    <row r="359" spans="1:9">
      <c r="A359" s="2" t="s">
        <v>768</v>
      </c>
      <c r="B359" s="2" t="s">
        <v>3581</v>
      </c>
      <c r="C359" s="2"/>
      <c r="D359" s="2" t="s">
        <v>3582</v>
      </c>
      <c r="E359" s="2" t="s">
        <v>3583</v>
      </c>
      <c r="F359" s="2" t="s">
        <v>3584</v>
      </c>
      <c r="G359" s="2" t="s">
        <v>19</v>
      </c>
      <c r="H359" s="2">
        <v>78682</v>
      </c>
      <c r="I359" t="s">
        <v>1983</v>
      </c>
    </row>
    <row r="360" spans="1:9">
      <c r="A360" s="2" t="s">
        <v>770</v>
      </c>
      <c r="B360" s="2" t="s">
        <v>3585</v>
      </c>
      <c r="C360" s="2" t="s">
        <v>3586</v>
      </c>
      <c r="D360" s="2" t="s">
        <v>3587</v>
      </c>
      <c r="E360" s="2" t="s">
        <v>3588</v>
      </c>
      <c r="F360" s="2" t="s">
        <v>3589</v>
      </c>
      <c r="G360" s="2" t="s">
        <v>19</v>
      </c>
      <c r="H360" s="2">
        <v>22096</v>
      </c>
      <c r="I360" t="s">
        <v>1983</v>
      </c>
    </row>
    <row r="361" spans="1:9">
      <c r="A361" s="2" t="s">
        <v>772</v>
      </c>
      <c r="B361" s="2" t="s">
        <v>3590</v>
      </c>
      <c r="C361" s="2" t="s">
        <v>3591</v>
      </c>
      <c r="D361" s="2" t="s">
        <v>3592</v>
      </c>
      <c r="E361" s="2" t="s">
        <v>3593</v>
      </c>
      <c r="F361" s="2" t="s">
        <v>3594</v>
      </c>
      <c r="G361" s="2" t="s">
        <v>18</v>
      </c>
      <c r="H361" s="2" t="s">
        <v>3595</v>
      </c>
      <c r="I361" t="s">
        <v>1983</v>
      </c>
    </row>
    <row r="362" spans="1:9">
      <c r="A362" s="2" t="s">
        <v>774</v>
      </c>
      <c r="B362" s="2" t="s">
        <v>3596</v>
      </c>
      <c r="C362" s="2" t="s">
        <v>3597</v>
      </c>
      <c r="D362" s="2" t="s">
        <v>3598</v>
      </c>
      <c r="E362" s="2" t="s">
        <v>3599</v>
      </c>
      <c r="F362" s="2" t="s">
        <v>3248</v>
      </c>
      <c r="G362" s="2" t="s">
        <v>19</v>
      </c>
      <c r="H362" s="2">
        <v>29220</v>
      </c>
      <c r="I362" t="s">
        <v>1983</v>
      </c>
    </row>
    <row r="363" spans="1:9">
      <c r="A363" s="2" t="s">
        <v>3600</v>
      </c>
      <c r="B363" s="2" t="s">
        <v>3601</v>
      </c>
      <c r="C363" s="2" t="s">
        <v>3602</v>
      </c>
      <c r="D363" s="2" t="s">
        <v>3603</v>
      </c>
      <c r="E363" s="2" t="s">
        <v>3604</v>
      </c>
      <c r="F363" s="2" t="s">
        <v>2537</v>
      </c>
      <c r="G363" s="2" t="s">
        <v>19</v>
      </c>
      <c r="H363" s="2">
        <v>37215</v>
      </c>
      <c r="I363" t="s">
        <v>1975</v>
      </c>
    </row>
    <row r="364" spans="1:9">
      <c r="A364" s="2" t="s">
        <v>776</v>
      </c>
      <c r="B364" s="2" t="s">
        <v>3605</v>
      </c>
      <c r="C364" s="2" t="s">
        <v>3606</v>
      </c>
      <c r="D364" s="2" t="s">
        <v>3607</v>
      </c>
      <c r="E364" s="2" t="s">
        <v>3608</v>
      </c>
      <c r="F364" s="2" t="s">
        <v>3130</v>
      </c>
      <c r="G364" s="2" t="s">
        <v>19</v>
      </c>
      <c r="H364" s="2">
        <v>85025</v>
      </c>
      <c r="I364" t="s">
        <v>1975</v>
      </c>
    </row>
    <row r="365" spans="1:9">
      <c r="A365" s="2" t="s">
        <v>778</v>
      </c>
      <c r="B365" s="2" t="s">
        <v>3609</v>
      </c>
      <c r="C365" s="2" t="s">
        <v>3610</v>
      </c>
      <c r="D365" s="2"/>
      <c r="E365" s="2" t="s">
        <v>3611</v>
      </c>
      <c r="F365" s="2" t="s">
        <v>3612</v>
      </c>
      <c r="G365" s="2" t="s">
        <v>19</v>
      </c>
      <c r="H365" s="2">
        <v>33233</v>
      </c>
      <c r="I365" t="s">
        <v>1983</v>
      </c>
    </row>
    <row r="366" spans="1:9">
      <c r="A366" s="2" t="s">
        <v>780</v>
      </c>
      <c r="B366" s="2" t="s">
        <v>3613</v>
      </c>
      <c r="C366" s="2" t="s">
        <v>3614</v>
      </c>
      <c r="D366" s="2" t="s">
        <v>3615</v>
      </c>
      <c r="E366" s="2" t="s">
        <v>3616</v>
      </c>
      <c r="F366" s="2" t="s">
        <v>2386</v>
      </c>
      <c r="G366" s="2" t="s">
        <v>19</v>
      </c>
      <c r="H366" s="2">
        <v>93762</v>
      </c>
      <c r="I366" t="s">
        <v>1975</v>
      </c>
    </row>
    <row r="367" spans="1:9">
      <c r="A367" s="2" t="s">
        <v>782</v>
      </c>
      <c r="B367" s="2" t="s">
        <v>3617</v>
      </c>
      <c r="C367" s="2" t="s">
        <v>3618</v>
      </c>
      <c r="D367" s="2"/>
      <c r="E367" s="2" t="s">
        <v>3619</v>
      </c>
      <c r="F367" s="2" t="s">
        <v>3620</v>
      </c>
      <c r="G367" s="2" t="s">
        <v>19</v>
      </c>
      <c r="H367" s="2">
        <v>92825</v>
      </c>
      <c r="I367" t="s">
        <v>1983</v>
      </c>
    </row>
    <row r="368" spans="1:9">
      <c r="A368" s="2" t="s">
        <v>784</v>
      </c>
      <c r="B368" s="2" t="s">
        <v>3621</v>
      </c>
      <c r="C368" s="2"/>
      <c r="D368" s="2" t="s">
        <v>3622</v>
      </c>
      <c r="E368" s="2" t="s">
        <v>3623</v>
      </c>
      <c r="F368" s="2" t="s">
        <v>2561</v>
      </c>
      <c r="G368" s="2" t="s">
        <v>19</v>
      </c>
      <c r="H368" s="2">
        <v>23605</v>
      </c>
      <c r="I368" t="s">
        <v>1983</v>
      </c>
    </row>
    <row r="369" spans="1:9">
      <c r="A369" s="2" t="s">
        <v>786</v>
      </c>
      <c r="B369" s="2" t="s">
        <v>3624</v>
      </c>
      <c r="C369" s="2"/>
      <c r="D369" s="2"/>
      <c r="E369" s="2" t="s">
        <v>3625</v>
      </c>
      <c r="F369" s="2" t="s">
        <v>2917</v>
      </c>
      <c r="G369" s="2" t="s">
        <v>19</v>
      </c>
      <c r="H369" s="2">
        <v>29305</v>
      </c>
      <c r="I369" t="s">
        <v>1975</v>
      </c>
    </row>
    <row r="370" spans="1:9">
      <c r="A370" s="2" t="s">
        <v>788</v>
      </c>
      <c r="B370" s="2" t="s">
        <v>3626</v>
      </c>
      <c r="C370" s="2" t="s">
        <v>3627</v>
      </c>
      <c r="D370" s="2" t="s">
        <v>3628</v>
      </c>
      <c r="E370" s="2" t="s">
        <v>3629</v>
      </c>
      <c r="F370" s="2" t="s">
        <v>2921</v>
      </c>
      <c r="G370" s="2" t="s">
        <v>19</v>
      </c>
      <c r="H370" s="2">
        <v>10305</v>
      </c>
      <c r="I370" t="s">
        <v>1983</v>
      </c>
    </row>
    <row r="371" spans="1:9">
      <c r="A371" s="2" t="s">
        <v>790</v>
      </c>
      <c r="B371" s="2" t="s">
        <v>3630</v>
      </c>
      <c r="C371" s="2"/>
      <c r="D371" s="2"/>
      <c r="E371" s="2" t="s">
        <v>3631</v>
      </c>
      <c r="F371" s="2" t="s">
        <v>3401</v>
      </c>
      <c r="G371" s="2" t="s">
        <v>19</v>
      </c>
      <c r="H371" s="2">
        <v>89115</v>
      </c>
      <c r="I371" t="s">
        <v>1975</v>
      </c>
    </row>
    <row r="372" spans="1:9">
      <c r="A372" s="2" t="s">
        <v>792</v>
      </c>
      <c r="B372" s="2" t="s">
        <v>3632</v>
      </c>
      <c r="C372" s="2" t="s">
        <v>3633</v>
      </c>
      <c r="D372" s="2" t="s">
        <v>3634</v>
      </c>
      <c r="E372" s="2" t="s">
        <v>3635</v>
      </c>
      <c r="F372" s="2" t="s">
        <v>2969</v>
      </c>
      <c r="G372" s="2" t="s">
        <v>19</v>
      </c>
      <c r="H372" s="2">
        <v>84105</v>
      </c>
      <c r="I372" t="s">
        <v>1975</v>
      </c>
    </row>
    <row r="373" spans="1:9">
      <c r="A373" s="2" t="s">
        <v>794</v>
      </c>
      <c r="B373" s="2" t="s">
        <v>3636</v>
      </c>
      <c r="C373" s="2" t="s">
        <v>3637</v>
      </c>
      <c r="D373" s="2" t="s">
        <v>3638</v>
      </c>
      <c r="E373" s="2" t="s">
        <v>3639</v>
      </c>
      <c r="F373" s="2" t="s">
        <v>3523</v>
      </c>
      <c r="G373" s="2" t="s">
        <v>19</v>
      </c>
      <c r="H373" s="2">
        <v>98109</v>
      </c>
      <c r="I373" t="s">
        <v>1975</v>
      </c>
    </row>
    <row r="374" spans="1:9">
      <c r="A374" s="2" t="s">
        <v>796</v>
      </c>
      <c r="B374" s="2" t="s">
        <v>3640</v>
      </c>
      <c r="C374" s="2" t="s">
        <v>3641</v>
      </c>
      <c r="D374" s="2" t="s">
        <v>3642</v>
      </c>
      <c r="E374" s="2" t="s">
        <v>3643</v>
      </c>
      <c r="F374" s="2" t="s">
        <v>3644</v>
      </c>
      <c r="G374" s="2" t="s">
        <v>19</v>
      </c>
      <c r="H374" s="2">
        <v>79764</v>
      </c>
      <c r="I374" t="s">
        <v>1983</v>
      </c>
    </row>
    <row r="375" spans="1:9">
      <c r="A375" s="2" t="s">
        <v>798</v>
      </c>
      <c r="B375" s="2" t="s">
        <v>3645</v>
      </c>
      <c r="C375" s="2"/>
      <c r="D375" s="2" t="s">
        <v>3646</v>
      </c>
      <c r="E375" s="2" t="s">
        <v>3647</v>
      </c>
      <c r="F375" s="2" t="s">
        <v>3648</v>
      </c>
      <c r="G375" s="2" t="s">
        <v>17</v>
      </c>
      <c r="H375" s="2" t="s">
        <v>3649</v>
      </c>
      <c r="I375" t="s">
        <v>1975</v>
      </c>
    </row>
    <row r="376" spans="1:9">
      <c r="A376" s="2" t="s">
        <v>800</v>
      </c>
      <c r="B376" s="2" t="s">
        <v>3650</v>
      </c>
      <c r="C376" s="2" t="s">
        <v>3651</v>
      </c>
      <c r="D376" s="2" t="s">
        <v>3652</v>
      </c>
      <c r="E376" s="2" t="s">
        <v>3653</v>
      </c>
      <c r="F376" s="2" t="s">
        <v>3654</v>
      </c>
      <c r="G376" s="2" t="s">
        <v>19</v>
      </c>
      <c r="H376" s="2">
        <v>75037</v>
      </c>
      <c r="I376" t="s">
        <v>1975</v>
      </c>
    </row>
    <row r="377" spans="1:9">
      <c r="A377" s="2" t="s">
        <v>802</v>
      </c>
      <c r="B377" s="2" t="s">
        <v>3655</v>
      </c>
      <c r="C377" s="2" t="s">
        <v>3656</v>
      </c>
      <c r="D377" s="2" t="s">
        <v>3657</v>
      </c>
      <c r="E377" s="2" t="s">
        <v>3658</v>
      </c>
      <c r="F377" s="2" t="s">
        <v>2008</v>
      </c>
      <c r="G377" s="2" t="s">
        <v>19</v>
      </c>
      <c r="H377" s="2">
        <v>45426</v>
      </c>
      <c r="I377" t="s">
        <v>1975</v>
      </c>
    </row>
    <row r="378" spans="1:9">
      <c r="A378" s="2" t="s">
        <v>804</v>
      </c>
      <c r="B378" s="2" t="s">
        <v>3659</v>
      </c>
      <c r="C378" s="2" t="s">
        <v>3660</v>
      </c>
      <c r="D378" s="2" t="s">
        <v>3661</v>
      </c>
      <c r="E378" s="2" t="s">
        <v>3662</v>
      </c>
      <c r="F378" s="2" t="s">
        <v>2080</v>
      </c>
      <c r="G378" s="2" t="s">
        <v>19</v>
      </c>
      <c r="H378" s="2">
        <v>49560</v>
      </c>
      <c r="I378" t="s">
        <v>1975</v>
      </c>
    </row>
    <row r="379" spans="1:9">
      <c r="A379" s="2" t="s">
        <v>806</v>
      </c>
      <c r="B379" s="2" t="s">
        <v>3663</v>
      </c>
      <c r="C379" s="2" t="s">
        <v>3664</v>
      </c>
      <c r="D379" s="2" t="s">
        <v>3665</v>
      </c>
      <c r="E379" s="2" t="s">
        <v>3666</v>
      </c>
      <c r="F379" s="2" t="s">
        <v>2964</v>
      </c>
      <c r="G379" s="2" t="s">
        <v>17</v>
      </c>
      <c r="H379" s="2" t="s">
        <v>2115</v>
      </c>
      <c r="I379" t="s">
        <v>1983</v>
      </c>
    </row>
    <row r="380" spans="1:9">
      <c r="A380" s="2" t="s">
        <v>808</v>
      </c>
      <c r="B380" s="2" t="s">
        <v>3667</v>
      </c>
      <c r="C380" s="2" t="s">
        <v>3668</v>
      </c>
      <c r="D380" s="2" t="s">
        <v>3669</v>
      </c>
      <c r="E380" s="2" t="s">
        <v>3670</v>
      </c>
      <c r="F380" s="2" t="s">
        <v>3671</v>
      </c>
      <c r="G380" s="2" t="s">
        <v>17</v>
      </c>
      <c r="H380" s="2" t="s">
        <v>2456</v>
      </c>
      <c r="I380" t="s">
        <v>1975</v>
      </c>
    </row>
    <row r="381" spans="1:9">
      <c r="A381" s="2" t="s">
        <v>810</v>
      </c>
      <c r="B381" s="2" t="s">
        <v>3672</v>
      </c>
      <c r="C381" s="2" t="s">
        <v>3673</v>
      </c>
      <c r="D381" s="2"/>
      <c r="E381" s="2" t="s">
        <v>3674</v>
      </c>
      <c r="F381" s="2" t="s">
        <v>3675</v>
      </c>
      <c r="G381" s="2" t="s">
        <v>18</v>
      </c>
      <c r="H381" s="2" t="s">
        <v>3676</v>
      </c>
      <c r="I381" t="s">
        <v>1975</v>
      </c>
    </row>
    <row r="382" spans="1:9">
      <c r="A382" s="2" t="s">
        <v>3677</v>
      </c>
      <c r="B382" s="2" t="s">
        <v>3678</v>
      </c>
      <c r="C382" s="2" t="s">
        <v>3679</v>
      </c>
      <c r="D382" s="2" t="s">
        <v>3680</v>
      </c>
      <c r="E382" s="2" t="s">
        <v>3681</v>
      </c>
      <c r="F382" s="2" t="s">
        <v>1994</v>
      </c>
      <c r="G382" s="2" t="s">
        <v>19</v>
      </c>
      <c r="H382" s="2">
        <v>62756</v>
      </c>
      <c r="I382" t="s">
        <v>1983</v>
      </c>
    </row>
    <row r="383" spans="1:9">
      <c r="A383" s="2" t="s">
        <v>813</v>
      </c>
      <c r="B383" s="2" t="s">
        <v>3682</v>
      </c>
      <c r="C383" s="2" t="s">
        <v>3683</v>
      </c>
      <c r="D383" s="2" t="s">
        <v>3684</v>
      </c>
      <c r="E383" s="2" t="s">
        <v>3685</v>
      </c>
      <c r="F383" s="2" t="s">
        <v>2018</v>
      </c>
      <c r="G383" s="2" t="s">
        <v>19</v>
      </c>
      <c r="H383" s="2">
        <v>90010</v>
      </c>
      <c r="I383" t="s">
        <v>1975</v>
      </c>
    </row>
    <row r="384" spans="1:9">
      <c r="A384" s="2" t="s">
        <v>815</v>
      </c>
      <c r="B384" s="2" t="s">
        <v>3686</v>
      </c>
      <c r="C384" s="2" t="s">
        <v>3687</v>
      </c>
      <c r="D384" s="2" t="s">
        <v>3688</v>
      </c>
      <c r="E384" s="2" t="s">
        <v>3689</v>
      </c>
      <c r="F384" s="2" t="s">
        <v>3347</v>
      </c>
      <c r="G384" s="2" t="s">
        <v>19</v>
      </c>
      <c r="H384" s="2">
        <v>21239</v>
      </c>
      <c r="I384" t="s">
        <v>1983</v>
      </c>
    </row>
    <row r="385" spans="1:9">
      <c r="A385" s="2" t="s">
        <v>817</v>
      </c>
      <c r="B385" s="2" t="s">
        <v>3690</v>
      </c>
      <c r="C385" s="2"/>
      <c r="D385" s="2" t="s">
        <v>3691</v>
      </c>
      <c r="E385" s="2" t="s">
        <v>3692</v>
      </c>
      <c r="F385" s="2" t="s">
        <v>3693</v>
      </c>
      <c r="G385" s="2" t="s">
        <v>19</v>
      </c>
      <c r="H385" s="2">
        <v>17126</v>
      </c>
      <c r="I385" t="s">
        <v>1975</v>
      </c>
    </row>
    <row r="386" spans="1:9">
      <c r="A386" s="2" t="s">
        <v>819</v>
      </c>
      <c r="B386" s="2" t="s">
        <v>3694</v>
      </c>
      <c r="C386" s="2"/>
      <c r="D386" s="2" t="s">
        <v>3695</v>
      </c>
      <c r="E386" s="2" t="s">
        <v>3696</v>
      </c>
      <c r="F386" s="2" t="s">
        <v>2356</v>
      </c>
      <c r="G386" s="2" t="s">
        <v>19</v>
      </c>
      <c r="H386" s="2">
        <v>75216</v>
      </c>
      <c r="I386" t="s">
        <v>1983</v>
      </c>
    </row>
    <row r="387" spans="1:9">
      <c r="A387" s="2" t="s">
        <v>821</v>
      </c>
      <c r="B387" s="2" t="s">
        <v>3697</v>
      </c>
      <c r="C387" s="2" t="s">
        <v>3698</v>
      </c>
      <c r="D387" s="2" t="s">
        <v>3699</v>
      </c>
      <c r="E387" s="2" t="s">
        <v>3700</v>
      </c>
      <c r="F387" s="2" t="s">
        <v>2406</v>
      </c>
      <c r="G387" s="2" t="s">
        <v>19</v>
      </c>
      <c r="H387" s="2">
        <v>64125</v>
      </c>
      <c r="I387" t="s">
        <v>1975</v>
      </c>
    </row>
    <row r="388" spans="1:9">
      <c r="A388" s="2" t="s">
        <v>823</v>
      </c>
      <c r="B388" s="2" t="s">
        <v>3701</v>
      </c>
      <c r="C388" s="2"/>
      <c r="D388" s="2" t="s">
        <v>3702</v>
      </c>
      <c r="E388" s="2" t="s">
        <v>3703</v>
      </c>
      <c r="F388" s="2" t="s">
        <v>1994</v>
      </c>
      <c r="G388" s="2" t="s">
        <v>19</v>
      </c>
      <c r="H388" s="2">
        <v>62723</v>
      </c>
      <c r="I388" t="s">
        <v>1975</v>
      </c>
    </row>
    <row r="389" spans="1:9">
      <c r="A389" s="2" t="s">
        <v>825</v>
      </c>
      <c r="B389" s="2" t="s">
        <v>3704</v>
      </c>
      <c r="C389" s="2" t="s">
        <v>3705</v>
      </c>
      <c r="D389" s="2" t="s">
        <v>3706</v>
      </c>
      <c r="E389" s="2" t="s">
        <v>3707</v>
      </c>
      <c r="F389" s="2" t="s">
        <v>3708</v>
      </c>
      <c r="G389" s="2" t="s">
        <v>19</v>
      </c>
      <c r="H389" s="2">
        <v>6510</v>
      </c>
      <c r="I389" t="s">
        <v>1975</v>
      </c>
    </row>
    <row r="390" spans="1:9">
      <c r="A390" s="2" t="s">
        <v>827</v>
      </c>
      <c r="B390" s="2" t="s">
        <v>3709</v>
      </c>
      <c r="C390" s="2" t="s">
        <v>3710</v>
      </c>
      <c r="D390" s="2" t="s">
        <v>3711</v>
      </c>
      <c r="E390" s="2" t="s">
        <v>3712</v>
      </c>
      <c r="F390" s="2" t="s">
        <v>3713</v>
      </c>
      <c r="G390" s="2" t="s">
        <v>19</v>
      </c>
      <c r="H390" s="2">
        <v>30045</v>
      </c>
      <c r="I390" t="s">
        <v>1975</v>
      </c>
    </row>
    <row r="391" spans="1:9">
      <c r="A391" s="2" t="s">
        <v>829</v>
      </c>
      <c r="B391" s="2" t="s">
        <v>3714</v>
      </c>
      <c r="C391" s="2" t="s">
        <v>3715</v>
      </c>
      <c r="D391" s="2" t="s">
        <v>3716</v>
      </c>
      <c r="E391" s="2" t="s">
        <v>3717</v>
      </c>
      <c r="F391" s="2" t="s">
        <v>3718</v>
      </c>
      <c r="G391" s="2" t="s">
        <v>19</v>
      </c>
      <c r="H391" s="2">
        <v>28805</v>
      </c>
      <c r="I391" t="s">
        <v>1975</v>
      </c>
    </row>
    <row r="392" spans="1:9">
      <c r="A392" s="2" t="s">
        <v>831</v>
      </c>
      <c r="B392" s="2" t="s">
        <v>3719</v>
      </c>
      <c r="C392" s="2" t="s">
        <v>3720</v>
      </c>
      <c r="D392" s="2"/>
      <c r="E392" s="2" t="s">
        <v>3721</v>
      </c>
      <c r="F392" s="2" t="s">
        <v>2264</v>
      </c>
      <c r="G392" s="2" t="s">
        <v>19</v>
      </c>
      <c r="H392" s="2">
        <v>55123</v>
      </c>
      <c r="I392" t="s">
        <v>1975</v>
      </c>
    </row>
    <row r="393" spans="1:9">
      <c r="A393" s="2" t="s">
        <v>833</v>
      </c>
      <c r="B393" s="2" t="s">
        <v>3722</v>
      </c>
      <c r="C393" s="2" t="s">
        <v>3723</v>
      </c>
      <c r="D393" s="2"/>
      <c r="E393" s="2" t="s">
        <v>3724</v>
      </c>
      <c r="F393" s="2" t="s">
        <v>2168</v>
      </c>
      <c r="G393" s="2" t="s">
        <v>19</v>
      </c>
      <c r="H393" s="2">
        <v>55458</v>
      </c>
      <c r="I393" t="s">
        <v>1983</v>
      </c>
    </row>
    <row r="394" spans="1:9">
      <c r="A394" s="2" t="s">
        <v>835</v>
      </c>
      <c r="B394" s="2" t="s">
        <v>3725</v>
      </c>
      <c r="C394" s="2" t="s">
        <v>3726</v>
      </c>
      <c r="D394" s="2" t="s">
        <v>3727</v>
      </c>
      <c r="E394" s="2" t="s">
        <v>3728</v>
      </c>
      <c r="F394" s="2" t="s">
        <v>2603</v>
      </c>
      <c r="G394" s="2" t="s">
        <v>19</v>
      </c>
      <c r="H394" s="2">
        <v>92725</v>
      </c>
      <c r="I394" t="s">
        <v>1983</v>
      </c>
    </row>
    <row r="395" spans="1:9">
      <c r="A395" s="2" t="s">
        <v>3729</v>
      </c>
      <c r="B395" s="2" t="s">
        <v>3730</v>
      </c>
      <c r="C395" s="2" t="s">
        <v>3731</v>
      </c>
      <c r="D395" s="2" t="s">
        <v>3732</v>
      </c>
      <c r="E395" s="2" t="s">
        <v>3733</v>
      </c>
      <c r="F395" s="2" t="s">
        <v>3734</v>
      </c>
      <c r="G395" s="2" t="s">
        <v>19</v>
      </c>
      <c r="H395" s="2">
        <v>21747</v>
      </c>
      <c r="I395" t="s">
        <v>1975</v>
      </c>
    </row>
    <row r="396" spans="1:9">
      <c r="A396" s="2" t="s">
        <v>837</v>
      </c>
      <c r="B396" s="2" t="s">
        <v>3735</v>
      </c>
      <c r="C396" s="2" t="s">
        <v>3736</v>
      </c>
      <c r="D396" s="2" t="s">
        <v>3737</v>
      </c>
      <c r="E396" s="2" t="s">
        <v>3738</v>
      </c>
      <c r="F396" s="2" t="s">
        <v>2168</v>
      </c>
      <c r="G396" s="2" t="s">
        <v>19</v>
      </c>
      <c r="H396" s="2">
        <v>55458</v>
      </c>
      <c r="I396" t="s">
        <v>1983</v>
      </c>
    </row>
    <row r="397" spans="1:9">
      <c r="A397" s="2" t="s">
        <v>839</v>
      </c>
      <c r="B397" s="2" t="s">
        <v>3739</v>
      </c>
      <c r="C397" s="2" t="s">
        <v>3740</v>
      </c>
      <c r="D397" s="2"/>
      <c r="E397" s="2" t="s">
        <v>3741</v>
      </c>
      <c r="F397" s="2" t="s">
        <v>2217</v>
      </c>
      <c r="G397" s="2" t="s">
        <v>19</v>
      </c>
      <c r="H397" s="2">
        <v>20420</v>
      </c>
      <c r="I397" t="s">
        <v>1975</v>
      </c>
    </row>
    <row r="398" spans="1:9">
      <c r="A398" s="2" t="s">
        <v>841</v>
      </c>
      <c r="B398" s="2" t="s">
        <v>3742</v>
      </c>
      <c r="C398" s="2" t="s">
        <v>3743</v>
      </c>
      <c r="D398" s="2" t="s">
        <v>3744</v>
      </c>
      <c r="E398" s="2" t="s">
        <v>3745</v>
      </c>
      <c r="F398" s="2" t="s">
        <v>2208</v>
      </c>
      <c r="G398" s="2" t="s">
        <v>19</v>
      </c>
      <c r="H398" s="2">
        <v>92415</v>
      </c>
      <c r="I398" t="s">
        <v>1983</v>
      </c>
    </row>
    <row r="399" spans="1:9">
      <c r="A399" s="2" t="s">
        <v>843</v>
      </c>
      <c r="B399" s="2" t="s">
        <v>3746</v>
      </c>
      <c r="C399" s="2" t="s">
        <v>3747</v>
      </c>
      <c r="D399" s="2" t="s">
        <v>3748</v>
      </c>
      <c r="E399" s="2" t="s">
        <v>3749</v>
      </c>
      <c r="F399" s="2" t="s">
        <v>2194</v>
      </c>
      <c r="G399" s="2" t="s">
        <v>19</v>
      </c>
      <c r="H399" s="2">
        <v>14609</v>
      </c>
      <c r="I399" t="s">
        <v>1975</v>
      </c>
    </row>
    <row r="400" spans="1:9">
      <c r="A400" s="2" t="s">
        <v>845</v>
      </c>
      <c r="B400" s="2" t="s">
        <v>3750</v>
      </c>
      <c r="C400" s="2" t="s">
        <v>3751</v>
      </c>
      <c r="D400" s="2" t="s">
        <v>3752</v>
      </c>
      <c r="E400" s="2" t="s">
        <v>3753</v>
      </c>
      <c r="F400" s="2" t="s">
        <v>2090</v>
      </c>
      <c r="G400" s="2" t="s">
        <v>19</v>
      </c>
      <c r="H400" s="2">
        <v>98664</v>
      </c>
      <c r="I400" t="s">
        <v>1975</v>
      </c>
    </row>
    <row r="401" spans="1:9">
      <c r="A401" s="2" t="s">
        <v>847</v>
      </c>
      <c r="B401" s="2" t="s">
        <v>3754</v>
      </c>
      <c r="C401" s="2" t="s">
        <v>3755</v>
      </c>
      <c r="D401" s="2" t="s">
        <v>3756</v>
      </c>
      <c r="E401" s="2" t="s">
        <v>3757</v>
      </c>
      <c r="F401" s="2" t="s">
        <v>3758</v>
      </c>
      <c r="G401" s="2" t="s">
        <v>18</v>
      </c>
      <c r="H401" s="2" t="s">
        <v>3759</v>
      </c>
      <c r="I401" t="s">
        <v>1983</v>
      </c>
    </row>
    <row r="402" spans="1:9">
      <c r="A402" s="2" t="s">
        <v>849</v>
      </c>
      <c r="B402" s="2" t="s">
        <v>3760</v>
      </c>
      <c r="C402" s="2" t="s">
        <v>3761</v>
      </c>
      <c r="D402" s="2" t="s">
        <v>3762</v>
      </c>
      <c r="E402" s="2" t="s">
        <v>3763</v>
      </c>
      <c r="F402" s="2" t="s">
        <v>2217</v>
      </c>
      <c r="G402" s="2" t="s">
        <v>19</v>
      </c>
      <c r="H402" s="2">
        <v>20057</v>
      </c>
      <c r="I402" t="s">
        <v>1983</v>
      </c>
    </row>
    <row r="403" spans="1:9">
      <c r="A403" s="2" t="s">
        <v>851</v>
      </c>
      <c r="B403" s="2" t="s">
        <v>3764</v>
      </c>
      <c r="C403" s="2" t="s">
        <v>3765</v>
      </c>
      <c r="D403" s="2" t="s">
        <v>3766</v>
      </c>
      <c r="E403" s="2" t="s">
        <v>3767</v>
      </c>
      <c r="F403" s="2" t="s">
        <v>3443</v>
      </c>
      <c r="G403" s="2" t="s">
        <v>19</v>
      </c>
      <c r="H403" s="2">
        <v>37924</v>
      </c>
      <c r="I403" t="s">
        <v>1975</v>
      </c>
    </row>
    <row r="404" spans="1:9">
      <c r="A404" s="2" t="s">
        <v>853</v>
      </c>
      <c r="B404" s="2" t="s">
        <v>3768</v>
      </c>
      <c r="C404" s="2" t="s">
        <v>3769</v>
      </c>
      <c r="D404" s="2" t="s">
        <v>3770</v>
      </c>
      <c r="E404" s="2" t="s">
        <v>3771</v>
      </c>
      <c r="F404" s="2" t="s">
        <v>2153</v>
      </c>
      <c r="G404" s="2" t="s">
        <v>19</v>
      </c>
      <c r="H404" s="2">
        <v>25336</v>
      </c>
      <c r="I404" t="s">
        <v>1975</v>
      </c>
    </row>
    <row r="405" spans="1:9">
      <c r="A405" s="2" t="s">
        <v>855</v>
      </c>
      <c r="B405" s="2" t="s">
        <v>3772</v>
      </c>
      <c r="C405" s="2" t="s">
        <v>3773</v>
      </c>
      <c r="D405" s="2" t="s">
        <v>3774</v>
      </c>
      <c r="E405" s="2" t="s">
        <v>3775</v>
      </c>
      <c r="F405" s="2" t="s">
        <v>2356</v>
      </c>
      <c r="G405" s="2" t="s">
        <v>19</v>
      </c>
      <c r="H405" s="2">
        <v>75372</v>
      </c>
      <c r="I405" t="s">
        <v>1983</v>
      </c>
    </row>
    <row r="406" spans="1:9">
      <c r="A406" s="2" t="s">
        <v>857</v>
      </c>
      <c r="B406" s="2" t="s">
        <v>3776</v>
      </c>
      <c r="C406" s="2" t="s">
        <v>3777</v>
      </c>
      <c r="D406" s="2" t="s">
        <v>3778</v>
      </c>
      <c r="E406" s="2" t="s">
        <v>3779</v>
      </c>
      <c r="F406" s="2" t="s">
        <v>3780</v>
      </c>
      <c r="G406" s="2" t="s">
        <v>17</v>
      </c>
      <c r="H406" s="2" t="s">
        <v>3781</v>
      </c>
      <c r="I406" t="s">
        <v>1983</v>
      </c>
    </row>
    <row r="407" spans="1:9">
      <c r="A407" s="2" t="s">
        <v>859</v>
      </c>
      <c r="B407" s="2" t="s">
        <v>3782</v>
      </c>
      <c r="C407" s="2" t="s">
        <v>3783</v>
      </c>
      <c r="D407" s="2" t="s">
        <v>3784</v>
      </c>
      <c r="E407" s="2" t="s">
        <v>3785</v>
      </c>
      <c r="F407" s="2" t="s">
        <v>3786</v>
      </c>
      <c r="G407" s="2" t="s">
        <v>19</v>
      </c>
      <c r="H407" s="2">
        <v>95973</v>
      </c>
      <c r="I407" t="s">
        <v>1975</v>
      </c>
    </row>
    <row r="408" spans="1:9">
      <c r="A408" s="2" t="s">
        <v>861</v>
      </c>
      <c r="B408" s="2" t="s">
        <v>3787</v>
      </c>
      <c r="C408" s="2" t="s">
        <v>3788</v>
      </c>
      <c r="D408" s="2" t="s">
        <v>3789</v>
      </c>
      <c r="E408" s="2" t="s">
        <v>3790</v>
      </c>
      <c r="F408" s="2" t="s">
        <v>2158</v>
      </c>
      <c r="G408" s="2" t="s">
        <v>19</v>
      </c>
      <c r="H408" s="2">
        <v>72215</v>
      </c>
      <c r="I408" t="s">
        <v>1975</v>
      </c>
    </row>
    <row r="409" spans="1:9">
      <c r="A409" s="2" t="s">
        <v>863</v>
      </c>
      <c r="B409" s="2" t="s">
        <v>3791</v>
      </c>
      <c r="C409" s="2"/>
      <c r="D409" s="2" t="s">
        <v>3792</v>
      </c>
      <c r="E409" s="2" t="s">
        <v>3793</v>
      </c>
      <c r="F409" s="2" t="s">
        <v>3794</v>
      </c>
      <c r="G409" s="2" t="s">
        <v>17</v>
      </c>
      <c r="H409" s="2" t="s">
        <v>3795</v>
      </c>
      <c r="I409" t="s">
        <v>1983</v>
      </c>
    </row>
    <row r="410" spans="1:9">
      <c r="A410" s="2" t="s">
        <v>865</v>
      </c>
      <c r="B410" s="2" t="s">
        <v>3796</v>
      </c>
      <c r="C410" s="2" t="s">
        <v>3797</v>
      </c>
      <c r="D410" s="2" t="s">
        <v>3798</v>
      </c>
      <c r="E410" s="2" t="s">
        <v>3799</v>
      </c>
      <c r="F410" s="2" t="s">
        <v>3800</v>
      </c>
      <c r="G410" s="2" t="s">
        <v>19</v>
      </c>
      <c r="H410" s="2">
        <v>8922</v>
      </c>
      <c r="I410" t="s">
        <v>1975</v>
      </c>
    </row>
    <row r="411" spans="1:9">
      <c r="A411" s="2" t="s">
        <v>867</v>
      </c>
      <c r="B411" s="2" t="s">
        <v>3801</v>
      </c>
      <c r="C411" s="2"/>
      <c r="D411" s="2" t="s">
        <v>3802</v>
      </c>
      <c r="E411" s="2" t="s">
        <v>3803</v>
      </c>
      <c r="F411" s="2" t="s">
        <v>3804</v>
      </c>
      <c r="G411" s="2" t="s">
        <v>17</v>
      </c>
      <c r="H411" s="2" t="s">
        <v>3805</v>
      </c>
      <c r="I411" t="s">
        <v>1975</v>
      </c>
    </row>
    <row r="412" spans="1:9">
      <c r="A412" s="2" t="s">
        <v>869</v>
      </c>
      <c r="B412" s="2" t="s">
        <v>3806</v>
      </c>
      <c r="C412" s="2"/>
      <c r="D412" s="2" t="s">
        <v>3807</v>
      </c>
      <c r="E412" s="2" t="s">
        <v>3808</v>
      </c>
      <c r="F412" s="2" t="s">
        <v>3121</v>
      </c>
      <c r="G412" s="2" t="s">
        <v>19</v>
      </c>
      <c r="H412" s="2">
        <v>94132</v>
      </c>
      <c r="I412" t="s">
        <v>1983</v>
      </c>
    </row>
    <row r="413" spans="1:9">
      <c r="A413" s="2" t="s">
        <v>871</v>
      </c>
      <c r="B413" s="2" t="s">
        <v>3809</v>
      </c>
      <c r="C413" s="2"/>
      <c r="D413" s="2" t="s">
        <v>3810</v>
      </c>
      <c r="E413" s="2" t="s">
        <v>3811</v>
      </c>
      <c r="F413" s="2" t="s">
        <v>3812</v>
      </c>
      <c r="G413" s="2" t="s">
        <v>19</v>
      </c>
      <c r="H413" s="2">
        <v>70505</v>
      </c>
      <c r="I413" t="s">
        <v>1975</v>
      </c>
    </row>
    <row r="414" spans="1:9">
      <c r="A414" s="2" t="s">
        <v>873</v>
      </c>
      <c r="B414" s="2" t="s">
        <v>3813</v>
      </c>
      <c r="C414" s="2"/>
      <c r="D414" s="2" t="s">
        <v>3814</v>
      </c>
      <c r="E414" s="2" t="s">
        <v>3815</v>
      </c>
      <c r="F414" s="2" t="s">
        <v>3816</v>
      </c>
      <c r="G414" s="2" t="s">
        <v>19</v>
      </c>
      <c r="H414" s="2">
        <v>92191</v>
      </c>
      <c r="I414" t="s">
        <v>1975</v>
      </c>
    </row>
    <row r="415" spans="1:9">
      <c r="A415" s="2" t="s">
        <v>875</v>
      </c>
      <c r="B415" s="2" t="s">
        <v>3817</v>
      </c>
      <c r="C415" s="2" t="s">
        <v>3818</v>
      </c>
      <c r="D415" s="2" t="s">
        <v>3819</v>
      </c>
      <c r="E415" s="2" t="s">
        <v>3820</v>
      </c>
      <c r="F415" s="2" t="s">
        <v>3821</v>
      </c>
      <c r="G415" s="2" t="s">
        <v>19</v>
      </c>
      <c r="H415" s="2">
        <v>91841</v>
      </c>
      <c r="I415" t="s">
        <v>1975</v>
      </c>
    </row>
    <row r="416" spans="1:9">
      <c r="A416" s="2" t="s">
        <v>877</v>
      </c>
      <c r="B416" s="2" t="s">
        <v>3822</v>
      </c>
      <c r="C416" s="2"/>
      <c r="D416" s="2" t="s">
        <v>3823</v>
      </c>
      <c r="E416" s="2" t="s">
        <v>3824</v>
      </c>
      <c r="F416" s="2" t="s">
        <v>3546</v>
      </c>
      <c r="G416" s="2" t="s">
        <v>19</v>
      </c>
      <c r="H416" s="2">
        <v>75799</v>
      </c>
      <c r="I416" t="s">
        <v>1975</v>
      </c>
    </row>
    <row r="417" spans="1:9">
      <c r="A417" s="2" t="s">
        <v>879</v>
      </c>
      <c r="B417" s="2" t="s">
        <v>3825</v>
      </c>
      <c r="C417" s="2" t="s">
        <v>3826</v>
      </c>
      <c r="D417" s="2"/>
      <c r="E417" s="2" t="s">
        <v>3827</v>
      </c>
      <c r="F417" s="2" t="s">
        <v>3812</v>
      </c>
      <c r="G417" s="2" t="s">
        <v>19</v>
      </c>
      <c r="H417" s="2">
        <v>70593</v>
      </c>
      <c r="I417" t="s">
        <v>1983</v>
      </c>
    </row>
    <row r="418" spans="1:9">
      <c r="A418" s="2" t="s">
        <v>881</v>
      </c>
      <c r="B418" s="2" t="s">
        <v>3828</v>
      </c>
      <c r="C418" s="2"/>
      <c r="D418" s="2" t="s">
        <v>3829</v>
      </c>
      <c r="E418" s="2" t="s">
        <v>3830</v>
      </c>
      <c r="F418" s="2" t="s">
        <v>2008</v>
      </c>
      <c r="G418" s="2" t="s">
        <v>19</v>
      </c>
      <c r="H418" s="2">
        <v>45426</v>
      </c>
      <c r="I418" t="s">
        <v>1975</v>
      </c>
    </row>
    <row r="419" spans="1:9">
      <c r="A419" s="2" t="s">
        <v>883</v>
      </c>
      <c r="B419" s="2" t="s">
        <v>3831</v>
      </c>
      <c r="C419" s="2"/>
      <c r="D419" s="2" t="s">
        <v>3832</v>
      </c>
      <c r="E419" s="2" t="s">
        <v>3833</v>
      </c>
      <c r="F419" s="2" t="s">
        <v>3130</v>
      </c>
      <c r="G419" s="2" t="s">
        <v>19</v>
      </c>
      <c r="H419" s="2">
        <v>85072</v>
      </c>
      <c r="I419" t="s">
        <v>1975</v>
      </c>
    </row>
    <row r="420" spans="1:9">
      <c r="A420" s="2" t="s">
        <v>885</v>
      </c>
      <c r="B420" s="2" t="s">
        <v>3834</v>
      </c>
      <c r="C420" s="2" t="s">
        <v>3835</v>
      </c>
      <c r="D420" s="2"/>
      <c r="E420" s="2" t="s">
        <v>3836</v>
      </c>
      <c r="F420" s="2" t="s">
        <v>3030</v>
      </c>
      <c r="G420" s="2" t="s">
        <v>19</v>
      </c>
      <c r="H420" s="2">
        <v>94263</v>
      </c>
      <c r="I420" t="s">
        <v>1975</v>
      </c>
    </row>
    <row r="421" spans="1:9">
      <c r="A421" s="2" t="s">
        <v>887</v>
      </c>
      <c r="B421" s="2" t="s">
        <v>3837</v>
      </c>
      <c r="C421" s="2" t="s">
        <v>3838</v>
      </c>
      <c r="D421" s="2" t="s">
        <v>3839</v>
      </c>
      <c r="E421" s="2" t="s">
        <v>3840</v>
      </c>
      <c r="F421" s="2" t="s">
        <v>3367</v>
      </c>
      <c r="G421" s="2" t="s">
        <v>19</v>
      </c>
      <c r="H421" s="2">
        <v>68505</v>
      </c>
      <c r="I421" t="s">
        <v>1975</v>
      </c>
    </row>
    <row r="422" spans="1:9">
      <c r="A422" s="2" t="s">
        <v>3841</v>
      </c>
      <c r="B422" s="2" t="s">
        <v>3842</v>
      </c>
      <c r="C422" s="2" t="s">
        <v>3843</v>
      </c>
      <c r="D422" s="2" t="s">
        <v>3844</v>
      </c>
      <c r="E422" s="2" t="s">
        <v>3845</v>
      </c>
      <c r="F422" s="2" t="s">
        <v>3693</v>
      </c>
      <c r="G422" s="2" t="s">
        <v>19</v>
      </c>
      <c r="H422" s="2">
        <v>17126</v>
      </c>
      <c r="I422" t="s">
        <v>1983</v>
      </c>
    </row>
    <row r="423" spans="1:9">
      <c r="A423" s="2" t="s">
        <v>3846</v>
      </c>
      <c r="B423" s="2" t="s">
        <v>3847</v>
      </c>
      <c r="C423" s="2" t="s">
        <v>3848</v>
      </c>
      <c r="D423" s="2" t="s">
        <v>3849</v>
      </c>
      <c r="E423" s="2" t="s">
        <v>3850</v>
      </c>
      <c r="F423" s="2" t="s">
        <v>2175</v>
      </c>
      <c r="G423" s="2" t="s">
        <v>19</v>
      </c>
      <c r="H423" s="2">
        <v>70174</v>
      </c>
      <c r="I423" t="s">
        <v>1975</v>
      </c>
    </row>
    <row r="424" spans="1:9">
      <c r="A424" s="2" t="s">
        <v>890</v>
      </c>
      <c r="B424" s="2" t="s">
        <v>3851</v>
      </c>
      <c r="C424" s="2"/>
      <c r="D424" s="2" t="s">
        <v>3852</v>
      </c>
      <c r="E424" s="2" t="s">
        <v>3853</v>
      </c>
      <c r="F424" s="2" t="s">
        <v>3854</v>
      </c>
      <c r="G424" s="2" t="s">
        <v>19</v>
      </c>
      <c r="H424" s="2">
        <v>53726</v>
      </c>
      <c r="I424" t="s">
        <v>1983</v>
      </c>
    </row>
    <row r="425" spans="1:9">
      <c r="A425" s="2" t="s">
        <v>892</v>
      </c>
      <c r="B425" s="2" t="s">
        <v>3855</v>
      </c>
      <c r="C425" s="2"/>
      <c r="D425" s="2" t="s">
        <v>3856</v>
      </c>
      <c r="E425" s="2" t="s">
        <v>3857</v>
      </c>
      <c r="F425" s="2" t="s">
        <v>2153</v>
      </c>
      <c r="G425" s="2" t="s">
        <v>19</v>
      </c>
      <c r="H425" s="2">
        <v>25336</v>
      </c>
      <c r="I425" t="s">
        <v>1983</v>
      </c>
    </row>
    <row r="426" spans="1:9">
      <c r="A426" s="2" t="s">
        <v>894</v>
      </c>
      <c r="B426" s="2" t="s">
        <v>3858</v>
      </c>
      <c r="C426" s="2" t="s">
        <v>3859</v>
      </c>
      <c r="D426" s="2" t="s">
        <v>3860</v>
      </c>
      <c r="E426" s="2" t="s">
        <v>3861</v>
      </c>
      <c r="F426" s="2" t="s">
        <v>2158</v>
      </c>
      <c r="G426" s="2" t="s">
        <v>19</v>
      </c>
      <c r="H426" s="2">
        <v>72204</v>
      </c>
      <c r="I426" t="s">
        <v>1975</v>
      </c>
    </row>
    <row r="427" spans="1:9">
      <c r="A427" s="2" t="s">
        <v>896</v>
      </c>
      <c r="B427" s="2" t="s">
        <v>3862</v>
      </c>
      <c r="C427" s="2" t="s">
        <v>3863</v>
      </c>
      <c r="D427" s="2" t="s">
        <v>3864</v>
      </c>
      <c r="E427" s="2" t="s">
        <v>3865</v>
      </c>
      <c r="F427" s="2" t="s">
        <v>2532</v>
      </c>
      <c r="G427" s="2" t="s">
        <v>19</v>
      </c>
      <c r="H427" s="2">
        <v>99507</v>
      </c>
      <c r="I427" t="s">
        <v>1983</v>
      </c>
    </row>
    <row r="428" spans="1:9">
      <c r="A428" s="2" t="s">
        <v>898</v>
      </c>
      <c r="B428" s="2" t="s">
        <v>3866</v>
      </c>
      <c r="C428" s="2" t="s">
        <v>3867</v>
      </c>
      <c r="D428" s="2" t="s">
        <v>3868</v>
      </c>
      <c r="E428" s="2" t="s">
        <v>3869</v>
      </c>
      <c r="F428" s="2" t="s">
        <v>3870</v>
      </c>
      <c r="G428" s="2" t="s">
        <v>17</v>
      </c>
      <c r="H428" s="2" t="s">
        <v>3871</v>
      </c>
      <c r="I428" t="s">
        <v>1975</v>
      </c>
    </row>
    <row r="429" spans="1:9">
      <c r="A429" s="2" t="s">
        <v>900</v>
      </c>
      <c r="B429" s="2" t="s">
        <v>3872</v>
      </c>
      <c r="C429" s="2"/>
      <c r="D429" s="2" t="s">
        <v>3873</v>
      </c>
      <c r="E429" s="2" t="s">
        <v>3874</v>
      </c>
      <c r="F429" s="2" t="s">
        <v>3121</v>
      </c>
      <c r="G429" s="2" t="s">
        <v>19</v>
      </c>
      <c r="H429" s="2">
        <v>94110</v>
      </c>
      <c r="I429" t="s">
        <v>1975</v>
      </c>
    </row>
    <row r="430" spans="1:9">
      <c r="A430" s="2" t="s">
        <v>902</v>
      </c>
      <c r="B430" s="2" t="s">
        <v>3875</v>
      </c>
      <c r="C430" s="2" t="s">
        <v>3876</v>
      </c>
      <c r="D430" s="2" t="s">
        <v>3877</v>
      </c>
      <c r="E430" s="2" t="s">
        <v>3878</v>
      </c>
      <c r="F430" s="2" t="s">
        <v>2871</v>
      </c>
      <c r="G430" s="2" t="s">
        <v>19</v>
      </c>
      <c r="H430" s="2">
        <v>44485</v>
      </c>
      <c r="I430" t="s">
        <v>1983</v>
      </c>
    </row>
    <row r="431" spans="1:9">
      <c r="A431" s="2" t="s">
        <v>3879</v>
      </c>
      <c r="B431" s="2" t="s">
        <v>3880</v>
      </c>
      <c r="C431" s="2" t="s">
        <v>3881</v>
      </c>
      <c r="D431" s="2" t="s">
        <v>3882</v>
      </c>
      <c r="E431" s="2" t="s">
        <v>3883</v>
      </c>
      <c r="F431" s="2" t="s">
        <v>3884</v>
      </c>
      <c r="G431" s="2" t="s">
        <v>19</v>
      </c>
      <c r="H431" s="2">
        <v>23324</v>
      </c>
      <c r="I431" t="s">
        <v>1983</v>
      </c>
    </row>
    <row r="432" spans="1:9">
      <c r="A432" s="2" t="s">
        <v>905</v>
      </c>
      <c r="B432" s="2" t="s">
        <v>3885</v>
      </c>
      <c r="C432" s="2" t="s">
        <v>3886</v>
      </c>
      <c r="D432" s="2" t="s">
        <v>3887</v>
      </c>
      <c r="E432" s="2" t="s">
        <v>3888</v>
      </c>
      <c r="F432" s="2" t="s">
        <v>3889</v>
      </c>
      <c r="G432" s="2" t="s">
        <v>19</v>
      </c>
      <c r="H432" s="2">
        <v>39236</v>
      </c>
      <c r="I432" t="s">
        <v>1975</v>
      </c>
    </row>
    <row r="433" spans="1:9">
      <c r="A433" s="2" t="s">
        <v>907</v>
      </c>
      <c r="B433" s="2" t="s">
        <v>3890</v>
      </c>
      <c r="C433" s="2" t="s">
        <v>3891</v>
      </c>
      <c r="D433" s="2" t="s">
        <v>3892</v>
      </c>
      <c r="E433" s="2" t="s">
        <v>3893</v>
      </c>
      <c r="F433" s="2" t="s">
        <v>3894</v>
      </c>
      <c r="G433" s="2" t="s">
        <v>17</v>
      </c>
      <c r="H433" s="2" t="s">
        <v>3895</v>
      </c>
      <c r="I433" t="s">
        <v>1975</v>
      </c>
    </row>
    <row r="434" spans="1:9">
      <c r="A434" s="2" t="s">
        <v>909</v>
      </c>
      <c r="B434" s="2" t="s">
        <v>3896</v>
      </c>
      <c r="C434" s="2"/>
      <c r="D434" s="2" t="s">
        <v>3897</v>
      </c>
      <c r="E434" s="2" t="s">
        <v>3898</v>
      </c>
      <c r="F434" s="2" t="s">
        <v>3152</v>
      </c>
      <c r="G434" s="2" t="s">
        <v>19</v>
      </c>
      <c r="H434" s="2">
        <v>53277</v>
      </c>
      <c r="I434" t="s">
        <v>1983</v>
      </c>
    </row>
    <row r="435" spans="1:9">
      <c r="A435" s="2" t="s">
        <v>911</v>
      </c>
      <c r="B435" s="2" t="s">
        <v>3899</v>
      </c>
      <c r="C435" s="2" t="s">
        <v>3900</v>
      </c>
      <c r="D435" s="2" t="s">
        <v>3901</v>
      </c>
      <c r="E435" s="2" t="s">
        <v>3902</v>
      </c>
      <c r="F435" s="2" t="s">
        <v>3030</v>
      </c>
      <c r="G435" s="2" t="s">
        <v>19</v>
      </c>
      <c r="H435" s="2">
        <v>94250</v>
      </c>
      <c r="I435" t="s">
        <v>1975</v>
      </c>
    </row>
    <row r="436" spans="1:9">
      <c r="A436" s="2" t="s">
        <v>913</v>
      </c>
      <c r="B436" s="2" t="s">
        <v>3903</v>
      </c>
      <c r="C436" s="2"/>
      <c r="D436" s="2" t="s">
        <v>3904</v>
      </c>
      <c r="E436" s="2" t="s">
        <v>3905</v>
      </c>
      <c r="F436" s="2" t="s">
        <v>2189</v>
      </c>
      <c r="G436" s="2" t="s">
        <v>19</v>
      </c>
      <c r="H436" s="2">
        <v>2298</v>
      </c>
      <c r="I436" t="s">
        <v>1983</v>
      </c>
    </row>
    <row r="437" spans="1:9">
      <c r="A437" s="2" t="s">
        <v>915</v>
      </c>
      <c r="B437" s="2" t="s">
        <v>3906</v>
      </c>
      <c r="C437" s="2" t="s">
        <v>3907</v>
      </c>
      <c r="D437" s="2" t="s">
        <v>3908</v>
      </c>
      <c r="E437" s="2" t="s">
        <v>3909</v>
      </c>
      <c r="F437" s="2" t="s">
        <v>3541</v>
      </c>
      <c r="G437" s="2" t="s">
        <v>19</v>
      </c>
      <c r="H437" s="2">
        <v>66622</v>
      </c>
      <c r="I437" t="s">
        <v>1983</v>
      </c>
    </row>
    <row r="438" spans="1:9">
      <c r="A438" s="2" t="s">
        <v>917</v>
      </c>
      <c r="B438" s="2" t="s">
        <v>3910</v>
      </c>
      <c r="C438" s="2" t="s">
        <v>3911</v>
      </c>
      <c r="D438" s="2" t="s">
        <v>3912</v>
      </c>
      <c r="E438" s="2" t="s">
        <v>3913</v>
      </c>
      <c r="F438" s="2" t="s">
        <v>2581</v>
      </c>
      <c r="G438" s="2" t="s">
        <v>19</v>
      </c>
      <c r="H438" s="2">
        <v>58122</v>
      </c>
      <c r="I438" t="s">
        <v>1975</v>
      </c>
    </row>
    <row r="439" spans="1:9">
      <c r="A439" s="2" t="s">
        <v>919</v>
      </c>
      <c r="B439" s="2" t="s">
        <v>3914</v>
      </c>
      <c r="C439" s="2"/>
      <c r="D439" s="2" t="s">
        <v>3915</v>
      </c>
      <c r="E439" s="2" t="s">
        <v>3916</v>
      </c>
      <c r="F439" s="2" t="s">
        <v>2059</v>
      </c>
      <c r="G439" s="2" t="s">
        <v>19</v>
      </c>
      <c r="H439" s="2">
        <v>77095</v>
      </c>
      <c r="I439" t="s">
        <v>1983</v>
      </c>
    </row>
    <row r="440" spans="1:9">
      <c r="A440" s="2" t="s">
        <v>3917</v>
      </c>
      <c r="B440" s="2" t="s">
        <v>3918</v>
      </c>
      <c r="C440" s="2" t="s">
        <v>3919</v>
      </c>
      <c r="D440" s="2" t="s">
        <v>3920</v>
      </c>
      <c r="E440" s="2" t="s">
        <v>3921</v>
      </c>
      <c r="F440" s="2" t="s">
        <v>2393</v>
      </c>
      <c r="G440" s="2" t="s">
        <v>19</v>
      </c>
      <c r="H440" s="2">
        <v>73190</v>
      </c>
      <c r="I440" t="s">
        <v>1983</v>
      </c>
    </row>
    <row r="441" spans="1:9">
      <c r="A441" s="2" t="s">
        <v>923</v>
      </c>
      <c r="B441" s="2" t="s">
        <v>3922</v>
      </c>
      <c r="C441" s="2" t="s">
        <v>3923</v>
      </c>
      <c r="D441" s="2" t="s">
        <v>3924</v>
      </c>
      <c r="E441" s="2" t="s">
        <v>3925</v>
      </c>
      <c r="F441" s="2" t="s">
        <v>2063</v>
      </c>
      <c r="G441" s="2" t="s">
        <v>17</v>
      </c>
      <c r="H441" s="2" t="s">
        <v>2064</v>
      </c>
      <c r="I441" t="s">
        <v>1983</v>
      </c>
    </row>
    <row r="442" spans="1:9">
      <c r="A442" s="2" t="s">
        <v>925</v>
      </c>
      <c r="B442" s="2" t="s">
        <v>3926</v>
      </c>
      <c r="C442" s="2" t="s">
        <v>3927</v>
      </c>
      <c r="D442" s="2" t="s">
        <v>3928</v>
      </c>
      <c r="E442" s="2" t="s">
        <v>3929</v>
      </c>
      <c r="F442" s="2" t="s">
        <v>2381</v>
      </c>
      <c r="G442" s="2" t="s">
        <v>19</v>
      </c>
      <c r="H442" s="2">
        <v>14205</v>
      </c>
      <c r="I442" t="s">
        <v>1975</v>
      </c>
    </row>
    <row r="443" spans="1:9">
      <c r="A443" s="2" t="s">
        <v>927</v>
      </c>
      <c r="B443" s="2" t="s">
        <v>3930</v>
      </c>
      <c r="C443" s="2" t="s">
        <v>3931</v>
      </c>
      <c r="D443" s="2" t="s">
        <v>3932</v>
      </c>
      <c r="E443" s="2" t="s">
        <v>3933</v>
      </c>
      <c r="F443" s="2" t="s">
        <v>3224</v>
      </c>
      <c r="G443" s="2" t="s">
        <v>17</v>
      </c>
      <c r="H443" s="2" t="s">
        <v>3225</v>
      </c>
      <c r="I443" t="s">
        <v>1975</v>
      </c>
    </row>
    <row r="444" spans="1:9">
      <c r="A444" s="2" t="s">
        <v>929</v>
      </c>
      <c r="B444" s="2" t="s">
        <v>3934</v>
      </c>
      <c r="C444" s="2" t="s">
        <v>3935</v>
      </c>
      <c r="D444" s="2" t="s">
        <v>3936</v>
      </c>
      <c r="E444" s="2" t="s">
        <v>3937</v>
      </c>
      <c r="F444" s="2" t="s">
        <v>3938</v>
      </c>
      <c r="G444" s="2" t="s">
        <v>19</v>
      </c>
      <c r="H444" s="2">
        <v>18018</v>
      </c>
      <c r="I444" t="s">
        <v>1983</v>
      </c>
    </row>
    <row r="445" spans="1:9">
      <c r="A445" s="2" t="s">
        <v>931</v>
      </c>
      <c r="B445" s="2" t="s">
        <v>3939</v>
      </c>
      <c r="C445" s="2" t="s">
        <v>3940</v>
      </c>
      <c r="D445" s="2" t="s">
        <v>3941</v>
      </c>
      <c r="E445" s="2" t="s">
        <v>3942</v>
      </c>
      <c r="F445" s="2" t="s">
        <v>3943</v>
      </c>
      <c r="G445" s="2" t="s">
        <v>17</v>
      </c>
      <c r="H445" s="2" t="s">
        <v>3944</v>
      </c>
      <c r="I445" t="s">
        <v>1975</v>
      </c>
    </row>
    <row r="446" spans="1:9">
      <c r="A446" s="2" t="s">
        <v>933</v>
      </c>
      <c r="B446" s="2" t="s">
        <v>3945</v>
      </c>
      <c r="C446" s="2" t="s">
        <v>3946</v>
      </c>
      <c r="D446" s="2" t="s">
        <v>3947</v>
      </c>
      <c r="E446" s="2" t="s">
        <v>3948</v>
      </c>
      <c r="F446" s="2" t="s">
        <v>3949</v>
      </c>
      <c r="G446" s="2" t="s">
        <v>17</v>
      </c>
      <c r="H446" s="2" t="s">
        <v>3950</v>
      </c>
      <c r="I446" t="s">
        <v>1983</v>
      </c>
    </row>
    <row r="447" spans="1:9">
      <c r="A447" s="2" t="s">
        <v>935</v>
      </c>
      <c r="B447" s="2" t="s">
        <v>3951</v>
      </c>
      <c r="C447" s="2" t="s">
        <v>3952</v>
      </c>
      <c r="D447" s="2"/>
      <c r="E447" s="2" t="s">
        <v>3953</v>
      </c>
      <c r="F447" s="2" t="s">
        <v>3433</v>
      </c>
      <c r="G447" s="2" t="s">
        <v>17</v>
      </c>
      <c r="H447" s="2" t="s">
        <v>2115</v>
      </c>
      <c r="I447" t="s">
        <v>1975</v>
      </c>
    </row>
    <row r="448" spans="1:9">
      <c r="A448" s="2" t="s">
        <v>937</v>
      </c>
      <c r="B448" s="2" t="s">
        <v>3954</v>
      </c>
      <c r="C448" s="2" t="s">
        <v>3955</v>
      </c>
      <c r="D448" s="2" t="s">
        <v>3956</v>
      </c>
      <c r="E448" s="2" t="s">
        <v>3957</v>
      </c>
      <c r="F448" s="2" t="s">
        <v>2203</v>
      </c>
      <c r="G448" s="2" t="s">
        <v>18</v>
      </c>
      <c r="H448" s="2" t="s">
        <v>3958</v>
      </c>
      <c r="I448" t="s">
        <v>1975</v>
      </c>
    </row>
    <row r="449" spans="1:9">
      <c r="A449" s="2" t="s">
        <v>939</v>
      </c>
      <c r="B449" s="2" t="s">
        <v>3959</v>
      </c>
      <c r="C449" s="2" t="s">
        <v>3960</v>
      </c>
      <c r="D449" s="2"/>
      <c r="E449" s="2" t="s">
        <v>3961</v>
      </c>
      <c r="F449" s="2" t="s">
        <v>3130</v>
      </c>
      <c r="G449" s="2" t="s">
        <v>19</v>
      </c>
      <c r="H449" s="2">
        <v>85099</v>
      </c>
      <c r="I449" t="s">
        <v>1983</v>
      </c>
    </row>
    <row r="450" spans="1:9">
      <c r="A450" s="2" t="s">
        <v>941</v>
      </c>
      <c r="B450" s="2" t="s">
        <v>3962</v>
      </c>
      <c r="C450" s="2" t="s">
        <v>3963</v>
      </c>
      <c r="D450" s="2" t="s">
        <v>3964</v>
      </c>
      <c r="E450" s="2" t="s">
        <v>3965</v>
      </c>
      <c r="F450" s="2" t="s">
        <v>3966</v>
      </c>
      <c r="G450" s="2" t="s">
        <v>17</v>
      </c>
      <c r="H450" s="2" t="s">
        <v>3967</v>
      </c>
      <c r="I450" t="s">
        <v>1983</v>
      </c>
    </row>
    <row r="451" spans="1:9">
      <c r="A451" s="2" t="s">
        <v>943</v>
      </c>
      <c r="B451" s="2" t="s">
        <v>3968</v>
      </c>
      <c r="C451" s="2" t="s">
        <v>3969</v>
      </c>
      <c r="D451" s="2" t="s">
        <v>3970</v>
      </c>
      <c r="E451" s="2" t="s">
        <v>3971</v>
      </c>
      <c r="F451" s="2" t="s">
        <v>2242</v>
      </c>
      <c r="G451" s="2" t="s">
        <v>19</v>
      </c>
      <c r="H451" s="2">
        <v>43610</v>
      </c>
      <c r="I451" t="s">
        <v>1983</v>
      </c>
    </row>
    <row r="452" spans="1:9">
      <c r="A452" s="2" t="s">
        <v>945</v>
      </c>
      <c r="B452" s="2" t="s">
        <v>3972</v>
      </c>
      <c r="C452" s="2" t="s">
        <v>3973</v>
      </c>
      <c r="D452" s="2" t="s">
        <v>3974</v>
      </c>
      <c r="E452" s="2" t="s">
        <v>3975</v>
      </c>
      <c r="F452" s="2" t="s">
        <v>3976</v>
      </c>
      <c r="G452" s="2" t="s">
        <v>17</v>
      </c>
      <c r="H452" s="2" t="s">
        <v>3977</v>
      </c>
      <c r="I452" t="s">
        <v>1983</v>
      </c>
    </row>
    <row r="453" spans="1:9">
      <c r="A453" s="2" t="s">
        <v>947</v>
      </c>
      <c r="B453" s="2" t="s">
        <v>3978</v>
      </c>
      <c r="C453" s="2" t="s">
        <v>3979</v>
      </c>
      <c r="D453" s="2" t="s">
        <v>3980</v>
      </c>
      <c r="E453" s="2" t="s">
        <v>3981</v>
      </c>
      <c r="F453" s="2" t="s">
        <v>2331</v>
      </c>
      <c r="G453" s="2" t="s">
        <v>19</v>
      </c>
      <c r="H453" s="2">
        <v>28210</v>
      </c>
      <c r="I453" t="s">
        <v>1975</v>
      </c>
    </row>
    <row r="454" spans="1:9">
      <c r="A454" s="2" t="s">
        <v>921</v>
      </c>
      <c r="B454" s="2" t="s">
        <v>3982</v>
      </c>
      <c r="C454" s="2" t="s">
        <v>3983</v>
      </c>
      <c r="D454" s="2" t="s">
        <v>3984</v>
      </c>
      <c r="E454" s="2" t="s">
        <v>3985</v>
      </c>
      <c r="F454" s="2" t="s">
        <v>3523</v>
      </c>
      <c r="G454" s="2" t="s">
        <v>19</v>
      </c>
      <c r="H454" s="2">
        <v>98109</v>
      </c>
      <c r="I454" t="s">
        <v>1983</v>
      </c>
    </row>
    <row r="455" spans="1:9">
      <c r="A455" s="2" t="s">
        <v>950</v>
      </c>
      <c r="B455" s="2" t="s">
        <v>3986</v>
      </c>
      <c r="C455" s="2" t="s">
        <v>3987</v>
      </c>
      <c r="D455" s="2" t="s">
        <v>3988</v>
      </c>
      <c r="E455" s="2" t="s">
        <v>3989</v>
      </c>
      <c r="F455" s="2" t="s">
        <v>3035</v>
      </c>
      <c r="G455" s="2" t="s">
        <v>19</v>
      </c>
      <c r="H455" s="2">
        <v>18706</v>
      </c>
      <c r="I455" t="s">
        <v>1983</v>
      </c>
    </row>
    <row r="456" spans="1:9">
      <c r="A456" s="2" t="s">
        <v>952</v>
      </c>
      <c r="B456" s="2" t="s">
        <v>3990</v>
      </c>
      <c r="C456" s="2" t="s">
        <v>3991</v>
      </c>
      <c r="D456" s="2"/>
      <c r="E456" s="2" t="s">
        <v>3992</v>
      </c>
      <c r="F456" s="2" t="s">
        <v>3993</v>
      </c>
      <c r="G456" s="2" t="s">
        <v>17</v>
      </c>
      <c r="H456" s="2" t="s">
        <v>1982</v>
      </c>
      <c r="I456" t="s">
        <v>1975</v>
      </c>
    </row>
    <row r="457" spans="1:9">
      <c r="A457" s="2" t="s">
        <v>954</v>
      </c>
      <c r="B457" s="2" t="s">
        <v>3994</v>
      </c>
      <c r="C457" s="2" t="s">
        <v>3995</v>
      </c>
      <c r="D457" s="2" t="s">
        <v>3996</v>
      </c>
      <c r="E457" s="2" t="s">
        <v>3997</v>
      </c>
      <c r="F457" s="2" t="s">
        <v>3998</v>
      </c>
      <c r="G457" s="2" t="s">
        <v>17</v>
      </c>
      <c r="H457" s="2" t="s">
        <v>2802</v>
      </c>
      <c r="I457" t="s">
        <v>1975</v>
      </c>
    </row>
    <row r="458" spans="1:9">
      <c r="A458" s="2" t="s">
        <v>956</v>
      </c>
      <c r="B458" s="2" t="s">
        <v>3999</v>
      </c>
      <c r="C458" s="2" t="s">
        <v>4000</v>
      </c>
      <c r="D458" s="2" t="s">
        <v>4001</v>
      </c>
      <c r="E458" s="2" t="s">
        <v>4002</v>
      </c>
      <c r="F458" s="2" t="s">
        <v>2312</v>
      </c>
      <c r="G458" s="2" t="s">
        <v>18</v>
      </c>
      <c r="H458" s="2" t="s">
        <v>4003</v>
      </c>
      <c r="I458" t="s">
        <v>1983</v>
      </c>
    </row>
    <row r="459" spans="1:9">
      <c r="A459" s="2" t="s">
        <v>958</v>
      </c>
      <c r="B459" s="2" t="s">
        <v>4004</v>
      </c>
      <c r="C459" s="2" t="s">
        <v>4005</v>
      </c>
      <c r="D459" s="2" t="s">
        <v>4006</v>
      </c>
      <c r="E459" s="2" t="s">
        <v>4007</v>
      </c>
      <c r="F459" s="2" t="s">
        <v>2194</v>
      </c>
      <c r="G459" s="2" t="s">
        <v>19</v>
      </c>
      <c r="H459" s="2">
        <v>14652</v>
      </c>
      <c r="I459" t="s">
        <v>1983</v>
      </c>
    </row>
    <row r="460" spans="1:9">
      <c r="A460" s="2" t="s">
        <v>960</v>
      </c>
      <c r="B460" s="2" t="s">
        <v>4008</v>
      </c>
      <c r="C460" s="2" t="s">
        <v>4009</v>
      </c>
      <c r="D460" s="2" t="s">
        <v>4010</v>
      </c>
      <c r="E460" s="2" t="s">
        <v>4011</v>
      </c>
      <c r="F460" s="2" t="s">
        <v>2171</v>
      </c>
      <c r="G460" s="2" t="s">
        <v>19</v>
      </c>
      <c r="H460" s="2">
        <v>85754</v>
      </c>
      <c r="I460" t="s">
        <v>1983</v>
      </c>
    </row>
    <row r="461" spans="1:9">
      <c r="A461" s="2" t="s">
        <v>962</v>
      </c>
      <c r="B461" s="2" t="s">
        <v>4012</v>
      </c>
      <c r="C461" s="2" t="s">
        <v>4013</v>
      </c>
      <c r="D461" s="2" t="s">
        <v>4014</v>
      </c>
      <c r="E461" s="2" t="s">
        <v>4015</v>
      </c>
      <c r="F461" s="2" t="s">
        <v>2168</v>
      </c>
      <c r="G461" s="2" t="s">
        <v>19</v>
      </c>
      <c r="H461" s="2">
        <v>55480</v>
      </c>
      <c r="I461" t="s">
        <v>1983</v>
      </c>
    </row>
    <row r="462" spans="1:9">
      <c r="A462" s="2" t="s">
        <v>964</v>
      </c>
      <c r="B462" s="2" t="s">
        <v>4016</v>
      </c>
      <c r="C462" s="2" t="s">
        <v>4017</v>
      </c>
      <c r="D462" s="2" t="s">
        <v>4018</v>
      </c>
      <c r="E462" s="2" t="s">
        <v>4019</v>
      </c>
      <c r="F462" s="2" t="s">
        <v>4020</v>
      </c>
      <c r="G462" s="2" t="s">
        <v>17</v>
      </c>
      <c r="H462" s="2" t="s">
        <v>4021</v>
      </c>
      <c r="I462" t="s">
        <v>1975</v>
      </c>
    </row>
    <row r="463" spans="1:9">
      <c r="A463" s="2" t="s">
        <v>966</v>
      </c>
      <c r="B463" s="2" t="s">
        <v>4022</v>
      </c>
      <c r="C463" s="2" t="s">
        <v>4023</v>
      </c>
      <c r="D463" s="2" t="s">
        <v>4024</v>
      </c>
      <c r="E463" s="2" t="s">
        <v>4025</v>
      </c>
      <c r="F463" s="2" t="s">
        <v>4026</v>
      </c>
      <c r="G463" s="2" t="s">
        <v>18</v>
      </c>
      <c r="H463" s="2" t="s">
        <v>4027</v>
      </c>
      <c r="I463" t="s">
        <v>1975</v>
      </c>
    </row>
    <row r="464" spans="1:9">
      <c r="A464" s="2" t="s">
        <v>968</v>
      </c>
      <c r="B464" s="2" t="s">
        <v>4028</v>
      </c>
      <c r="C464" s="2" t="s">
        <v>4029</v>
      </c>
      <c r="D464" s="2" t="s">
        <v>4030</v>
      </c>
      <c r="E464" s="2" t="s">
        <v>4031</v>
      </c>
      <c r="F464" s="2" t="s">
        <v>3080</v>
      </c>
      <c r="G464" s="2" t="s">
        <v>19</v>
      </c>
      <c r="H464" s="2">
        <v>31119</v>
      </c>
      <c r="I464" t="s">
        <v>1975</v>
      </c>
    </row>
    <row r="465" spans="1:9">
      <c r="A465" s="2" t="s">
        <v>970</v>
      </c>
      <c r="B465" s="2" t="s">
        <v>4032</v>
      </c>
      <c r="C465" s="2" t="s">
        <v>4033</v>
      </c>
      <c r="D465" s="2" t="s">
        <v>4034</v>
      </c>
      <c r="E465" s="2" t="s">
        <v>4035</v>
      </c>
      <c r="F465" s="2" t="s">
        <v>4036</v>
      </c>
      <c r="G465" s="2" t="s">
        <v>17</v>
      </c>
      <c r="H465" s="2" t="s">
        <v>4037</v>
      </c>
      <c r="I465" t="s">
        <v>1983</v>
      </c>
    </row>
    <row r="466" spans="1:9">
      <c r="A466" s="2" t="s">
        <v>972</v>
      </c>
      <c r="B466" s="2" t="s">
        <v>4038</v>
      </c>
      <c r="C466" s="2" t="s">
        <v>4039</v>
      </c>
      <c r="D466" s="2" t="s">
        <v>4040</v>
      </c>
      <c r="E466" s="2" t="s">
        <v>4041</v>
      </c>
      <c r="F466" s="2" t="s">
        <v>2903</v>
      </c>
      <c r="G466" s="2" t="s">
        <v>18</v>
      </c>
      <c r="H466" s="2" t="s">
        <v>2904</v>
      </c>
      <c r="I466" t="s">
        <v>1983</v>
      </c>
    </row>
    <row r="467" spans="1:9">
      <c r="A467" s="2" t="s">
        <v>974</v>
      </c>
      <c r="B467" s="2" t="s">
        <v>4042</v>
      </c>
      <c r="C467" s="2" t="s">
        <v>4043</v>
      </c>
      <c r="D467" s="2" t="s">
        <v>4044</v>
      </c>
      <c r="E467" s="2" t="s">
        <v>4045</v>
      </c>
      <c r="F467" s="2" t="s">
        <v>3443</v>
      </c>
      <c r="G467" s="2" t="s">
        <v>19</v>
      </c>
      <c r="H467" s="2">
        <v>37939</v>
      </c>
      <c r="I467" t="s">
        <v>1975</v>
      </c>
    </row>
    <row r="468" spans="1:9">
      <c r="A468" s="2" t="s">
        <v>976</v>
      </c>
      <c r="B468" s="2" t="s">
        <v>4046</v>
      </c>
      <c r="C468" s="2" t="s">
        <v>4047</v>
      </c>
      <c r="D468" s="2" t="s">
        <v>4048</v>
      </c>
      <c r="E468" s="2" t="s">
        <v>4049</v>
      </c>
      <c r="F468" s="2" t="s">
        <v>4050</v>
      </c>
      <c r="G468" s="2" t="s">
        <v>19</v>
      </c>
      <c r="H468" s="2">
        <v>48604</v>
      </c>
      <c r="I468" t="s">
        <v>1975</v>
      </c>
    </row>
    <row r="469" spans="1:9">
      <c r="A469" s="2" t="s">
        <v>978</v>
      </c>
      <c r="B469" s="2" t="s">
        <v>4051</v>
      </c>
      <c r="C469" s="2" t="s">
        <v>4052</v>
      </c>
      <c r="D469" s="2" t="s">
        <v>4053</v>
      </c>
      <c r="E469" s="2" t="s">
        <v>4054</v>
      </c>
      <c r="F469" s="2" t="s">
        <v>4055</v>
      </c>
      <c r="G469" s="2" t="s">
        <v>19</v>
      </c>
      <c r="H469" s="2">
        <v>32092</v>
      </c>
      <c r="I469" t="s">
        <v>1983</v>
      </c>
    </row>
    <row r="470" spans="1:9">
      <c r="A470" s="2" t="s">
        <v>980</v>
      </c>
      <c r="B470" s="2" t="s">
        <v>4056</v>
      </c>
      <c r="C470" s="2" t="s">
        <v>4057</v>
      </c>
      <c r="D470" s="2"/>
      <c r="E470" s="2" t="s">
        <v>4058</v>
      </c>
      <c r="F470" s="2" t="s">
        <v>4059</v>
      </c>
      <c r="G470" s="2" t="s">
        <v>19</v>
      </c>
      <c r="H470" s="2">
        <v>94913</v>
      </c>
      <c r="I470" t="s">
        <v>1975</v>
      </c>
    </row>
    <row r="471" spans="1:9">
      <c r="A471" s="2" t="s">
        <v>4060</v>
      </c>
      <c r="B471" s="2" t="s">
        <v>4061</v>
      </c>
      <c r="C471" s="2" t="s">
        <v>4062</v>
      </c>
      <c r="D471" s="2" t="s">
        <v>4063</v>
      </c>
      <c r="E471" s="2" t="s">
        <v>4064</v>
      </c>
      <c r="F471" s="2" t="s">
        <v>2027</v>
      </c>
      <c r="G471" s="2" t="s">
        <v>19</v>
      </c>
      <c r="H471" s="2">
        <v>95113</v>
      </c>
      <c r="I471" t="s">
        <v>1975</v>
      </c>
    </row>
    <row r="472" spans="1:9">
      <c r="A472" s="2" t="s">
        <v>984</v>
      </c>
      <c r="B472" s="2" t="s">
        <v>4065</v>
      </c>
      <c r="C472" s="2" t="s">
        <v>4066</v>
      </c>
      <c r="D472" s="2" t="s">
        <v>4067</v>
      </c>
      <c r="E472" s="2" t="s">
        <v>4068</v>
      </c>
      <c r="F472" s="2" t="s">
        <v>3713</v>
      </c>
      <c r="G472" s="2" t="s">
        <v>19</v>
      </c>
      <c r="H472" s="2">
        <v>30045</v>
      </c>
      <c r="I472" t="s">
        <v>1975</v>
      </c>
    </row>
    <row r="473" spans="1:9">
      <c r="A473" s="2" t="s">
        <v>986</v>
      </c>
      <c r="B473" s="2" t="s">
        <v>4069</v>
      </c>
      <c r="C473" s="2"/>
      <c r="D473" s="2" t="s">
        <v>4070</v>
      </c>
      <c r="E473" s="2" t="s">
        <v>4071</v>
      </c>
      <c r="F473" s="2" t="s">
        <v>3541</v>
      </c>
      <c r="G473" s="2" t="s">
        <v>19</v>
      </c>
      <c r="H473" s="2">
        <v>66622</v>
      </c>
      <c r="I473" t="s">
        <v>1975</v>
      </c>
    </row>
    <row r="474" spans="1:9">
      <c r="A474" s="2" t="s">
        <v>988</v>
      </c>
      <c r="B474" s="2" t="s">
        <v>4072</v>
      </c>
      <c r="C474" s="2" t="s">
        <v>4073</v>
      </c>
      <c r="D474" s="2" t="s">
        <v>4074</v>
      </c>
      <c r="E474" s="2" t="s">
        <v>4075</v>
      </c>
      <c r="F474" s="2" t="s">
        <v>3019</v>
      </c>
      <c r="G474" s="2" t="s">
        <v>19</v>
      </c>
      <c r="H474" s="2">
        <v>66276</v>
      </c>
      <c r="I474" t="s">
        <v>1983</v>
      </c>
    </row>
    <row r="475" spans="1:9">
      <c r="A475" s="2" t="s">
        <v>990</v>
      </c>
      <c r="B475" s="2" t="s">
        <v>4076</v>
      </c>
      <c r="C475" s="2" t="s">
        <v>4077</v>
      </c>
      <c r="D475" s="2" t="s">
        <v>4078</v>
      </c>
      <c r="E475" s="2" t="s">
        <v>4079</v>
      </c>
      <c r="F475" s="2" t="s">
        <v>3523</v>
      </c>
      <c r="G475" s="2" t="s">
        <v>19</v>
      </c>
      <c r="H475" s="2">
        <v>98148</v>
      </c>
      <c r="I475" t="s">
        <v>1983</v>
      </c>
    </row>
    <row r="476" spans="1:9">
      <c r="A476" s="2" t="s">
        <v>992</v>
      </c>
      <c r="B476" s="2" t="s">
        <v>4080</v>
      </c>
      <c r="C476" s="2" t="s">
        <v>4081</v>
      </c>
      <c r="D476" s="2" t="s">
        <v>4082</v>
      </c>
      <c r="E476" s="2" t="s">
        <v>4083</v>
      </c>
      <c r="F476" s="2" t="s">
        <v>3111</v>
      </c>
      <c r="G476" s="2" t="s">
        <v>17</v>
      </c>
      <c r="H476" s="2" t="s">
        <v>3112</v>
      </c>
      <c r="I476" t="s">
        <v>1975</v>
      </c>
    </row>
    <row r="477" spans="1:9">
      <c r="A477" s="2" t="s">
        <v>994</v>
      </c>
      <c r="B477" s="2" t="s">
        <v>4084</v>
      </c>
      <c r="C477" s="2" t="s">
        <v>4085</v>
      </c>
      <c r="D477" s="2"/>
      <c r="E477" s="2" t="s">
        <v>4086</v>
      </c>
      <c r="F477" s="2" t="s">
        <v>4087</v>
      </c>
      <c r="G477" s="2" t="s">
        <v>19</v>
      </c>
      <c r="H477" s="2">
        <v>34745</v>
      </c>
      <c r="I477" t="s">
        <v>1983</v>
      </c>
    </row>
    <row r="478" spans="1:9">
      <c r="A478" s="2" t="s">
        <v>996</v>
      </c>
      <c r="B478" s="2" t="s">
        <v>4088</v>
      </c>
      <c r="C478" s="2" t="s">
        <v>4089</v>
      </c>
      <c r="D478" s="2" t="s">
        <v>4090</v>
      </c>
      <c r="E478" s="2" t="s">
        <v>4091</v>
      </c>
      <c r="F478" s="2" t="s">
        <v>2194</v>
      </c>
      <c r="G478" s="2" t="s">
        <v>19</v>
      </c>
      <c r="H478" s="2">
        <v>14683</v>
      </c>
      <c r="I478" t="s">
        <v>1975</v>
      </c>
    </row>
    <row r="479" spans="1:9">
      <c r="A479" s="2" t="s">
        <v>998</v>
      </c>
      <c r="B479" s="2" t="s">
        <v>4092</v>
      </c>
      <c r="C479" s="2" t="s">
        <v>4093</v>
      </c>
      <c r="D479" s="2" t="s">
        <v>4094</v>
      </c>
      <c r="E479" s="2" t="s">
        <v>4095</v>
      </c>
      <c r="F479" s="2" t="s">
        <v>3546</v>
      </c>
      <c r="G479" s="2" t="s">
        <v>19</v>
      </c>
      <c r="H479" s="2">
        <v>75799</v>
      </c>
      <c r="I479" t="s">
        <v>1983</v>
      </c>
    </row>
    <row r="480" spans="1:9">
      <c r="A480" s="2" t="s">
        <v>982</v>
      </c>
      <c r="B480" s="2" t="s">
        <v>4096</v>
      </c>
      <c r="C480" s="2" t="s">
        <v>4097</v>
      </c>
      <c r="D480" s="2" t="s">
        <v>4098</v>
      </c>
      <c r="E480" s="2" t="s">
        <v>4099</v>
      </c>
      <c r="F480" s="2" t="s">
        <v>4100</v>
      </c>
      <c r="G480" s="2" t="s">
        <v>19</v>
      </c>
      <c r="H480" s="2">
        <v>11388</v>
      </c>
      <c r="I480" t="s">
        <v>1975</v>
      </c>
    </row>
    <row r="481" spans="1:9">
      <c r="A481" s="2" t="s">
        <v>4101</v>
      </c>
      <c r="B481" s="2" t="s">
        <v>4102</v>
      </c>
      <c r="C481" s="2"/>
      <c r="D481" s="2" t="s">
        <v>4103</v>
      </c>
      <c r="E481" s="2" t="s">
        <v>4104</v>
      </c>
      <c r="F481" s="2" t="s">
        <v>4105</v>
      </c>
      <c r="G481" s="2" t="s">
        <v>19</v>
      </c>
      <c r="H481" s="2">
        <v>20167</v>
      </c>
      <c r="I481" t="s">
        <v>1975</v>
      </c>
    </row>
    <row r="482" spans="1:9">
      <c r="A482" s="2" t="s">
        <v>4106</v>
      </c>
      <c r="B482" s="2" t="s">
        <v>4107</v>
      </c>
      <c r="C482" s="2" t="s">
        <v>4108</v>
      </c>
      <c r="D482" s="2" t="s">
        <v>4109</v>
      </c>
      <c r="E482" s="2" t="s">
        <v>4110</v>
      </c>
      <c r="F482" s="2" t="s">
        <v>2036</v>
      </c>
      <c r="G482" s="2" t="s">
        <v>19</v>
      </c>
      <c r="H482" s="2">
        <v>23203</v>
      </c>
      <c r="I482" t="s">
        <v>1983</v>
      </c>
    </row>
    <row r="483" spans="1:9">
      <c r="A483" s="2" t="s">
        <v>1001</v>
      </c>
      <c r="B483" s="2" t="s">
        <v>4111</v>
      </c>
      <c r="C483" s="2" t="s">
        <v>4112</v>
      </c>
      <c r="D483" s="2" t="s">
        <v>4113</v>
      </c>
      <c r="E483" s="2" t="s">
        <v>4114</v>
      </c>
      <c r="F483" s="2" t="s">
        <v>4115</v>
      </c>
      <c r="G483" s="2" t="s">
        <v>18</v>
      </c>
      <c r="H483" s="2" t="s">
        <v>2424</v>
      </c>
      <c r="I483" t="s">
        <v>1983</v>
      </c>
    </row>
    <row r="484" spans="1:9">
      <c r="A484" s="2" t="s">
        <v>1003</v>
      </c>
      <c r="B484" s="2" t="s">
        <v>4116</v>
      </c>
      <c r="C484" s="2" t="s">
        <v>4117</v>
      </c>
      <c r="D484" s="2" t="s">
        <v>4118</v>
      </c>
      <c r="E484" s="2" t="s">
        <v>4119</v>
      </c>
      <c r="F484" s="2" t="s">
        <v>2730</v>
      </c>
      <c r="G484" s="2" t="s">
        <v>19</v>
      </c>
      <c r="H484" s="2">
        <v>22309</v>
      </c>
      <c r="I484" t="s">
        <v>1975</v>
      </c>
    </row>
    <row r="485" spans="1:9">
      <c r="A485" s="2" t="s">
        <v>1005</v>
      </c>
      <c r="B485" s="2" t="s">
        <v>4120</v>
      </c>
      <c r="C485" s="2"/>
      <c r="D485" s="2" t="s">
        <v>4121</v>
      </c>
      <c r="E485" s="2" t="s">
        <v>4122</v>
      </c>
      <c r="F485" s="2" t="s">
        <v>2969</v>
      </c>
      <c r="G485" s="2" t="s">
        <v>19</v>
      </c>
      <c r="H485" s="2">
        <v>84115</v>
      </c>
      <c r="I485" t="s">
        <v>1975</v>
      </c>
    </row>
    <row r="486" spans="1:9">
      <c r="A486" s="2" t="s">
        <v>1007</v>
      </c>
      <c r="B486" s="2" t="s">
        <v>4123</v>
      </c>
      <c r="C486" s="2" t="s">
        <v>4124</v>
      </c>
      <c r="D486" s="2"/>
      <c r="E486" s="2" t="s">
        <v>4125</v>
      </c>
      <c r="F486" s="2" t="s">
        <v>2027</v>
      </c>
      <c r="G486" s="2" t="s">
        <v>19</v>
      </c>
      <c r="H486" s="2">
        <v>95108</v>
      </c>
      <c r="I486" t="s">
        <v>1983</v>
      </c>
    </row>
    <row r="487" spans="1:9">
      <c r="A487" s="2" t="s">
        <v>1009</v>
      </c>
      <c r="B487" s="2" t="s">
        <v>4126</v>
      </c>
      <c r="C487" s="2" t="s">
        <v>4127</v>
      </c>
      <c r="D487" s="2" t="s">
        <v>4128</v>
      </c>
      <c r="E487" s="2" t="s">
        <v>4129</v>
      </c>
      <c r="F487" s="2" t="s">
        <v>4130</v>
      </c>
      <c r="G487" s="2" t="s">
        <v>17</v>
      </c>
      <c r="H487" s="2" t="s">
        <v>4131</v>
      </c>
      <c r="I487" t="s">
        <v>1975</v>
      </c>
    </row>
    <row r="488" spans="1:9">
      <c r="A488" s="2" t="s">
        <v>1011</v>
      </c>
      <c r="B488" s="2" t="s">
        <v>4132</v>
      </c>
      <c r="C488" s="2" t="s">
        <v>4133</v>
      </c>
      <c r="D488" s="2" t="s">
        <v>4134</v>
      </c>
      <c r="E488" s="2" t="s">
        <v>4135</v>
      </c>
      <c r="F488" s="2" t="s">
        <v>4136</v>
      </c>
      <c r="G488" s="2" t="s">
        <v>17</v>
      </c>
      <c r="H488" s="2" t="s">
        <v>2576</v>
      </c>
      <c r="I488" t="s">
        <v>1975</v>
      </c>
    </row>
    <row r="489" spans="1:9">
      <c r="A489" s="2" t="s">
        <v>1013</v>
      </c>
      <c r="B489" s="2" t="s">
        <v>4137</v>
      </c>
      <c r="C489" s="2" t="s">
        <v>4138</v>
      </c>
      <c r="D489" s="2" t="s">
        <v>4139</v>
      </c>
      <c r="E489" s="2" t="s">
        <v>4140</v>
      </c>
      <c r="F489" s="2" t="s">
        <v>4136</v>
      </c>
      <c r="G489" s="2" t="s">
        <v>17</v>
      </c>
      <c r="H489" s="2" t="s">
        <v>2576</v>
      </c>
      <c r="I489" t="s">
        <v>1983</v>
      </c>
    </row>
    <row r="490" spans="1:9">
      <c r="A490" s="2" t="s">
        <v>1015</v>
      </c>
      <c r="B490" s="2" t="s">
        <v>4141</v>
      </c>
      <c r="C490" s="2" t="s">
        <v>4142</v>
      </c>
      <c r="D490" s="2" t="s">
        <v>4143</v>
      </c>
      <c r="E490" s="2" t="s">
        <v>4144</v>
      </c>
      <c r="F490" s="2" t="s">
        <v>4145</v>
      </c>
      <c r="G490" s="2" t="s">
        <v>17</v>
      </c>
      <c r="H490" s="2" t="s">
        <v>2886</v>
      </c>
      <c r="I490" t="s">
        <v>1975</v>
      </c>
    </row>
    <row r="491" spans="1:9">
      <c r="A491" s="2" t="s">
        <v>1017</v>
      </c>
      <c r="B491" s="2" t="s">
        <v>4146</v>
      </c>
      <c r="C491" s="2" t="s">
        <v>4147</v>
      </c>
      <c r="D491" s="2" t="s">
        <v>4148</v>
      </c>
      <c r="E491" s="2" t="s">
        <v>4149</v>
      </c>
      <c r="F491" s="2" t="s">
        <v>2479</v>
      </c>
      <c r="G491" s="2" t="s">
        <v>19</v>
      </c>
      <c r="H491" s="2">
        <v>79945</v>
      </c>
      <c r="I491" t="s">
        <v>1983</v>
      </c>
    </row>
    <row r="492" spans="1:9">
      <c r="A492" s="2" t="s">
        <v>1019</v>
      </c>
      <c r="B492" s="2" t="s">
        <v>4150</v>
      </c>
      <c r="C492" s="2" t="s">
        <v>4151</v>
      </c>
      <c r="D492" s="2" t="s">
        <v>4152</v>
      </c>
      <c r="E492" s="2" t="s">
        <v>4153</v>
      </c>
      <c r="F492" s="2" t="s">
        <v>2222</v>
      </c>
      <c r="G492" s="2" t="s">
        <v>19</v>
      </c>
      <c r="H492" s="2">
        <v>33355</v>
      </c>
      <c r="I492" t="s">
        <v>1983</v>
      </c>
    </row>
    <row r="493" spans="1:9">
      <c r="A493" s="2" t="s">
        <v>1021</v>
      </c>
      <c r="B493" s="2" t="s">
        <v>4154</v>
      </c>
      <c r="C493" s="2"/>
      <c r="D493" s="2" t="s">
        <v>4155</v>
      </c>
      <c r="E493" s="2" t="s">
        <v>4156</v>
      </c>
      <c r="F493" s="2" t="s">
        <v>3514</v>
      </c>
      <c r="G493" s="2" t="s">
        <v>19</v>
      </c>
      <c r="H493" s="2">
        <v>46295</v>
      </c>
      <c r="I493" t="s">
        <v>1983</v>
      </c>
    </row>
    <row r="494" spans="1:9">
      <c r="A494" s="2" t="s">
        <v>1023</v>
      </c>
      <c r="B494" s="2" t="s">
        <v>4157</v>
      </c>
      <c r="C494" s="2" t="s">
        <v>4158</v>
      </c>
      <c r="D494" s="2" t="s">
        <v>4159</v>
      </c>
      <c r="E494" s="2" t="s">
        <v>4160</v>
      </c>
      <c r="F494" s="2" t="s">
        <v>3152</v>
      </c>
      <c r="G494" s="2" t="s">
        <v>19</v>
      </c>
      <c r="H494" s="2">
        <v>53234</v>
      </c>
      <c r="I494" t="s">
        <v>1975</v>
      </c>
    </row>
    <row r="495" spans="1:9">
      <c r="A495" s="2" t="s">
        <v>1025</v>
      </c>
      <c r="B495" s="2" t="s">
        <v>4161</v>
      </c>
      <c r="C495" s="2" t="s">
        <v>4162</v>
      </c>
      <c r="D495" s="2" t="s">
        <v>4163</v>
      </c>
      <c r="E495" s="2" t="s">
        <v>4164</v>
      </c>
      <c r="F495" s="2" t="s">
        <v>3361</v>
      </c>
      <c r="G495" s="2" t="s">
        <v>18</v>
      </c>
      <c r="H495" s="2" t="s">
        <v>3362</v>
      </c>
      <c r="I495" t="s">
        <v>1983</v>
      </c>
    </row>
    <row r="496" spans="1:9">
      <c r="A496" s="2" t="s">
        <v>1027</v>
      </c>
      <c r="B496" s="2" t="s">
        <v>4165</v>
      </c>
      <c r="C496" s="2" t="s">
        <v>4166</v>
      </c>
      <c r="D496" s="2" t="s">
        <v>4167</v>
      </c>
      <c r="E496" s="2" t="s">
        <v>4168</v>
      </c>
      <c r="F496" s="2" t="s">
        <v>3101</v>
      </c>
      <c r="G496" s="2" t="s">
        <v>19</v>
      </c>
      <c r="H496" s="2">
        <v>70836</v>
      </c>
      <c r="I496" t="s">
        <v>1983</v>
      </c>
    </row>
    <row r="497" spans="1:9">
      <c r="A497" s="2" t="s">
        <v>1029</v>
      </c>
      <c r="B497" s="2" t="s">
        <v>4169</v>
      </c>
      <c r="C497" s="2"/>
      <c r="D497" s="2" t="s">
        <v>4170</v>
      </c>
      <c r="E497" s="2" t="s">
        <v>4171</v>
      </c>
      <c r="F497" s="2" t="s">
        <v>3314</v>
      </c>
      <c r="G497" s="2" t="s">
        <v>19</v>
      </c>
      <c r="H497" s="2">
        <v>6816</v>
      </c>
      <c r="I497" t="s">
        <v>1975</v>
      </c>
    </row>
    <row r="498" spans="1:9">
      <c r="A498" s="2" t="s">
        <v>1031</v>
      </c>
      <c r="B498" s="2" t="s">
        <v>4172</v>
      </c>
      <c r="C498" s="2" t="s">
        <v>4173</v>
      </c>
      <c r="D498" s="2" t="s">
        <v>4174</v>
      </c>
      <c r="E498" s="2" t="s">
        <v>4175</v>
      </c>
      <c r="F498" s="2" t="s">
        <v>2256</v>
      </c>
      <c r="G498" s="2" t="s">
        <v>19</v>
      </c>
      <c r="H498" s="2">
        <v>32590</v>
      </c>
      <c r="I498" t="s">
        <v>1983</v>
      </c>
    </row>
    <row r="499" spans="1:9">
      <c r="A499" s="2" t="s">
        <v>1033</v>
      </c>
      <c r="B499" s="2" t="s">
        <v>4176</v>
      </c>
      <c r="C499" s="2" t="s">
        <v>4177</v>
      </c>
      <c r="D499" s="2" t="s">
        <v>4178</v>
      </c>
      <c r="E499" s="2" t="s">
        <v>4179</v>
      </c>
      <c r="F499" s="2" t="s">
        <v>4180</v>
      </c>
      <c r="G499" s="2" t="s">
        <v>17</v>
      </c>
      <c r="H499" s="2" t="s">
        <v>2115</v>
      </c>
      <c r="I499" t="s">
        <v>1983</v>
      </c>
    </row>
    <row r="500" spans="1:9">
      <c r="A500" s="2" t="s">
        <v>4181</v>
      </c>
      <c r="B500" s="2" t="s">
        <v>4182</v>
      </c>
      <c r="C500" s="2" t="s">
        <v>4183</v>
      </c>
      <c r="D500" s="2" t="s">
        <v>4184</v>
      </c>
      <c r="E500" s="2" t="s">
        <v>4185</v>
      </c>
      <c r="F500" s="2" t="s">
        <v>3269</v>
      </c>
      <c r="G500" s="2" t="s">
        <v>18</v>
      </c>
      <c r="H500" s="2" t="s">
        <v>3270</v>
      </c>
      <c r="I500" t="s">
        <v>1975</v>
      </c>
    </row>
    <row r="501" spans="1:9">
      <c r="A501" s="2" t="s">
        <v>1037</v>
      </c>
      <c r="B501" s="2" t="s">
        <v>4186</v>
      </c>
      <c r="C501" s="2"/>
      <c r="D501" s="2" t="s">
        <v>4187</v>
      </c>
      <c r="E501" s="2" t="s">
        <v>4188</v>
      </c>
      <c r="F501" s="2" t="s">
        <v>2964</v>
      </c>
      <c r="G501" s="2" t="s">
        <v>17</v>
      </c>
      <c r="H501" s="2" t="s">
        <v>2115</v>
      </c>
      <c r="I501" t="s">
        <v>1975</v>
      </c>
    </row>
    <row r="502" spans="1:9">
      <c r="A502" s="2" t="s">
        <v>1039</v>
      </c>
      <c r="B502" s="2" t="s">
        <v>4189</v>
      </c>
      <c r="C502" s="2"/>
      <c r="D502" s="2" t="s">
        <v>4190</v>
      </c>
      <c r="E502" s="2" t="s">
        <v>4191</v>
      </c>
      <c r="F502" s="2" t="s">
        <v>2080</v>
      </c>
      <c r="G502" s="2" t="s">
        <v>19</v>
      </c>
      <c r="H502" s="2">
        <v>49518</v>
      </c>
      <c r="I502" t="s">
        <v>1983</v>
      </c>
    </row>
    <row r="503" spans="1:9">
      <c r="A503" s="2" t="s">
        <v>1041</v>
      </c>
      <c r="B503" s="2" t="s">
        <v>4192</v>
      </c>
      <c r="C503" s="2" t="s">
        <v>4193</v>
      </c>
      <c r="D503" s="2" t="s">
        <v>4194</v>
      </c>
      <c r="E503" s="2" t="s">
        <v>4195</v>
      </c>
      <c r="F503" s="2" t="s">
        <v>3396</v>
      </c>
      <c r="G503" s="2" t="s">
        <v>18</v>
      </c>
      <c r="H503" s="2" t="s">
        <v>3397</v>
      </c>
      <c r="I503" t="s">
        <v>1983</v>
      </c>
    </row>
    <row r="504" spans="1:9">
      <c r="A504" s="2" t="s">
        <v>4196</v>
      </c>
      <c r="B504" s="2" t="s">
        <v>4197</v>
      </c>
      <c r="C504" s="2" t="s">
        <v>4198</v>
      </c>
      <c r="D504" s="2" t="s">
        <v>4199</v>
      </c>
      <c r="E504" s="2" t="s">
        <v>4200</v>
      </c>
      <c r="F504" s="2" t="s">
        <v>2406</v>
      </c>
      <c r="G504" s="2" t="s">
        <v>19</v>
      </c>
      <c r="H504" s="2">
        <v>66160</v>
      </c>
      <c r="I504" t="s">
        <v>1983</v>
      </c>
    </row>
    <row r="505" spans="1:9">
      <c r="A505" s="2" t="s">
        <v>4201</v>
      </c>
      <c r="B505" s="2" t="s">
        <v>4202</v>
      </c>
      <c r="C505" s="2"/>
      <c r="D505" s="2" t="s">
        <v>4203</v>
      </c>
      <c r="E505" s="2" t="s">
        <v>4204</v>
      </c>
      <c r="F505" s="2" t="s">
        <v>4205</v>
      </c>
      <c r="G505" s="2" t="s">
        <v>19</v>
      </c>
      <c r="H505" s="2">
        <v>14905</v>
      </c>
      <c r="I505" t="s">
        <v>1983</v>
      </c>
    </row>
    <row r="506" spans="1:9">
      <c r="A506" s="2" t="s">
        <v>4206</v>
      </c>
      <c r="B506" s="2" t="s">
        <v>4207</v>
      </c>
      <c r="C506" s="2" t="s">
        <v>4208</v>
      </c>
      <c r="D506" s="2" t="s">
        <v>4209</v>
      </c>
      <c r="E506" s="2" t="s">
        <v>4210</v>
      </c>
      <c r="F506" s="2" t="s">
        <v>3152</v>
      </c>
      <c r="G506" s="2" t="s">
        <v>19</v>
      </c>
      <c r="H506" s="2">
        <v>53205</v>
      </c>
      <c r="I506" t="s">
        <v>1975</v>
      </c>
    </row>
    <row r="507" spans="1:9">
      <c r="A507" s="2" t="s">
        <v>1043</v>
      </c>
      <c r="B507" s="2" t="s">
        <v>4211</v>
      </c>
      <c r="C507" s="2" t="s">
        <v>4212</v>
      </c>
      <c r="D507" s="2" t="s">
        <v>4213</v>
      </c>
      <c r="E507" s="2" t="s">
        <v>4214</v>
      </c>
      <c r="F507" s="2" t="s">
        <v>4215</v>
      </c>
      <c r="G507" s="2" t="s">
        <v>19</v>
      </c>
      <c r="H507" s="2">
        <v>27264</v>
      </c>
      <c r="I507" t="s">
        <v>1983</v>
      </c>
    </row>
    <row r="508" spans="1:9">
      <c r="A508" s="2" t="s">
        <v>1045</v>
      </c>
      <c r="B508" s="2" t="s">
        <v>4216</v>
      </c>
      <c r="C508" s="2" t="s">
        <v>4217</v>
      </c>
      <c r="D508" s="2" t="s">
        <v>4218</v>
      </c>
      <c r="E508" s="2" t="s">
        <v>4219</v>
      </c>
      <c r="F508" s="2" t="s">
        <v>2479</v>
      </c>
      <c r="G508" s="2" t="s">
        <v>19</v>
      </c>
      <c r="H508" s="2">
        <v>88546</v>
      </c>
      <c r="I508" t="s">
        <v>1975</v>
      </c>
    </row>
    <row r="509" spans="1:9">
      <c r="A509" s="2" t="s">
        <v>1047</v>
      </c>
      <c r="B509" s="2" t="s">
        <v>4220</v>
      </c>
      <c r="C509" s="2" t="s">
        <v>4221</v>
      </c>
      <c r="D509" s="2" t="s">
        <v>4222</v>
      </c>
      <c r="E509" s="2" t="s">
        <v>4223</v>
      </c>
      <c r="F509" s="2" t="s">
        <v>4224</v>
      </c>
      <c r="G509" s="2" t="s">
        <v>19</v>
      </c>
      <c r="H509" s="2">
        <v>44185</v>
      </c>
      <c r="I509" t="s">
        <v>1975</v>
      </c>
    </row>
    <row r="510" spans="1:9">
      <c r="A510" s="2" t="s">
        <v>1049</v>
      </c>
      <c r="B510" s="2" t="s">
        <v>4225</v>
      </c>
      <c r="C510" s="2" t="s">
        <v>4226</v>
      </c>
      <c r="D510" s="2" t="s">
        <v>4227</v>
      </c>
      <c r="E510" s="2" t="s">
        <v>4228</v>
      </c>
      <c r="F510" s="2" t="s">
        <v>4229</v>
      </c>
      <c r="G510" s="2" t="s">
        <v>17</v>
      </c>
      <c r="H510" s="2" t="s">
        <v>4230</v>
      </c>
      <c r="I510" t="s">
        <v>1983</v>
      </c>
    </row>
    <row r="511" spans="1:9">
      <c r="A511" s="2" t="s">
        <v>1035</v>
      </c>
      <c r="B511" s="2" t="s">
        <v>4231</v>
      </c>
      <c r="C511" s="2" t="s">
        <v>4232</v>
      </c>
      <c r="D511" s="2" t="s">
        <v>4233</v>
      </c>
      <c r="E511" s="2" t="s">
        <v>4234</v>
      </c>
      <c r="F511" s="2" t="s">
        <v>4235</v>
      </c>
      <c r="G511" s="2" t="s">
        <v>17</v>
      </c>
      <c r="H511" s="2" t="s">
        <v>4236</v>
      </c>
      <c r="I511" t="s">
        <v>1975</v>
      </c>
    </row>
    <row r="512" spans="1:9">
      <c r="A512" s="2" t="s">
        <v>1052</v>
      </c>
      <c r="B512" s="2" t="s">
        <v>4237</v>
      </c>
      <c r="C512" s="2" t="s">
        <v>4238</v>
      </c>
      <c r="D512" s="2" t="s">
        <v>4239</v>
      </c>
      <c r="E512" s="2" t="s">
        <v>4240</v>
      </c>
      <c r="F512" s="2" t="s">
        <v>3780</v>
      </c>
      <c r="G512" s="2" t="s">
        <v>17</v>
      </c>
      <c r="H512" s="2" t="s">
        <v>3781</v>
      </c>
      <c r="I512" t="s">
        <v>1975</v>
      </c>
    </row>
    <row r="513" spans="1:9">
      <c r="A513" s="2" t="s">
        <v>1054</v>
      </c>
      <c r="B513" s="2" t="s">
        <v>4241</v>
      </c>
      <c r="C513" s="2" t="s">
        <v>4242</v>
      </c>
      <c r="D513" s="2" t="s">
        <v>4243</v>
      </c>
      <c r="E513" s="2" t="s">
        <v>4244</v>
      </c>
      <c r="F513" s="2" t="s">
        <v>2203</v>
      </c>
      <c r="G513" s="2" t="s">
        <v>19</v>
      </c>
      <c r="H513" s="2">
        <v>35244</v>
      </c>
      <c r="I513" t="s">
        <v>1975</v>
      </c>
    </row>
    <row r="514" spans="1:9">
      <c r="A514" s="2" t="s">
        <v>1056</v>
      </c>
      <c r="B514" s="2" t="s">
        <v>4245</v>
      </c>
      <c r="C514" s="2" t="s">
        <v>4246</v>
      </c>
      <c r="D514" s="2" t="s">
        <v>4247</v>
      </c>
      <c r="E514" s="2" t="s">
        <v>4248</v>
      </c>
      <c r="F514" s="2" t="s">
        <v>4249</v>
      </c>
      <c r="G514" s="2" t="s">
        <v>19</v>
      </c>
      <c r="H514" s="2">
        <v>56372</v>
      </c>
      <c r="I514" t="s">
        <v>1983</v>
      </c>
    </row>
    <row r="515" spans="1:9">
      <c r="A515" s="2" t="s">
        <v>1058</v>
      </c>
      <c r="B515" s="2" t="s">
        <v>4250</v>
      </c>
      <c r="C515" s="2" t="s">
        <v>4251</v>
      </c>
      <c r="D515" s="2"/>
      <c r="E515" s="2" t="s">
        <v>4252</v>
      </c>
      <c r="F515" s="2" t="s">
        <v>2049</v>
      </c>
      <c r="G515" s="2" t="s">
        <v>19</v>
      </c>
      <c r="H515" s="2">
        <v>19191</v>
      </c>
      <c r="I515" t="s">
        <v>1983</v>
      </c>
    </row>
    <row r="516" spans="1:9">
      <c r="A516" s="2" t="s">
        <v>1060</v>
      </c>
      <c r="B516" s="2" t="s">
        <v>4253</v>
      </c>
      <c r="C516" s="2" t="s">
        <v>4254</v>
      </c>
      <c r="D516" s="2" t="s">
        <v>4255</v>
      </c>
      <c r="E516" s="2" t="s">
        <v>4256</v>
      </c>
      <c r="F516" s="2" t="s">
        <v>2852</v>
      </c>
      <c r="G516" s="2" t="s">
        <v>19</v>
      </c>
      <c r="H516" s="2">
        <v>48211</v>
      </c>
      <c r="I516" t="s">
        <v>1975</v>
      </c>
    </row>
    <row r="517" spans="1:9">
      <c r="A517" s="2" t="s">
        <v>1062</v>
      </c>
      <c r="B517" s="2" t="s">
        <v>4257</v>
      </c>
      <c r="C517" s="2" t="s">
        <v>4258</v>
      </c>
      <c r="D517" s="2" t="s">
        <v>4259</v>
      </c>
      <c r="E517" s="2" t="s">
        <v>4260</v>
      </c>
      <c r="F517" s="2" t="s">
        <v>2045</v>
      </c>
      <c r="G517" s="2" t="s">
        <v>19</v>
      </c>
      <c r="H517" s="2">
        <v>63180</v>
      </c>
      <c r="I517" t="s">
        <v>1983</v>
      </c>
    </row>
    <row r="518" spans="1:9">
      <c r="A518" s="2" t="s">
        <v>1064</v>
      </c>
      <c r="B518" s="2" t="s">
        <v>4261</v>
      </c>
      <c r="C518" s="2"/>
      <c r="D518" s="2" t="s">
        <v>4262</v>
      </c>
      <c r="E518" s="2" t="s">
        <v>4263</v>
      </c>
      <c r="F518" s="2" t="s">
        <v>4264</v>
      </c>
      <c r="G518" s="2" t="s">
        <v>19</v>
      </c>
      <c r="H518" s="2">
        <v>12305</v>
      </c>
      <c r="I518" t="s">
        <v>1975</v>
      </c>
    </row>
    <row r="519" spans="1:9">
      <c r="A519" s="2" t="s">
        <v>1066</v>
      </c>
      <c r="B519" s="2" t="s">
        <v>4265</v>
      </c>
      <c r="C519" s="2"/>
      <c r="D519" s="2" t="s">
        <v>4266</v>
      </c>
      <c r="E519" s="2" t="s">
        <v>4267</v>
      </c>
      <c r="F519" s="2" t="s">
        <v>4268</v>
      </c>
      <c r="G519" s="2" t="s">
        <v>19</v>
      </c>
      <c r="H519" s="2">
        <v>33805</v>
      </c>
      <c r="I519" t="s">
        <v>1983</v>
      </c>
    </row>
    <row r="520" spans="1:9">
      <c r="A520" s="2" t="s">
        <v>1068</v>
      </c>
      <c r="B520" s="2" t="s">
        <v>4269</v>
      </c>
      <c r="C520" s="2" t="s">
        <v>4270</v>
      </c>
      <c r="D520" s="2" t="s">
        <v>4271</v>
      </c>
      <c r="E520" s="2" t="s">
        <v>4272</v>
      </c>
      <c r="F520" s="2" t="s">
        <v>4273</v>
      </c>
      <c r="G520" s="2" t="s">
        <v>19</v>
      </c>
      <c r="H520" s="2">
        <v>32941</v>
      </c>
      <c r="I520" t="s">
        <v>1983</v>
      </c>
    </row>
    <row r="521" spans="1:9">
      <c r="A521" s="2" t="s">
        <v>4274</v>
      </c>
      <c r="B521" s="2" t="s">
        <v>4275</v>
      </c>
      <c r="C521" s="2" t="s">
        <v>4276</v>
      </c>
      <c r="D521" s="2" t="s">
        <v>4277</v>
      </c>
      <c r="E521" s="2" t="s">
        <v>4278</v>
      </c>
      <c r="F521" s="2" t="s">
        <v>2059</v>
      </c>
      <c r="G521" s="2" t="s">
        <v>19</v>
      </c>
      <c r="H521" s="2">
        <v>77075</v>
      </c>
      <c r="I521" t="s">
        <v>1983</v>
      </c>
    </row>
    <row r="522" spans="1:9">
      <c r="A522" s="2" t="s">
        <v>1071</v>
      </c>
      <c r="B522" s="2" t="s">
        <v>4279</v>
      </c>
      <c r="C522" s="2" t="s">
        <v>4280</v>
      </c>
      <c r="D522" s="2" t="s">
        <v>4281</v>
      </c>
      <c r="E522" s="2" t="s">
        <v>4282</v>
      </c>
      <c r="F522" s="2" t="s">
        <v>2175</v>
      </c>
      <c r="G522" s="2" t="s">
        <v>19</v>
      </c>
      <c r="H522" s="2">
        <v>70179</v>
      </c>
      <c r="I522" t="s">
        <v>1983</v>
      </c>
    </row>
    <row r="523" spans="1:9">
      <c r="A523" s="2" t="s">
        <v>4283</v>
      </c>
      <c r="B523" s="2" t="s">
        <v>4284</v>
      </c>
      <c r="C523" s="2" t="s">
        <v>4285</v>
      </c>
      <c r="D523" s="2" t="s">
        <v>4286</v>
      </c>
      <c r="E523" s="2" t="s">
        <v>4287</v>
      </c>
      <c r="F523" s="2" t="s">
        <v>2393</v>
      </c>
      <c r="G523" s="2" t="s">
        <v>19</v>
      </c>
      <c r="H523" s="2">
        <v>73142</v>
      </c>
      <c r="I523" t="s">
        <v>1983</v>
      </c>
    </row>
    <row r="524" spans="1:9">
      <c r="A524" s="2" t="s">
        <v>1073</v>
      </c>
      <c r="B524" s="2" t="s">
        <v>4288</v>
      </c>
      <c r="C524" s="2" t="s">
        <v>4289</v>
      </c>
      <c r="D524" s="2" t="s">
        <v>4290</v>
      </c>
      <c r="E524" s="2" t="s">
        <v>4291</v>
      </c>
      <c r="F524" s="2" t="s">
        <v>3541</v>
      </c>
      <c r="G524" s="2" t="s">
        <v>19</v>
      </c>
      <c r="H524" s="2">
        <v>66617</v>
      </c>
      <c r="I524" t="s">
        <v>1983</v>
      </c>
    </row>
    <row r="525" spans="1:9">
      <c r="A525" s="2" t="s">
        <v>1075</v>
      </c>
      <c r="B525" s="2" t="s">
        <v>4292</v>
      </c>
      <c r="C525" s="2" t="s">
        <v>4293</v>
      </c>
      <c r="D525" s="2" t="s">
        <v>4294</v>
      </c>
      <c r="E525" s="2" t="s">
        <v>4295</v>
      </c>
      <c r="F525" s="2" t="s">
        <v>4296</v>
      </c>
      <c r="G525" s="2" t="s">
        <v>17</v>
      </c>
      <c r="H525" s="2" t="s">
        <v>3649</v>
      </c>
      <c r="I525" t="s">
        <v>1983</v>
      </c>
    </row>
    <row r="526" spans="1:9">
      <c r="A526" s="2" t="s">
        <v>1077</v>
      </c>
      <c r="B526" s="2" t="s">
        <v>4297</v>
      </c>
      <c r="C526" s="2"/>
      <c r="D526" s="2" t="s">
        <v>4298</v>
      </c>
      <c r="E526" s="2" t="s">
        <v>4299</v>
      </c>
      <c r="F526" s="2" t="s">
        <v>1994</v>
      </c>
      <c r="G526" s="2" t="s">
        <v>19</v>
      </c>
      <c r="H526" s="2">
        <v>62723</v>
      </c>
      <c r="I526" t="s">
        <v>1983</v>
      </c>
    </row>
    <row r="527" spans="1:9">
      <c r="A527" s="2" t="s">
        <v>1079</v>
      </c>
      <c r="B527" s="2" t="s">
        <v>4300</v>
      </c>
      <c r="C527" s="2"/>
      <c r="D527" s="2" t="s">
        <v>4301</v>
      </c>
      <c r="E527" s="2" t="s">
        <v>4302</v>
      </c>
      <c r="F527" s="2" t="s">
        <v>4303</v>
      </c>
      <c r="G527" s="2" t="s">
        <v>19</v>
      </c>
      <c r="H527" s="2">
        <v>8104</v>
      </c>
      <c r="I527" t="s">
        <v>1975</v>
      </c>
    </row>
    <row r="528" spans="1:9">
      <c r="A528" s="2" t="s">
        <v>1081</v>
      </c>
      <c r="B528" s="2" t="s">
        <v>4304</v>
      </c>
      <c r="C528" s="2" t="s">
        <v>4305</v>
      </c>
      <c r="D528" s="2" t="s">
        <v>4306</v>
      </c>
      <c r="E528" s="2" t="s">
        <v>4307</v>
      </c>
      <c r="F528" s="2" t="s">
        <v>3523</v>
      </c>
      <c r="G528" s="2" t="s">
        <v>19</v>
      </c>
      <c r="H528" s="2">
        <v>98185</v>
      </c>
      <c r="I528" t="s">
        <v>1975</v>
      </c>
    </row>
    <row r="529" spans="1:9">
      <c r="A529" s="2" t="s">
        <v>1083</v>
      </c>
      <c r="B529" s="2" t="s">
        <v>4308</v>
      </c>
      <c r="C529" s="2" t="s">
        <v>4309</v>
      </c>
      <c r="D529" s="2" t="s">
        <v>4310</v>
      </c>
      <c r="E529" s="2" t="s">
        <v>4311</v>
      </c>
      <c r="F529" s="2" t="s">
        <v>2273</v>
      </c>
      <c r="G529" s="2" t="s">
        <v>18</v>
      </c>
      <c r="H529" s="2" t="s">
        <v>2274</v>
      </c>
      <c r="I529" t="s">
        <v>1983</v>
      </c>
    </row>
    <row r="530" spans="1:9">
      <c r="A530" s="2" t="s">
        <v>1085</v>
      </c>
      <c r="B530" s="2" t="s">
        <v>4312</v>
      </c>
      <c r="C530" s="2" t="s">
        <v>4313</v>
      </c>
      <c r="D530" s="2" t="s">
        <v>4314</v>
      </c>
      <c r="E530" s="2" t="s">
        <v>4315</v>
      </c>
      <c r="F530" s="2" t="s">
        <v>4316</v>
      </c>
      <c r="G530" s="2" t="s">
        <v>19</v>
      </c>
      <c r="H530" s="2">
        <v>76711</v>
      </c>
      <c r="I530" t="s">
        <v>1983</v>
      </c>
    </row>
    <row r="531" spans="1:9">
      <c r="A531" s="2" t="s">
        <v>1087</v>
      </c>
      <c r="B531" s="2" t="s">
        <v>4317</v>
      </c>
      <c r="C531" s="2" t="s">
        <v>4318</v>
      </c>
      <c r="D531" s="2" t="s">
        <v>4319</v>
      </c>
      <c r="E531" s="2" t="s">
        <v>4320</v>
      </c>
      <c r="F531" s="2" t="s">
        <v>2036</v>
      </c>
      <c r="G531" s="2" t="s">
        <v>19</v>
      </c>
      <c r="H531" s="2">
        <v>23242</v>
      </c>
      <c r="I531" t="s">
        <v>1983</v>
      </c>
    </row>
    <row r="532" spans="1:9">
      <c r="A532" s="2" t="s">
        <v>1089</v>
      </c>
      <c r="B532" s="2" t="s">
        <v>4321</v>
      </c>
      <c r="C532" s="2" t="s">
        <v>4322</v>
      </c>
      <c r="D532" s="2" t="s">
        <v>4323</v>
      </c>
      <c r="E532" s="2" t="s">
        <v>4324</v>
      </c>
      <c r="F532" s="2" t="s">
        <v>2242</v>
      </c>
      <c r="G532" s="2" t="s">
        <v>19</v>
      </c>
      <c r="H532" s="2">
        <v>43610</v>
      </c>
      <c r="I532" t="s">
        <v>1983</v>
      </c>
    </row>
    <row r="533" spans="1:9">
      <c r="A533" s="2" t="s">
        <v>1091</v>
      </c>
      <c r="B533" s="2" t="s">
        <v>4325</v>
      </c>
      <c r="C533" s="2" t="s">
        <v>4326</v>
      </c>
      <c r="D533" s="2" t="s">
        <v>4327</v>
      </c>
      <c r="E533" s="2" t="s">
        <v>4328</v>
      </c>
      <c r="F533" s="2" t="s">
        <v>2512</v>
      </c>
      <c r="G533" s="2" t="s">
        <v>19</v>
      </c>
      <c r="H533" s="2">
        <v>25705</v>
      </c>
      <c r="I533" t="s">
        <v>1983</v>
      </c>
    </row>
    <row r="534" spans="1:9">
      <c r="A534" s="2" t="s">
        <v>1093</v>
      </c>
      <c r="B534" s="2" t="s">
        <v>4329</v>
      </c>
      <c r="C534" s="2" t="s">
        <v>4330</v>
      </c>
      <c r="D534" s="2" t="s">
        <v>4331</v>
      </c>
      <c r="E534" s="2" t="s">
        <v>4332</v>
      </c>
      <c r="F534" s="2" t="s">
        <v>4333</v>
      </c>
      <c r="G534" s="2" t="s">
        <v>19</v>
      </c>
      <c r="H534" s="2">
        <v>33884</v>
      </c>
      <c r="I534" t="s">
        <v>1975</v>
      </c>
    </row>
    <row r="535" spans="1:9">
      <c r="A535" s="2" t="s">
        <v>1095</v>
      </c>
      <c r="B535" s="2" t="s">
        <v>4334</v>
      </c>
      <c r="C535" s="2"/>
      <c r="D535" s="2" t="s">
        <v>4335</v>
      </c>
      <c r="E535" s="2" t="s">
        <v>4336</v>
      </c>
      <c r="F535" s="2" t="s">
        <v>2356</v>
      </c>
      <c r="G535" s="2" t="s">
        <v>19</v>
      </c>
      <c r="H535" s="2">
        <v>75323</v>
      </c>
      <c r="I535" t="s">
        <v>1983</v>
      </c>
    </row>
    <row r="536" spans="1:9">
      <c r="A536" s="2" t="s">
        <v>1097</v>
      </c>
      <c r="B536" s="2" t="s">
        <v>4337</v>
      </c>
      <c r="C536" s="2" t="s">
        <v>4338</v>
      </c>
      <c r="D536" s="2" t="s">
        <v>4339</v>
      </c>
      <c r="E536" s="2" t="s">
        <v>4340</v>
      </c>
      <c r="F536" s="2" t="s">
        <v>2376</v>
      </c>
      <c r="G536" s="2" t="s">
        <v>17</v>
      </c>
      <c r="H536" s="2" t="s">
        <v>2377</v>
      </c>
      <c r="I536" t="s">
        <v>1975</v>
      </c>
    </row>
    <row r="537" spans="1:9">
      <c r="A537" s="2" t="s">
        <v>1099</v>
      </c>
      <c r="B537" s="2" t="s">
        <v>4341</v>
      </c>
      <c r="C537" s="2"/>
      <c r="D537" s="2" t="s">
        <v>4342</v>
      </c>
      <c r="E537" s="2" t="s">
        <v>4343</v>
      </c>
      <c r="F537" s="2" t="s">
        <v>2631</v>
      </c>
      <c r="G537" s="2" t="s">
        <v>17</v>
      </c>
      <c r="H537" s="2" t="s">
        <v>2576</v>
      </c>
      <c r="I537" t="s">
        <v>1983</v>
      </c>
    </row>
    <row r="538" spans="1:9">
      <c r="A538" s="2" t="s">
        <v>4344</v>
      </c>
      <c r="B538" s="2" t="s">
        <v>4345</v>
      </c>
      <c r="C538" s="2" t="s">
        <v>4346</v>
      </c>
      <c r="D538" s="2" t="s">
        <v>4347</v>
      </c>
      <c r="E538" s="2" t="s">
        <v>4348</v>
      </c>
      <c r="F538" s="2" t="s">
        <v>2318</v>
      </c>
      <c r="G538" s="2" t="s">
        <v>19</v>
      </c>
      <c r="H538" s="2">
        <v>43231</v>
      </c>
      <c r="I538" t="s">
        <v>1983</v>
      </c>
    </row>
    <row r="539" spans="1:9">
      <c r="A539" s="2" t="s">
        <v>1102</v>
      </c>
      <c r="B539" s="2" t="s">
        <v>4349</v>
      </c>
      <c r="C539" s="2" t="s">
        <v>4350</v>
      </c>
      <c r="D539" s="2"/>
      <c r="E539" s="2" t="s">
        <v>4351</v>
      </c>
      <c r="F539" s="2" t="s">
        <v>2586</v>
      </c>
      <c r="G539" s="2" t="s">
        <v>19</v>
      </c>
      <c r="H539" s="2">
        <v>47747</v>
      </c>
      <c r="I539" t="s">
        <v>1975</v>
      </c>
    </row>
    <row r="540" spans="1:9">
      <c r="A540" s="2" t="s">
        <v>1104</v>
      </c>
      <c r="B540" s="2" t="s">
        <v>4352</v>
      </c>
      <c r="C540" s="2" t="s">
        <v>4353</v>
      </c>
      <c r="D540" s="2"/>
      <c r="E540" s="2" t="s">
        <v>4354</v>
      </c>
      <c r="F540" s="2" t="s">
        <v>4355</v>
      </c>
      <c r="G540" s="2" t="s">
        <v>19</v>
      </c>
      <c r="H540" s="2">
        <v>60567</v>
      </c>
      <c r="I540" t="s">
        <v>1975</v>
      </c>
    </row>
    <row r="541" spans="1:9">
      <c r="A541" s="2" t="s">
        <v>1106</v>
      </c>
      <c r="B541" s="2" t="s">
        <v>4356</v>
      </c>
      <c r="C541" s="2" t="s">
        <v>4357</v>
      </c>
      <c r="D541" s="2"/>
      <c r="E541" s="2" t="s">
        <v>4358</v>
      </c>
      <c r="F541" s="2" t="s">
        <v>2153</v>
      </c>
      <c r="G541" s="2" t="s">
        <v>19</v>
      </c>
      <c r="H541" s="2">
        <v>29424</v>
      </c>
      <c r="I541" t="s">
        <v>1983</v>
      </c>
    </row>
    <row r="542" spans="1:9">
      <c r="A542" s="2" t="s">
        <v>1108</v>
      </c>
      <c r="B542" s="2" t="s">
        <v>4359</v>
      </c>
      <c r="C542" s="2" t="s">
        <v>4360</v>
      </c>
      <c r="D542" s="2" t="s">
        <v>4361</v>
      </c>
      <c r="E542" s="2" t="s">
        <v>4362</v>
      </c>
      <c r="F542" s="2" t="s">
        <v>2831</v>
      </c>
      <c r="G542" s="2" t="s">
        <v>19</v>
      </c>
      <c r="H542" s="2">
        <v>48930</v>
      </c>
      <c r="I542" t="s">
        <v>1975</v>
      </c>
    </row>
    <row r="543" spans="1:9">
      <c r="A543" s="2" t="s">
        <v>1110</v>
      </c>
      <c r="B543" s="2" t="s">
        <v>4363</v>
      </c>
      <c r="C543" s="2"/>
      <c r="D543" s="2" t="s">
        <v>4364</v>
      </c>
      <c r="E543" s="2" t="s">
        <v>4365</v>
      </c>
      <c r="F543" s="2" t="s">
        <v>4366</v>
      </c>
      <c r="G543" s="2" t="s">
        <v>17</v>
      </c>
      <c r="H543" s="2" t="s">
        <v>4230</v>
      </c>
      <c r="I543" t="s">
        <v>1975</v>
      </c>
    </row>
    <row r="544" spans="1:9">
      <c r="A544" s="2" t="s">
        <v>1112</v>
      </c>
      <c r="B544" s="2" t="s">
        <v>4367</v>
      </c>
      <c r="C544" s="2" t="s">
        <v>4368</v>
      </c>
      <c r="D544" s="2" t="s">
        <v>4369</v>
      </c>
      <c r="E544" s="2" t="s">
        <v>4370</v>
      </c>
      <c r="F544" s="2" t="s">
        <v>3555</v>
      </c>
      <c r="G544" s="2" t="s">
        <v>19</v>
      </c>
      <c r="H544" s="2">
        <v>71115</v>
      </c>
      <c r="I544" t="s">
        <v>1983</v>
      </c>
    </row>
    <row r="545" spans="1:9">
      <c r="A545" s="2" t="s">
        <v>1114</v>
      </c>
      <c r="B545" s="2" t="s">
        <v>4371</v>
      </c>
      <c r="C545" s="2" t="s">
        <v>4372</v>
      </c>
      <c r="D545" s="2" t="s">
        <v>4373</v>
      </c>
      <c r="E545" s="2" t="s">
        <v>4374</v>
      </c>
      <c r="F545" s="2" t="s">
        <v>2027</v>
      </c>
      <c r="G545" s="2" t="s">
        <v>19</v>
      </c>
      <c r="H545" s="2">
        <v>95194</v>
      </c>
      <c r="I545" t="s">
        <v>1983</v>
      </c>
    </row>
    <row r="546" spans="1:9">
      <c r="A546" s="2" t="s">
        <v>1116</v>
      </c>
      <c r="B546" s="2" t="s">
        <v>4375</v>
      </c>
      <c r="C546" s="2" t="s">
        <v>4376</v>
      </c>
      <c r="D546" s="2" t="s">
        <v>4377</v>
      </c>
      <c r="E546" s="2" t="s">
        <v>4378</v>
      </c>
      <c r="F546" s="2" t="s">
        <v>2049</v>
      </c>
      <c r="G546" s="2" t="s">
        <v>19</v>
      </c>
      <c r="H546" s="2">
        <v>19104</v>
      </c>
      <c r="I546" t="s">
        <v>1983</v>
      </c>
    </row>
    <row r="547" spans="1:9">
      <c r="A547" s="2" t="s">
        <v>1118</v>
      </c>
      <c r="B547" s="2" t="s">
        <v>4379</v>
      </c>
      <c r="C547" s="2" t="s">
        <v>4380</v>
      </c>
      <c r="D547" s="2" t="s">
        <v>4381</v>
      </c>
      <c r="E547" s="2" t="s">
        <v>4382</v>
      </c>
      <c r="F547" s="2" t="s">
        <v>3165</v>
      </c>
      <c r="G547" s="2" t="s">
        <v>18</v>
      </c>
      <c r="H547" s="2" t="s">
        <v>3166</v>
      </c>
      <c r="I547" t="s">
        <v>1983</v>
      </c>
    </row>
    <row r="548" spans="1:9">
      <c r="A548" s="2" t="s">
        <v>1120</v>
      </c>
      <c r="B548" s="2" t="s">
        <v>4383</v>
      </c>
      <c r="C548" s="2"/>
      <c r="D548" s="2" t="s">
        <v>4384</v>
      </c>
      <c r="E548" s="2" t="s">
        <v>4385</v>
      </c>
      <c r="F548" s="2" t="s">
        <v>4386</v>
      </c>
      <c r="G548" s="2" t="s">
        <v>17</v>
      </c>
      <c r="H548" s="2" t="s">
        <v>4387</v>
      </c>
      <c r="I548" t="s">
        <v>1983</v>
      </c>
    </row>
    <row r="549" spans="1:9">
      <c r="A549" s="2" t="s">
        <v>4388</v>
      </c>
      <c r="B549" s="2" t="s">
        <v>4389</v>
      </c>
      <c r="C549" s="2"/>
      <c r="D549" s="2" t="s">
        <v>4390</v>
      </c>
      <c r="E549" s="2" t="s">
        <v>4391</v>
      </c>
      <c r="F549" s="2" t="s">
        <v>3347</v>
      </c>
      <c r="G549" s="2" t="s">
        <v>19</v>
      </c>
      <c r="H549" s="2">
        <v>21229</v>
      </c>
      <c r="I549" t="s">
        <v>1975</v>
      </c>
    </row>
    <row r="550" spans="1:9">
      <c r="A550" s="2" t="s">
        <v>1124</v>
      </c>
      <c r="B550" s="2" t="s">
        <v>4392</v>
      </c>
      <c r="C550" s="2" t="s">
        <v>4393</v>
      </c>
      <c r="D550" s="2" t="s">
        <v>4394</v>
      </c>
      <c r="E550" s="2" t="s">
        <v>4395</v>
      </c>
      <c r="F550" s="2" t="s">
        <v>2393</v>
      </c>
      <c r="G550" s="2" t="s">
        <v>19</v>
      </c>
      <c r="H550" s="2">
        <v>73119</v>
      </c>
      <c r="I550" t="s">
        <v>1975</v>
      </c>
    </row>
    <row r="551" spans="1:9">
      <c r="A551" s="2" t="s">
        <v>1122</v>
      </c>
      <c r="B551" s="2" t="s">
        <v>4396</v>
      </c>
      <c r="C551" s="2" t="s">
        <v>4397</v>
      </c>
      <c r="D551" s="2" t="s">
        <v>4398</v>
      </c>
      <c r="E551" s="2" t="s">
        <v>4399</v>
      </c>
      <c r="F551" s="2" t="s">
        <v>2069</v>
      </c>
      <c r="G551" s="2" t="s">
        <v>19</v>
      </c>
      <c r="H551" s="2">
        <v>10060</v>
      </c>
      <c r="I551" t="s">
        <v>1975</v>
      </c>
    </row>
    <row r="552" spans="1:9">
      <c r="A552" s="2" t="s">
        <v>1127</v>
      </c>
      <c r="B552" s="2" t="s">
        <v>4400</v>
      </c>
      <c r="C552" s="2" t="s">
        <v>4401</v>
      </c>
      <c r="D552" s="2" t="s">
        <v>4402</v>
      </c>
      <c r="E552" s="2" t="s">
        <v>4403</v>
      </c>
      <c r="F552" s="2" t="s">
        <v>2287</v>
      </c>
      <c r="G552" s="2" t="s">
        <v>19</v>
      </c>
      <c r="H552" s="2">
        <v>7112</v>
      </c>
      <c r="I552" t="s">
        <v>1975</v>
      </c>
    </row>
    <row r="553" spans="1:9">
      <c r="A553" s="2" t="s">
        <v>1129</v>
      </c>
      <c r="B553" s="2" t="s">
        <v>4404</v>
      </c>
      <c r="C553" s="2" t="s">
        <v>4405</v>
      </c>
      <c r="D553" s="2" t="s">
        <v>4406</v>
      </c>
      <c r="E553" s="2" t="s">
        <v>4407</v>
      </c>
      <c r="F553" s="2" t="s">
        <v>3708</v>
      </c>
      <c r="G553" s="2" t="s">
        <v>19</v>
      </c>
      <c r="H553" s="2">
        <v>6510</v>
      </c>
      <c r="I553" t="s">
        <v>1983</v>
      </c>
    </row>
    <row r="554" spans="1:9">
      <c r="A554" s="2" t="s">
        <v>1131</v>
      </c>
      <c r="B554" s="2" t="s">
        <v>4408</v>
      </c>
      <c r="C554" s="2" t="s">
        <v>4409</v>
      </c>
      <c r="D554" s="2" t="s">
        <v>4410</v>
      </c>
      <c r="E554" s="2" t="s">
        <v>4411</v>
      </c>
      <c r="F554" s="2" t="s">
        <v>3396</v>
      </c>
      <c r="G554" s="2" t="s">
        <v>18</v>
      </c>
      <c r="H554" s="2" t="s">
        <v>3397</v>
      </c>
      <c r="I554" t="s">
        <v>1975</v>
      </c>
    </row>
    <row r="555" spans="1:9">
      <c r="A555" s="2" t="s">
        <v>1133</v>
      </c>
      <c r="B555" s="2" t="s">
        <v>4412</v>
      </c>
      <c r="C555" s="2" t="s">
        <v>4413</v>
      </c>
      <c r="D555" s="2"/>
      <c r="E555" s="2" t="s">
        <v>4414</v>
      </c>
      <c r="F555" s="2" t="s">
        <v>2242</v>
      </c>
      <c r="G555" s="2" t="s">
        <v>19</v>
      </c>
      <c r="H555" s="2">
        <v>43610</v>
      </c>
      <c r="I555" t="s">
        <v>1983</v>
      </c>
    </row>
    <row r="556" spans="1:9">
      <c r="A556" s="2" t="s">
        <v>1135</v>
      </c>
      <c r="B556" s="2" t="s">
        <v>4415</v>
      </c>
      <c r="C556" s="2"/>
      <c r="D556" s="2" t="s">
        <v>4416</v>
      </c>
      <c r="E556" s="2" t="s">
        <v>4417</v>
      </c>
      <c r="F556" s="2" t="s">
        <v>3195</v>
      </c>
      <c r="G556" s="2" t="s">
        <v>18</v>
      </c>
      <c r="H556" s="2" t="s">
        <v>4418</v>
      </c>
      <c r="I556" t="s">
        <v>1975</v>
      </c>
    </row>
    <row r="557" spans="1:9">
      <c r="A557" s="2" t="s">
        <v>1137</v>
      </c>
      <c r="B557" s="2" t="s">
        <v>4419</v>
      </c>
      <c r="C557" s="2" t="s">
        <v>4420</v>
      </c>
      <c r="D557" s="2" t="s">
        <v>4421</v>
      </c>
      <c r="E557" s="2" t="s">
        <v>4422</v>
      </c>
      <c r="F557" s="2" t="s">
        <v>4423</v>
      </c>
      <c r="G557" s="2" t="s">
        <v>17</v>
      </c>
      <c r="H557" s="2" t="s">
        <v>4424</v>
      </c>
      <c r="I557" t="s">
        <v>1983</v>
      </c>
    </row>
    <row r="558" spans="1:9">
      <c r="A558" s="2" t="s">
        <v>1139</v>
      </c>
      <c r="B558" s="2" t="s">
        <v>4425</v>
      </c>
      <c r="C558" s="2" t="s">
        <v>4426</v>
      </c>
      <c r="D558" s="2"/>
      <c r="E558" s="2" t="s">
        <v>4427</v>
      </c>
      <c r="F558" s="2" t="s">
        <v>3555</v>
      </c>
      <c r="G558" s="2" t="s">
        <v>19</v>
      </c>
      <c r="H558" s="2">
        <v>71161</v>
      </c>
      <c r="I558" t="s">
        <v>1975</v>
      </c>
    </row>
    <row r="559" spans="1:9">
      <c r="A559" s="2" t="s">
        <v>4428</v>
      </c>
      <c r="B559" s="2" t="s">
        <v>4429</v>
      </c>
      <c r="C559" s="2"/>
      <c r="D559" s="2" t="s">
        <v>4430</v>
      </c>
      <c r="E559" s="2" t="s">
        <v>4431</v>
      </c>
      <c r="F559" s="2" t="s">
        <v>4432</v>
      </c>
      <c r="G559" s="2" t="s">
        <v>19</v>
      </c>
      <c r="H559" s="2">
        <v>32835</v>
      </c>
      <c r="I559" t="s">
        <v>1983</v>
      </c>
    </row>
    <row r="560" spans="1:9">
      <c r="A560" s="2" t="s">
        <v>1142</v>
      </c>
      <c r="B560" s="2" t="s">
        <v>4433</v>
      </c>
      <c r="C560" s="2"/>
      <c r="D560" s="2" t="s">
        <v>4434</v>
      </c>
      <c r="E560" s="2" t="s">
        <v>4435</v>
      </c>
      <c r="F560" s="2" t="s">
        <v>3351</v>
      </c>
      <c r="G560" s="2" t="s">
        <v>19</v>
      </c>
      <c r="H560" s="2">
        <v>40515</v>
      </c>
      <c r="I560" t="s">
        <v>1975</v>
      </c>
    </row>
    <row r="561" spans="1:9">
      <c r="A561" s="2" t="s">
        <v>1144</v>
      </c>
      <c r="B561" s="2" t="s">
        <v>4436</v>
      </c>
      <c r="C561" s="2" t="s">
        <v>4437</v>
      </c>
      <c r="D561" s="2" t="s">
        <v>4438</v>
      </c>
      <c r="E561" s="2" t="s">
        <v>4439</v>
      </c>
      <c r="F561" s="2" t="s">
        <v>3152</v>
      </c>
      <c r="G561" s="2" t="s">
        <v>19</v>
      </c>
      <c r="H561" s="2">
        <v>53263</v>
      </c>
      <c r="I561" t="s">
        <v>1975</v>
      </c>
    </row>
    <row r="562" spans="1:9">
      <c r="A562" s="2" t="s">
        <v>1146</v>
      </c>
      <c r="B562" s="2" t="s">
        <v>4440</v>
      </c>
      <c r="C562" s="2"/>
      <c r="D562" s="2" t="s">
        <v>4441</v>
      </c>
      <c r="E562" s="2" t="s">
        <v>4442</v>
      </c>
      <c r="F562" s="2" t="s">
        <v>4443</v>
      </c>
      <c r="G562" s="2" t="s">
        <v>19</v>
      </c>
      <c r="H562" s="2">
        <v>79176</v>
      </c>
      <c r="I562" t="s">
        <v>1975</v>
      </c>
    </row>
    <row r="563" spans="1:9">
      <c r="A563" s="2" t="s">
        <v>1148</v>
      </c>
      <c r="B563" s="2" t="s">
        <v>4444</v>
      </c>
      <c r="C563" s="2"/>
      <c r="D563" s="2" t="s">
        <v>4445</v>
      </c>
      <c r="E563" s="2" t="s">
        <v>4446</v>
      </c>
      <c r="F563" s="2" t="s">
        <v>4447</v>
      </c>
      <c r="G563" s="2" t="s">
        <v>17</v>
      </c>
      <c r="H563" s="2" t="s">
        <v>4448</v>
      </c>
      <c r="I563" t="s">
        <v>1975</v>
      </c>
    </row>
    <row r="564" spans="1:9">
      <c r="A564" s="2" t="s">
        <v>1150</v>
      </c>
      <c r="B564" s="2" t="s">
        <v>4449</v>
      </c>
      <c r="C564" s="2" t="s">
        <v>4450</v>
      </c>
      <c r="D564" s="2" t="s">
        <v>4451</v>
      </c>
      <c r="E564" s="2" t="s">
        <v>4452</v>
      </c>
      <c r="F564" s="2" t="s">
        <v>4453</v>
      </c>
      <c r="G564" s="2" t="s">
        <v>18</v>
      </c>
      <c r="H564" s="2" t="s">
        <v>4454</v>
      </c>
      <c r="I564" t="s">
        <v>1983</v>
      </c>
    </row>
    <row r="565" spans="1:9">
      <c r="A565" s="2" t="s">
        <v>4455</v>
      </c>
      <c r="B565" s="2" t="s">
        <v>4456</v>
      </c>
      <c r="C565" s="2" t="s">
        <v>4457</v>
      </c>
      <c r="D565" s="2" t="s">
        <v>4458</v>
      </c>
      <c r="E565" s="2" t="s">
        <v>4459</v>
      </c>
      <c r="F565" s="2" t="s">
        <v>3080</v>
      </c>
      <c r="G565" s="2" t="s">
        <v>19</v>
      </c>
      <c r="H565" s="2">
        <v>30323</v>
      </c>
      <c r="I565" t="s">
        <v>1983</v>
      </c>
    </row>
    <row r="566" spans="1:9">
      <c r="A566" s="2" t="s">
        <v>1154</v>
      </c>
      <c r="B566" s="2" t="s">
        <v>4460</v>
      </c>
      <c r="C566" s="2" t="s">
        <v>4461</v>
      </c>
      <c r="D566" s="2" t="s">
        <v>4462</v>
      </c>
      <c r="E566" s="2" t="s">
        <v>4463</v>
      </c>
      <c r="F566" s="2" t="s">
        <v>3443</v>
      </c>
      <c r="G566" s="2" t="s">
        <v>19</v>
      </c>
      <c r="H566" s="2">
        <v>37924</v>
      </c>
      <c r="I566" t="s">
        <v>1983</v>
      </c>
    </row>
    <row r="567" spans="1:9">
      <c r="A567" s="2" t="s">
        <v>1156</v>
      </c>
      <c r="B567" s="2" t="s">
        <v>4464</v>
      </c>
      <c r="C567" s="2" t="s">
        <v>4465</v>
      </c>
      <c r="D567" s="2" t="s">
        <v>4466</v>
      </c>
      <c r="E567" s="2" t="s">
        <v>4467</v>
      </c>
      <c r="F567" s="2" t="s">
        <v>3019</v>
      </c>
      <c r="G567" s="2" t="s">
        <v>19</v>
      </c>
      <c r="H567" s="2">
        <v>66225</v>
      </c>
      <c r="I567" t="s">
        <v>1983</v>
      </c>
    </row>
    <row r="568" spans="1:9">
      <c r="A568" s="2" t="s">
        <v>1158</v>
      </c>
      <c r="B568" s="2" t="s">
        <v>4468</v>
      </c>
      <c r="C568" s="2" t="s">
        <v>4469</v>
      </c>
      <c r="D568" s="2" t="s">
        <v>4470</v>
      </c>
      <c r="E568" s="2" t="s">
        <v>4471</v>
      </c>
      <c r="F568" s="2" t="s">
        <v>2222</v>
      </c>
      <c r="G568" s="2" t="s">
        <v>19</v>
      </c>
      <c r="H568" s="2">
        <v>33330</v>
      </c>
      <c r="I568" t="s">
        <v>1975</v>
      </c>
    </row>
    <row r="569" spans="1:9">
      <c r="A569" s="2" t="s">
        <v>1160</v>
      </c>
      <c r="B569" s="2" t="s">
        <v>4472</v>
      </c>
      <c r="C569" s="2"/>
      <c r="D569" s="2" t="s">
        <v>4473</v>
      </c>
      <c r="E569" s="2" t="s">
        <v>4474</v>
      </c>
      <c r="F569" s="2" t="s">
        <v>2108</v>
      </c>
      <c r="G569" s="2" t="s">
        <v>17</v>
      </c>
      <c r="H569" s="2" t="s">
        <v>2109</v>
      </c>
      <c r="I569" t="s">
        <v>1983</v>
      </c>
    </row>
    <row r="570" spans="1:9">
      <c r="A570" s="2" t="s">
        <v>1162</v>
      </c>
      <c r="B570" s="2" t="s">
        <v>4475</v>
      </c>
      <c r="C570" s="2" t="s">
        <v>4476</v>
      </c>
      <c r="D570" s="2" t="s">
        <v>4477</v>
      </c>
      <c r="E570" s="2" t="s">
        <v>4478</v>
      </c>
      <c r="F570" s="2" t="s">
        <v>2418</v>
      </c>
      <c r="G570" s="2" t="s">
        <v>19</v>
      </c>
      <c r="H570" s="2">
        <v>78715</v>
      </c>
      <c r="I570" t="s">
        <v>1975</v>
      </c>
    </row>
    <row r="571" spans="1:9">
      <c r="A571" s="2" t="s">
        <v>4479</v>
      </c>
      <c r="B571" s="2" t="s">
        <v>4480</v>
      </c>
      <c r="C571" s="2" t="s">
        <v>4481</v>
      </c>
      <c r="D571" s="2" t="s">
        <v>4482</v>
      </c>
      <c r="E571" s="2" t="s">
        <v>4483</v>
      </c>
      <c r="F571" s="2" t="s">
        <v>4224</v>
      </c>
      <c r="G571" s="2" t="s">
        <v>19</v>
      </c>
      <c r="H571" s="2">
        <v>44105</v>
      </c>
      <c r="I571" t="s">
        <v>1983</v>
      </c>
    </row>
    <row r="572" spans="1:9">
      <c r="A572" s="2" t="s">
        <v>1165</v>
      </c>
      <c r="B572" s="2" t="s">
        <v>4484</v>
      </c>
      <c r="C572" s="2" t="s">
        <v>4485</v>
      </c>
      <c r="D572" s="2" t="s">
        <v>4486</v>
      </c>
      <c r="E572" s="2" t="s">
        <v>4487</v>
      </c>
      <c r="F572" s="2" t="s">
        <v>4488</v>
      </c>
      <c r="G572" s="2" t="s">
        <v>19</v>
      </c>
      <c r="H572" s="2">
        <v>20784</v>
      </c>
      <c r="I572" t="s">
        <v>1983</v>
      </c>
    </row>
    <row r="573" spans="1:9">
      <c r="A573" s="2" t="s">
        <v>1167</v>
      </c>
      <c r="B573" s="2" t="s">
        <v>4489</v>
      </c>
      <c r="C573" s="2" t="s">
        <v>4490</v>
      </c>
      <c r="D573" s="2" t="s">
        <v>4491</v>
      </c>
      <c r="E573" s="2" t="s">
        <v>4492</v>
      </c>
      <c r="F573" s="2" t="s">
        <v>4493</v>
      </c>
      <c r="G573" s="2" t="s">
        <v>18</v>
      </c>
      <c r="H573" s="2" t="s">
        <v>4494</v>
      </c>
      <c r="I573" t="s">
        <v>1983</v>
      </c>
    </row>
    <row r="574" spans="1:9">
      <c r="A574" s="2" t="s">
        <v>1169</v>
      </c>
      <c r="B574" s="2" t="s">
        <v>4495</v>
      </c>
      <c r="C574" s="2"/>
      <c r="D574" s="2"/>
      <c r="E574" s="2" t="s">
        <v>4496</v>
      </c>
      <c r="F574" s="2" t="s">
        <v>2978</v>
      </c>
      <c r="G574" s="2" t="s">
        <v>19</v>
      </c>
      <c r="H574" s="2">
        <v>91103</v>
      </c>
      <c r="I574" t="s">
        <v>1975</v>
      </c>
    </row>
    <row r="575" spans="1:9">
      <c r="A575" s="2" t="s">
        <v>1171</v>
      </c>
      <c r="B575" s="2" t="s">
        <v>4497</v>
      </c>
      <c r="C575" s="2" t="s">
        <v>4498</v>
      </c>
      <c r="D575" s="2" t="s">
        <v>4499</v>
      </c>
      <c r="E575" s="2" t="s">
        <v>4500</v>
      </c>
      <c r="F575" s="2" t="s">
        <v>3555</v>
      </c>
      <c r="G575" s="2" t="s">
        <v>19</v>
      </c>
      <c r="H575" s="2">
        <v>71161</v>
      </c>
      <c r="I575" t="s">
        <v>1983</v>
      </c>
    </row>
    <row r="576" spans="1:9">
      <c r="A576" s="2" t="s">
        <v>1173</v>
      </c>
      <c r="B576" s="2" t="s">
        <v>4501</v>
      </c>
      <c r="C576" s="2" t="s">
        <v>4502</v>
      </c>
      <c r="D576" s="2"/>
      <c r="E576" s="2" t="s">
        <v>4503</v>
      </c>
      <c r="F576" s="2" t="s">
        <v>2256</v>
      </c>
      <c r="G576" s="2" t="s">
        <v>19</v>
      </c>
      <c r="H576" s="2">
        <v>32590</v>
      </c>
      <c r="I576" t="s">
        <v>1975</v>
      </c>
    </row>
    <row r="577" spans="1:9">
      <c r="A577" s="2" t="s">
        <v>1175</v>
      </c>
      <c r="B577" s="2" t="s">
        <v>4504</v>
      </c>
      <c r="C577" s="2" t="s">
        <v>4505</v>
      </c>
      <c r="D577" s="2" t="s">
        <v>4506</v>
      </c>
      <c r="E577" s="2" t="s">
        <v>4507</v>
      </c>
      <c r="F577" s="2" t="s">
        <v>2018</v>
      </c>
      <c r="G577" s="2" t="s">
        <v>19</v>
      </c>
      <c r="H577" s="2">
        <v>90035</v>
      </c>
      <c r="I577" t="s">
        <v>1983</v>
      </c>
    </row>
    <row r="578" spans="1:9">
      <c r="A578" s="2" t="s">
        <v>1177</v>
      </c>
      <c r="B578" s="2" t="s">
        <v>4508</v>
      </c>
      <c r="C578" s="2" t="s">
        <v>4509</v>
      </c>
      <c r="D578" s="2" t="s">
        <v>4510</v>
      </c>
      <c r="E578" s="2" t="s">
        <v>4511</v>
      </c>
      <c r="F578" s="2" t="s">
        <v>4512</v>
      </c>
      <c r="G578" s="2" t="s">
        <v>19</v>
      </c>
      <c r="H578" s="2">
        <v>27705</v>
      </c>
      <c r="I578" t="s">
        <v>1983</v>
      </c>
    </row>
    <row r="579" spans="1:9">
      <c r="A579" s="2" t="s">
        <v>1152</v>
      </c>
      <c r="B579" s="2" t="s">
        <v>4513</v>
      </c>
      <c r="C579" s="2" t="s">
        <v>4514</v>
      </c>
      <c r="D579" s="2"/>
      <c r="E579" s="2" t="s">
        <v>4515</v>
      </c>
      <c r="F579" s="2" t="s">
        <v>4516</v>
      </c>
      <c r="G579" s="2" t="s">
        <v>18</v>
      </c>
      <c r="H579" s="2" t="s">
        <v>4517</v>
      </c>
      <c r="I579" t="s">
        <v>1983</v>
      </c>
    </row>
    <row r="580" spans="1:9">
      <c r="A580" s="2" t="s">
        <v>1180</v>
      </c>
      <c r="B580" s="2" t="s">
        <v>4518</v>
      </c>
      <c r="C580" s="2" t="s">
        <v>4519</v>
      </c>
      <c r="D580" s="2" t="s">
        <v>4520</v>
      </c>
      <c r="E580" s="2" t="s">
        <v>4521</v>
      </c>
      <c r="F580" s="2" t="s">
        <v>4522</v>
      </c>
      <c r="G580" s="2" t="s">
        <v>17</v>
      </c>
      <c r="H580" s="2" t="s">
        <v>4523</v>
      </c>
      <c r="I580" t="s">
        <v>1983</v>
      </c>
    </row>
    <row r="581" spans="1:9">
      <c r="A581" s="2" t="s">
        <v>4524</v>
      </c>
      <c r="B581" s="2" t="s">
        <v>4525</v>
      </c>
      <c r="C581" s="2" t="s">
        <v>4526</v>
      </c>
      <c r="D581" s="2" t="s">
        <v>4527</v>
      </c>
      <c r="E581" s="2" t="s">
        <v>4528</v>
      </c>
      <c r="F581" s="2" t="s">
        <v>4447</v>
      </c>
      <c r="G581" s="2" t="s">
        <v>17</v>
      </c>
      <c r="H581" s="2" t="s">
        <v>4448</v>
      </c>
      <c r="I581" t="s">
        <v>1983</v>
      </c>
    </row>
    <row r="582" spans="1:9">
      <c r="A582" s="2" t="s">
        <v>1182</v>
      </c>
      <c r="B582" s="2" t="s">
        <v>4529</v>
      </c>
      <c r="C582" s="2" t="s">
        <v>4530</v>
      </c>
      <c r="D582" s="2" t="s">
        <v>4531</v>
      </c>
      <c r="E582" s="2" t="s">
        <v>4532</v>
      </c>
      <c r="F582" s="2" t="s">
        <v>2789</v>
      </c>
      <c r="G582" s="2" t="s">
        <v>19</v>
      </c>
      <c r="H582" s="2">
        <v>90605</v>
      </c>
      <c r="I582" t="s">
        <v>1975</v>
      </c>
    </row>
    <row r="583" spans="1:9">
      <c r="A583" s="2" t="s">
        <v>1184</v>
      </c>
      <c r="B583" s="2" t="s">
        <v>4533</v>
      </c>
      <c r="C583" s="2" t="s">
        <v>4534</v>
      </c>
      <c r="D583" s="2"/>
      <c r="E583" s="2" t="s">
        <v>4535</v>
      </c>
      <c r="F583" s="2" t="s">
        <v>2203</v>
      </c>
      <c r="G583" s="2" t="s">
        <v>18</v>
      </c>
      <c r="H583" s="2" t="s">
        <v>2517</v>
      </c>
      <c r="I583" t="s">
        <v>1975</v>
      </c>
    </row>
    <row r="584" spans="1:9">
      <c r="A584" s="2" t="s">
        <v>1186</v>
      </c>
      <c r="B584" s="2" t="s">
        <v>4536</v>
      </c>
      <c r="C584" s="2" t="s">
        <v>4537</v>
      </c>
      <c r="D584" s="2" t="s">
        <v>4538</v>
      </c>
      <c r="E584" s="2" t="s">
        <v>4539</v>
      </c>
      <c r="F584" s="2" t="s">
        <v>2036</v>
      </c>
      <c r="G584" s="2" t="s">
        <v>19</v>
      </c>
      <c r="H584" s="2">
        <v>23237</v>
      </c>
      <c r="I584" t="s">
        <v>1983</v>
      </c>
    </row>
    <row r="585" spans="1:9">
      <c r="A585" s="2" t="s">
        <v>1188</v>
      </c>
      <c r="B585" s="2" t="s">
        <v>4540</v>
      </c>
      <c r="C585" s="2" t="s">
        <v>4541</v>
      </c>
      <c r="D585" s="2" t="s">
        <v>4542</v>
      </c>
      <c r="E585" s="2" t="s">
        <v>4543</v>
      </c>
      <c r="F585" s="2" t="s">
        <v>4105</v>
      </c>
      <c r="G585" s="2" t="s">
        <v>19</v>
      </c>
      <c r="H585" s="2">
        <v>20167</v>
      </c>
      <c r="I585" t="s">
        <v>1975</v>
      </c>
    </row>
    <row r="586" spans="1:9">
      <c r="A586" s="2" t="s">
        <v>1190</v>
      </c>
      <c r="B586" s="2" t="s">
        <v>4544</v>
      </c>
      <c r="C586" s="2" t="s">
        <v>4545</v>
      </c>
      <c r="D586" s="2" t="s">
        <v>4546</v>
      </c>
      <c r="E586" s="2" t="s">
        <v>4547</v>
      </c>
      <c r="F586" s="2" t="s">
        <v>2656</v>
      </c>
      <c r="G586" s="2" t="s">
        <v>19</v>
      </c>
      <c r="H586" s="2">
        <v>89706</v>
      </c>
      <c r="I586" t="s">
        <v>1983</v>
      </c>
    </row>
    <row r="587" spans="1:9">
      <c r="A587" s="2" t="s">
        <v>4548</v>
      </c>
      <c r="B587" s="2" t="s">
        <v>4549</v>
      </c>
      <c r="C587" s="2" t="s">
        <v>4550</v>
      </c>
      <c r="D587" s="2" t="s">
        <v>4551</v>
      </c>
      <c r="E587" s="2" t="s">
        <v>4552</v>
      </c>
      <c r="F587" s="2" t="s">
        <v>2704</v>
      </c>
      <c r="G587" s="2" t="s">
        <v>17</v>
      </c>
      <c r="H587" s="2" t="s">
        <v>2705</v>
      </c>
      <c r="I587" t="s">
        <v>1975</v>
      </c>
    </row>
    <row r="588" spans="1:9">
      <c r="A588" s="2" t="s">
        <v>1194</v>
      </c>
      <c r="B588" s="2" t="s">
        <v>4553</v>
      </c>
      <c r="C588" s="2"/>
      <c r="D588" s="2" t="s">
        <v>4554</v>
      </c>
      <c r="E588" s="2" t="s">
        <v>4555</v>
      </c>
      <c r="F588" s="2" t="s">
        <v>2264</v>
      </c>
      <c r="G588" s="2" t="s">
        <v>19</v>
      </c>
      <c r="H588" s="2">
        <v>55123</v>
      </c>
      <c r="I588" t="s">
        <v>1983</v>
      </c>
    </row>
    <row r="589" spans="1:9">
      <c r="A589" s="2" t="s">
        <v>1196</v>
      </c>
      <c r="B589" s="2" t="s">
        <v>4556</v>
      </c>
      <c r="C589" s="2" t="s">
        <v>4557</v>
      </c>
      <c r="D589" s="2"/>
      <c r="E589" s="2" t="s">
        <v>4558</v>
      </c>
      <c r="F589" s="2" t="s">
        <v>2598</v>
      </c>
      <c r="G589" s="2" t="s">
        <v>19</v>
      </c>
      <c r="H589" s="2">
        <v>35895</v>
      </c>
      <c r="I589" t="s">
        <v>1975</v>
      </c>
    </row>
    <row r="590" spans="1:9">
      <c r="A590" s="2" t="s">
        <v>1198</v>
      </c>
      <c r="B590" s="2" t="s">
        <v>4559</v>
      </c>
      <c r="C590" s="2" t="s">
        <v>4560</v>
      </c>
      <c r="D590" s="2" t="s">
        <v>4561</v>
      </c>
      <c r="E590" s="2" t="s">
        <v>4562</v>
      </c>
      <c r="F590" s="2" t="s">
        <v>2479</v>
      </c>
      <c r="G590" s="2" t="s">
        <v>19</v>
      </c>
      <c r="H590" s="2">
        <v>88553</v>
      </c>
      <c r="I590" t="s">
        <v>1975</v>
      </c>
    </row>
    <row r="591" spans="1:9">
      <c r="A591" s="2" t="s">
        <v>1200</v>
      </c>
      <c r="B591" s="2" t="s">
        <v>4563</v>
      </c>
      <c r="C591" s="2" t="s">
        <v>4564</v>
      </c>
      <c r="D591" s="2"/>
      <c r="E591" s="2" t="s">
        <v>4565</v>
      </c>
      <c r="F591" s="2" t="s">
        <v>4566</v>
      </c>
      <c r="G591" s="2" t="s">
        <v>19</v>
      </c>
      <c r="H591" s="2">
        <v>30033</v>
      </c>
      <c r="I591" t="s">
        <v>1983</v>
      </c>
    </row>
    <row r="592" spans="1:9">
      <c r="A592" s="2" t="s">
        <v>1202</v>
      </c>
      <c r="B592" s="2" t="s">
        <v>4567</v>
      </c>
      <c r="C592" s="2" t="s">
        <v>4568</v>
      </c>
      <c r="D592" s="2" t="s">
        <v>4569</v>
      </c>
      <c r="E592" s="2" t="s">
        <v>4570</v>
      </c>
      <c r="F592" s="2" t="s">
        <v>2647</v>
      </c>
      <c r="G592" s="2" t="s">
        <v>19</v>
      </c>
      <c r="H592" s="2">
        <v>92668</v>
      </c>
      <c r="I592" t="s">
        <v>1975</v>
      </c>
    </row>
    <row r="593" spans="1:9">
      <c r="A593" s="2" t="s">
        <v>1204</v>
      </c>
      <c r="B593" s="2" t="s">
        <v>4571</v>
      </c>
      <c r="C593" s="2" t="s">
        <v>4572</v>
      </c>
      <c r="D593" s="2"/>
      <c r="E593" s="2" t="s">
        <v>4573</v>
      </c>
      <c r="F593" s="2" t="s">
        <v>4574</v>
      </c>
      <c r="G593" s="2" t="s">
        <v>19</v>
      </c>
      <c r="H593" s="2">
        <v>92648</v>
      </c>
      <c r="I593" t="s">
        <v>1975</v>
      </c>
    </row>
    <row r="594" spans="1:9">
      <c r="A594" s="2" t="s">
        <v>1206</v>
      </c>
      <c r="B594" s="2" t="s">
        <v>4575</v>
      </c>
      <c r="C594" s="2"/>
      <c r="D594" s="2" t="s">
        <v>4576</v>
      </c>
      <c r="E594" s="2" t="s">
        <v>4577</v>
      </c>
      <c r="F594" s="2" t="s">
        <v>3152</v>
      </c>
      <c r="G594" s="2" t="s">
        <v>19</v>
      </c>
      <c r="H594" s="2">
        <v>53285</v>
      </c>
      <c r="I594" t="s">
        <v>1983</v>
      </c>
    </row>
    <row r="595" spans="1:9">
      <c r="A595" s="2" t="s">
        <v>1192</v>
      </c>
      <c r="B595" s="2" t="s">
        <v>4578</v>
      </c>
      <c r="C595" s="2" t="s">
        <v>4579</v>
      </c>
      <c r="D595" s="2"/>
      <c r="E595" s="2" t="s">
        <v>4580</v>
      </c>
      <c r="F595" s="2" t="s">
        <v>2147</v>
      </c>
      <c r="G595" s="2" t="s">
        <v>18</v>
      </c>
      <c r="H595" s="2" t="s">
        <v>2148</v>
      </c>
      <c r="I595" t="s">
        <v>1975</v>
      </c>
    </row>
    <row r="596" spans="1:9">
      <c r="A596" s="2" t="s">
        <v>1209</v>
      </c>
      <c r="B596" s="2" t="s">
        <v>4581</v>
      </c>
      <c r="C596" s="2" t="s">
        <v>4582</v>
      </c>
      <c r="D596" s="2" t="s">
        <v>4583</v>
      </c>
      <c r="E596" s="2" t="s">
        <v>4584</v>
      </c>
      <c r="F596" s="2" t="s">
        <v>2709</v>
      </c>
      <c r="G596" s="2" t="s">
        <v>19</v>
      </c>
      <c r="H596" s="2">
        <v>37416</v>
      </c>
      <c r="I596" t="s">
        <v>1983</v>
      </c>
    </row>
    <row r="597" spans="1:9">
      <c r="A597" s="2" t="s">
        <v>1211</v>
      </c>
      <c r="B597" s="2" t="s">
        <v>4585</v>
      </c>
      <c r="C597" s="2"/>
      <c r="D597" s="2"/>
      <c r="E597" s="2" t="s">
        <v>4586</v>
      </c>
      <c r="F597" s="2" t="s">
        <v>4587</v>
      </c>
      <c r="G597" s="2" t="s">
        <v>18</v>
      </c>
      <c r="H597" s="2" t="s">
        <v>4588</v>
      </c>
      <c r="I597" t="s">
        <v>1983</v>
      </c>
    </row>
    <row r="598" spans="1:9">
      <c r="A598" s="2" t="s">
        <v>1213</v>
      </c>
      <c r="B598" s="2" t="s">
        <v>4589</v>
      </c>
      <c r="C598" s="2" t="s">
        <v>4590</v>
      </c>
      <c r="D598" s="2" t="s">
        <v>4591</v>
      </c>
      <c r="E598" s="2" t="s">
        <v>4592</v>
      </c>
      <c r="F598" s="2" t="s">
        <v>2318</v>
      </c>
      <c r="G598" s="2" t="s">
        <v>19</v>
      </c>
      <c r="H598" s="2">
        <v>43268</v>
      </c>
      <c r="I598" t="s">
        <v>1983</v>
      </c>
    </row>
    <row r="599" spans="1:9">
      <c r="A599" s="2" t="s">
        <v>1215</v>
      </c>
      <c r="B599" s="2" t="s">
        <v>4593</v>
      </c>
      <c r="C599" s="2" t="s">
        <v>4594</v>
      </c>
      <c r="D599" s="2" t="s">
        <v>4595</v>
      </c>
      <c r="E599" s="2" t="s">
        <v>4596</v>
      </c>
      <c r="F599" s="2" t="s">
        <v>2978</v>
      </c>
      <c r="G599" s="2" t="s">
        <v>19</v>
      </c>
      <c r="H599" s="2">
        <v>91186</v>
      </c>
      <c r="I599" t="s">
        <v>1975</v>
      </c>
    </row>
    <row r="600" spans="1:9">
      <c r="A600" s="2" t="s">
        <v>1217</v>
      </c>
      <c r="B600" s="2" t="s">
        <v>4597</v>
      </c>
      <c r="C600" s="2" t="s">
        <v>4598</v>
      </c>
      <c r="D600" s="2" t="s">
        <v>4599</v>
      </c>
      <c r="E600" s="2" t="s">
        <v>4600</v>
      </c>
      <c r="F600" s="2" t="s">
        <v>3121</v>
      </c>
      <c r="G600" s="2" t="s">
        <v>19</v>
      </c>
      <c r="H600" s="2">
        <v>94159</v>
      </c>
      <c r="I600" t="s">
        <v>1975</v>
      </c>
    </row>
    <row r="601" spans="1:9">
      <c r="A601" s="2" t="s">
        <v>1219</v>
      </c>
      <c r="B601" s="2" t="s">
        <v>4601</v>
      </c>
      <c r="C601" s="2" t="s">
        <v>4602</v>
      </c>
      <c r="D601" s="2"/>
      <c r="E601" s="2" t="s">
        <v>4603</v>
      </c>
      <c r="F601" s="2" t="s">
        <v>3555</v>
      </c>
      <c r="G601" s="2" t="s">
        <v>19</v>
      </c>
      <c r="H601" s="2">
        <v>71137</v>
      </c>
      <c r="I601" t="s">
        <v>1975</v>
      </c>
    </row>
    <row r="602" spans="1:9">
      <c r="A602" s="2" t="s">
        <v>1221</v>
      </c>
      <c r="B602" s="2" t="s">
        <v>4604</v>
      </c>
      <c r="C602" s="2" t="s">
        <v>4605</v>
      </c>
      <c r="D602" s="2" t="s">
        <v>4606</v>
      </c>
      <c r="E602" s="2" t="s">
        <v>4607</v>
      </c>
      <c r="F602" s="2" t="s">
        <v>2049</v>
      </c>
      <c r="G602" s="2" t="s">
        <v>19</v>
      </c>
      <c r="H602" s="2">
        <v>19141</v>
      </c>
      <c r="I602" t="s">
        <v>1983</v>
      </c>
    </row>
    <row r="603" spans="1:9">
      <c r="A603" s="2" t="s">
        <v>1223</v>
      </c>
      <c r="B603" s="2" t="s">
        <v>4608</v>
      </c>
      <c r="C603" s="2" t="s">
        <v>4609</v>
      </c>
      <c r="D603" s="2" t="s">
        <v>4610</v>
      </c>
      <c r="E603" s="2" t="s">
        <v>4611</v>
      </c>
      <c r="F603" s="2" t="s">
        <v>2040</v>
      </c>
      <c r="G603" s="2" t="s">
        <v>19</v>
      </c>
      <c r="H603" s="2">
        <v>41905</v>
      </c>
      <c r="I603" t="s">
        <v>1975</v>
      </c>
    </row>
    <row r="604" spans="1:9">
      <c r="A604" s="2" t="s">
        <v>1225</v>
      </c>
      <c r="B604" s="2" t="s">
        <v>4612</v>
      </c>
      <c r="C604" s="2" t="s">
        <v>4613</v>
      </c>
      <c r="D604" s="2" t="s">
        <v>4614</v>
      </c>
      <c r="E604" s="2" t="s">
        <v>4615</v>
      </c>
      <c r="F604" s="2" t="s">
        <v>2242</v>
      </c>
      <c r="G604" s="2" t="s">
        <v>19</v>
      </c>
      <c r="H604" s="2">
        <v>43666</v>
      </c>
      <c r="I604" t="s">
        <v>1975</v>
      </c>
    </row>
    <row r="605" spans="1:9">
      <c r="A605" s="2" t="s">
        <v>1227</v>
      </c>
      <c r="B605" s="2" t="s">
        <v>4616</v>
      </c>
      <c r="C605" s="2" t="s">
        <v>4617</v>
      </c>
      <c r="D605" s="2"/>
      <c r="E605" s="2" t="s">
        <v>4618</v>
      </c>
      <c r="F605" s="2" t="s">
        <v>2371</v>
      </c>
      <c r="G605" s="2" t="s">
        <v>19</v>
      </c>
      <c r="H605" s="2">
        <v>80945</v>
      </c>
      <c r="I605" t="s">
        <v>1983</v>
      </c>
    </row>
    <row r="606" spans="1:9">
      <c r="A606" s="2" t="s">
        <v>1229</v>
      </c>
      <c r="B606" s="2" t="s">
        <v>4619</v>
      </c>
      <c r="C606" s="2"/>
      <c r="D606" s="2" t="s">
        <v>4620</v>
      </c>
      <c r="E606" s="2" t="s">
        <v>4621</v>
      </c>
      <c r="F606" s="2" t="s">
        <v>3870</v>
      </c>
      <c r="G606" s="2" t="s">
        <v>17</v>
      </c>
      <c r="H606" s="2" t="s">
        <v>3871</v>
      </c>
      <c r="I606" t="s">
        <v>1983</v>
      </c>
    </row>
    <row r="607" spans="1:9">
      <c r="A607" s="2" t="s">
        <v>1231</v>
      </c>
      <c r="B607" s="2" t="s">
        <v>4622</v>
      </c>
      <c r="C607" s="2" t="s">
        <v>4623</v>
      </c>
      <c r="D607" s="2" t="s">
        <v>4624</v>
      </c>
      <c r="E607" s="2" t="s">
        <v>4625</v>
      </c>
      <c r="F607" s="2" t="s">
        <v>4626</v>
      </c>
      <c r="G607" s="2" t="s">
        <v>19</v>
      </c>
      <c r="H607" s="2">
        <v>15274</v>
      </c>
      <c r="I607" t="s">
        <v>1975</v>
      </c>
    </row>
    <row r="608" spans="1:9">
      <c r="A608" s="2" t="s">
        <v>4627</v>
      </c>
      <c r="B608" s="2" t="s">
        <v>4628</v>
      </c>
      <c r="C608" s="2" t="s">
        <v>4629</v>
      </c>
      <c r="D608" s="2" t="s">
        <v>4630</v>
      </c>
      <c r="E608" s="2" t="s">
        <v>4631</v>
      </c>
      <c r="F608" s="2" t="s">
        <v>3419</v>
      </c>
      <c r="G608" s="2" t="s">
        <v>19</v>
      </c>
      <c r="H608" s="2">
        <v>33411</v>
      </c>
      <c r="I608" t="s">
        <v>1983</v>
      </c>
    </row>
    <row r="609" spans="1:9">
      <c r="A609" s="2" t="s">
        <v>1234</v>
      </c>
      <c r="B609" s="2" t="s">
        <v>4632</v>
      </c>
      <c r="C609" s="2" t="s">
        <v>4633</v>
      </c>
      <c r="D609" s="2" t="s">
        <v>4634</v>
      </c>
      <c r="E609" s="2" t="s">
        <v>4635</v>
      </c>
      <c r="F609" s="2" t="s">
        <v>3555</v>
      </c>
      <c r="G609" s="2" t="s">
        <v>19</v>
      </c>
      <c r="H609" s="2">
        <v>71115</v>
      </c>
      <c r="I609" t="s">
        <v>1975</v>
      </c>
    </row>
    <row r="610" spans="1:9">
      <c r="A610" s="2" t="s">
        <v>1236</v>
      </c>
      <c r="B610" s="2" t="s">
        <v>4636</v>
      </c>
      <c r="C610" s="2"/>
      <c r="D610" s="2"/>
      <c r="E610" s="2" t="s">
        <v>4637</v>
      </c>
      <c r="F610" s="2" t="s">
        <v>4224</v>
      </c>
      <c r="G610" s="2" t="s">
        <v>19</v>
      </c>
      <c r="H610" s="2">
        <v>44105</v>
      </c>
      <c r="I610" t="s">
        <v>1983</v>
      </c>
    </row>
    <row r="611" spans="1:9">
      <c r="A611" s="2" t="s">
        <v>1238</v>
      </c>
      <c r="B611" s="2" t="s">
        <v>4638</v>
      </c>
      <c r="C611" s="2" t="s">
        <v>4639</v>
      </c>
      <c r="D611" s="2" t="s">
        <v>4640</v>
      </c>
      <c r="E611" s="2" t="s">
        <v>4641</v>
      </c>
      <c r="F611" s="2" t="s">
        <v>3152</v>
      </c>
      <c r="G611" s="2" t="s">
        <v>19</v>
      </c>
      <c r="H611" s="2">
        <v>53234</v>
      </c>
      <c r="I611" t="s">
        <v>1975</v>
      </c>
    </row>
    <row r="612" spans="1:9">
      <c r="A612" s="2" t="s">
        <v>1240</v>
      </c>
      <c r="B612" s="2" t="s">
        <v>4642</v>
      </c>
      <c r="C612" s="2" t="s">
        <v>4643</v>
      </c>
      <c r="D612" s="2" t="s">
        <v>4644</v>
      </c>
      <c r="E612" s="2" t="s">
        <v>4645</v>
      </c>
      <c r="F612" s="2" t="s">
        <v>2222</v>
      </c>
      <c r="G612" s="2" t="s">
        <v>19</v>
      </c>
      <c r="H612" s="2">
        <v>33345</v>
      </c>
      <c r="I612" t="s">
        <v>1983</v>
      </c>
    </row>
    <row r="613" spans="1:9">
      <c r="A613" s="2" t="s">
        <v>1242</v>
      </c>
      <c r="B613" s="2" t="s">
        <v>4646</v>
      </c>
      <c r="C613" s="2" t="s">
        <v>4647</v>
      </c>
      <c r="D613" s="2" t="s">
        <v>4648</v>
      </c>
      <c r="E613" s="2" t="s">
        <v>4649</v>
      </c>
      <c r="F613" s="2" t="s">
        <v>3555</v>
      </c>
      <c r="G613" s="2" t="s">
        <v>19</v>
      </c>
      <c r="H613" s="2">
        <v>71105</v>
      </c>
      <c r="I613" t="s">
        <v>1983</v>
      </c>
    </row>
    <row r="614" spans="1:9">
      <c r="A614" s="2" t="s">
        <v>1244</v>
      </c>
      <c r="B614" s="2" t="s">
        <v>4650</v>
      </c>
      <c r="C614" s="2"/>
      <c r="D614" s="2" t="s">
        <v>4651</v>
      </c>
      <c r="E614" s="2" t="s">
        <v>4652</v>
      </c>
      <c r="F614" s="2" t="s">
        <v>2397</v>
      </c>
      <c r="G614" s="2" t="s">
        <v>17</v>
      </c>
      <c r="H614" s="2" t="s">
        <v>2576</v>
      </c>
      <c r="I614" t="s">
        <v>1983</v>
      </c>
    </row>
    <row r="615" spans="1:9">
      <c r="A615" s="2" t="s">
        <v>1246</v>
      </c>
      <c r="B615" s="2" t="s">
        <v>4653</v>
      </c>
      <c r="C615" s="2"/>
      <c r="D615" s="2" t="s">
        <v>4654</v>
      </c>
      <c r="E615" s="2" t="s">
        <v>4655</v>
      </c>
      <c r="F615" s="2" t="s">
        <v>3030</v>
      </c>
      <c r="G615" s="2" t="s">
        <v>19</v>
      </c>
      <c r="H615" s="2">
        <v>94207</v>
      </c>
      <c r="I615" t="s">
        <v>1983</v>
      </c>
    </row>
    <row r="616" spans="1:9">
      <c r="A616" s="2" t="s">
        <v>4656</v>
      </c>
      <c r="B616" s="2" t="s">
        <v>4657</v>
      </c>
      <c r="C616" s="2"/>
      <c r="D616" s="2" t="s">
        <v>4658</v>
      </c>
      <c r="E616" s="2" t="s">
        <v>4659</v>
      </c>
      <c r="F616" s="2" t="s">
        <v>2537</v>
      </c>
      <c r="G616" s="2" t="s">
        <v>19</v>
      </c>
      <c r="H616" s="2">
        <v>37240</v>
      </c>
      <c r="I616" t="s">
        <v>1983</v>
      </c>
    </row>
    <row r="617" spans="1:9">
      <c r="A617" s="2" t="s">
        <v>1249</v>
      </c>
      <c r="B617" s="2" t="s">
        <v>4660</v>
      </c>
      <c r="C617" s="2" t="s">
        <v>4661</v>
      </c>
      <c r="D617" s="2" t="s">
        <v>4662</v>
      </c>
      <c r="E617" s="2" t="s">
        <v>4663</v>
      </c>
      <c r="F617" s="2" t="s">
        <v>2581</v>
      </c>
      <c r="G617" s="2" t="s">
        <v>19</v>
      </c>
      <c r="H617" s="2">
        <v>58122</v>
      </c>
      <c r="I617" t="s">
        <v>1975</v>
      </c>
    </row>
    <row r="618" spans="1:9">
      <c r="A618" s="2" t="s">
        <v>1251</v>
      </c>
      <c r="B618" s="2" t="s">
        <v>4664</v>
      </c>
      <c r="C618" s="2" t="s">
        <v>4665</v>
      </c>
      <c r="D618" s="2" t="s">
        <v>4666</v>
      </c>
      <c r="E618" s="2" t="s">
        <v>4667</v>
      </c>
      <c r="F618" s="2" t="s">
        <v>4668</v>
      </c>
      <c r="G618" s="2" t="s">
        <v>18</v>
      </c>
      <c r="H618" s="2" t="s">
        <v>4669</v>
      </c>
      <c r="I618" t="s">
        <v>1983</v>
      </c>
    </row>
    <row r="619" spans="1:9">
      <c r="A619" s="2" t="s">
        <v>1253</v>
      </c>
      <c r="B619" s="2" t="s">
        <v>4670</v>
      </c>
      <c r="C619" s="2" t="s">
        <v>4671</v>
      </c>
      <c r="D619" s="2" t="s">
        <v>4672</v>
      </c>
      <c r="E619" s="2" t="s">
        <v>4673</v>
      </c>
      <c r="F619" s="2" t="s">
        <v>2847</v>
      </c>
      <c r="G619" s="2" t="s">
        <v>19</v>
      </c>
      <c r="H619" s="2">
        <v>74184</v>
      </c>
      <c r="I619" t="s">
        <v>1983</v>
      </c>
    </row>
    <row r="620" spans="1:9">
      <c r="A620" s="2" t="s">
        <v>1255</v>
      </c>
      <c r="B620" s="2" t="s">
        <v>4674</v>
      </c>
      <c r="C620" s="2" t="s">
        <v>4675</v>
      </c>
      <c r="D620" s="2" t="s">
        <v>4676</v>
      </c>
      <c r="E620" s="2" t="s">
        <v>4677</v>
      </c>
      <c r="F620" s="2" t="s">
        <v>2069</v>
      </c>
      <c r="G620" s="2" t="s">
        <v>19</v>
      </c>
      <c r="H620" s="2">
        <v>10045</v>
      </c>
      <c r="I620" t="s">
        <v>1975</v>
      </c>
    </row>
    <row r="621" spans="1:9">
      <c r="A621" s="2" t="s">
        <v>1257</v>
      </c>
      <c r="B621" s="2" t="s">
        <v>4678</v>
      </c>
      <c r="C621" s="2" t="s">
        <v>4679</v>
      </c>
      <c r="D621" s="2" t="s">
        <v>4680</v>
      </c>
      <c r="E621" s="2" t="s">
        <v>4681</v>
      </c>
      <c r="F621" s="2" t="s">
        <v>4682</v>
      </c>
      <c r="G621" s="2" t="s">
        <v>19</v>
      </c>
      <c r="H621" s="2">
        <v>34642</v>
      </c>
      <c r="I621" t="s">
        <v>1975</v>
      </c>
    </row>
    <row r="622" spans="1:9">
      <c r="A622" s="2" t="s">
        <v>4683</v>
      </c>
      <c r="B622" s="2" t="s">
        <v>4684</v>
      </c>
      <c r="C622" s="2" t="s">
        <v>4685</v>
      </c>
      <c r="D622" s="2" t="s">
        <v>4686</v>
      </c>
      <c r="E622" s="2" t="s">
        <v>4687</v>
      </c>
      <c r="F622" s="2" t="s">
        <v>3949</v>
      </c>
      <c r="G622" s="2" t="s">
        <v>17</v>
      </c>
      <c r="H622" s="2" t="s">
        <v>3950</v>
      </c>
      <c r="I622" t="s">
        <v>1983</v>
      </c>
    </row>
    <row r="623" spans="1:9">
      <c r="A623" s="2" t="s">
        <v>1261</v>
      </c>
      <c r="B623" s="2" t="s">
        <v>4688</v>
      </c>
      <c r="C623" s="2" t="s">
        <v>4689</v>
      </c>
      <c r="D623" s="2" t="s">
        <v>4690</v>
      </c>
      <c r="E623" s="2" t="s">
        <v>4691</v>
      </c>
      <c r="F623" s="2" t="s">
        <v>2054</v>
      </c>
      <c r="G623" s="2" t="s">
        <v>19</v>
      </c>
      <c r="H623" s="2">
        <v>97296</v>
      </c>
      <c r="I623" t="s">
        <v>1983</v>
      </c>
    </row>
    <row r="624" spans="1:9">
      <c r="A624" s="2" t="s">
        <v>1263</v>
      </c>
      <c r="B624" s="2" t="s">
        <v>4692</v>
      </c>
      <c r="C624" s="2" t="s">
        <v>4693</v>
      </c>
      <c r="D624" s="2"/>
      <c r="E624" s="2" t="s">
        <v>4694</v>
      </c>
      <c r="F624" s="2" t="s">
        <v>3401</v>
      </c>
      <c r="G624" s="2" t="s">
        <v>19</v>
      </c>
      <c r="H624" s="2">
        <v>89115</v>
      </c>
      <c r="I624" t="s">
        <v>1983</v>
      </c>
    </row>
    <row r="625" spans="1:9">
      <c r="A625" s="2" t="s">
        <v>1265</v>
      </c>
      <c r="B625" s="2" t="s">
        <v>4695</v>
      </c>
      <c r="C625" s="2"/>
      <c r="D625" s="2" t="s">
        <v>4696</v>
      </c>
      <c r="E625" s="2" t="s">
        <v>4697</v>
      </c>
      <c r="F625" s="2" t="s">
        <v>4698</v>
      </c>
      <c r="G625" s="2" t="s">
        <v>18</v>
      </c>
      <c r="H625" s="2" t="s">
        <v>4699</v>
      </c>
      <c r="I625" t="s">
        <v>1983</v>
      </c>
    </row>
    <row r="626" spans="1:9">
      <c r="A626" s="2" t="s">
        <v>1267</v>
      </c>
      <c r="B626" s="2" t="s">
        <v>4700</v>
      </c>
      <c r="C626" s="2" t="s">
        <v>4701</v>
      </c>
      <c r="D626" s="2"/>
      <c r="E626" s="2" t="s">
        <v>4702</v>
      </c>
      <c r="F626" s="2" t="s">
        <v>4703</v>
      </c>
      <c r="G626" s="2" t="s">
        <v>17</v>
      </c>
      <c r="H626" s="2" t="s">
        <v>4704</v>
      </c>
      <c r="I626" t="s">
        <v>1975</v>
      </c>
    </row>
    <row r="627" spans="1:9">
      <c r="A627" s="2" t="s">
        <v>1269</v>
      </c>
      <c r="B627" s="2" t="s">
        <v>4705</v>
      </c>
      <c r="C627" s="2" t="s">
        <v>4706</v>
      </c>
      <c r="D627" s="2" t="s">
        <v>4707</v>
      </c>
      <c r="E627" s="2" t="s">
        <v>4708</v>
      </c>
      <c r="F627" s="2" t="s">
        <v>3121</v>
      </c>
      <c r="G627" s="2" t="s">
        <v>19</v>
      </c>
      <c r="H627" s="2">
        <v>94159</v>
      </c>
      <c r="I627" t="s">
        <v>1983</v>
      </c>
    </row>
    <row r="628" spans="1:9">
      <c r="A628" s="2" t="s">
        <v>1271</v>
      </c>
      <c r="B628" s="2" t="s">
        <v>4709</v>
      </c>
      <c r="C628" s="2" t="s">
        <v>4710</v>
      </c>
      <c r="D628" s="2" t="s">
        <v>4711</v>
      </c>
      <c r="E628" s="2" t="s">
        <v>4712</v>
      </c>
      <c r="F628" s="2" t="s">
        <v>4626</v>
      </c>
      <c r="G628" s="2" t="s">
        <v>19</v>
      </c>
      <c r="H628" s="2">
        <v>15274</v>
      </c>
      <c r="I628" t="s">
        <v>1983</v>
      </c>
    </row>
    <row r="629" spans="1:9">
      <c r="A629" s="2" t="s">
        <v>1273</v>
      </c>
      <c r="B629" s="2" t="s">
        <v>4713</v>
      </c>
      <c r="C629" s="2" t="s">
        <v>4714</v>
      </c>
      <c r="D629" s="2" t="s">
        <v>4715</v>
      </c>
      <c r="E629" s="2" t="s">
        <v>4716</v>
      </c>
      <c r="F629" s="2" t="s">
        <v>2059</v>
      </c>
      <c r="G629" s="2" t="s">
        <v>19</v>
      </c>
      <c r="H629" s="2">
        <v>77281</v>
      </c>
      <c r="I629" t="s">
        <v>1975</v>
      </c>
    </row>
    <row r="630" spans="1:9">
      <c r="A630" s="2" t="s">
        <v>1275</v>
      </c>
      <c r="B630" s="2" t="s">
        <v>4717</v>
      </c>
      <c r="C630" s="2" t="s">
        <v>4718</v>
      </c>
      <c r="D630" s="2" t="s">
        <v>4719</v>
      </c>
      <c r="E630" s="2" t="s">
        <v>4720</v>
      </c>
      <c r="F630" s="2" t="s">
        <v>4721</v>
      </c>
      <c r="G630" s="2" t="s">
        <v>17</v>
      </c>
      <c r="H630" s="2" t="s">
        <v>2064</v>
      </c>
      <c r="I630" t="s">
        <v>1975</v>
      </c>
    </row>
    <row r="631" spans="1:9">
      <c r="A631" s="2" t="s">
        <v>1259</v>
      </c>
      <c r="B631" s="2" t="s">
        <v>4722</v>
      </c>
      <c r="C631" s="2" t="s">
        <v>4723</v>
      </c>
      <c r="D631" s="2"/>
      <c r="E631" s="2" t="s">
        <v>4724</v>
      </c>
      <c r="F631" s="2" t="s">
        <v>2222</v>
      </c>
      <c r="G631" s="2" t="s">
        <v>19</v>
      </c>
      <c r="H631" s="2">
        <v>33345</v>
      </c>
      <c r="I631" t="s">
        <v>1983</v>
      </c>
    </row>
    <row r="632" spans="1:9">
      <c r="A632" s="2" t="s">
        <v>4725</v>
      </c>
      <c r="B632" s="2" t="s">
        <v>4726</v>
      </c>
      <c r="C632" s="2" t="s">
        <v>4727</v>
      </c>
      <c r="D632" s="2" t="s">
        <v>4728</v>
      </c>
      <c r="E632" s="2" t="s">
        <v>4729</v>
      </c>
      <c r="F632" s="2" t="s">
        <v>3210</v>
      </c>
      <c r="G632" s="2" t="s">
        <v>19</v>
      </c>
      <c r="H632" s="2">
        <v>76210</v>
      </c>
      <c r="I632" t="s">
        <v>1983</v>
      </c>
    </row>
    <row r="633" spans="1:9">
      <c r="A633" s="2" t="s">
        <v>4730</v>
      </c>
      <c r="B633" s="2" t="s">
        <v>4731</v>
      </c>
      <c r="C633" s="2" t="s">
        <v>4732</v>
      </c>
      <c r="D633" s="2" t="s">
        <v>4733</v>
      </c>
      <c r="E633" s="2" t="s">
        <v>4734</v>
      </c>
      <c r="F633" s="2" t="s">
        <v>3998</v>
      </c>
      <c r="G633" s="2" t="s">
        <v>17</v>
      </c>
      <c r="H633" s="2" t="s">
        <v>2802</v>
      </c>
      <c r="I633" t="s">
        <v>1975</v>
      </c>
    </row>
    <row r="634" spans="1:9">
      <c r="A634" s="2" t="s">
        <v>1277</v>
      </c>
      <c r="B634" s="2" t="s">
        <v>4735</v>
      </c>
      <c r="C634" s="2" t="s">
        <v>4736</v>
      </c>
      <c r="D634" s="2" t="s">
        <v>4737</v>
      </c>
      <c r="E634" s="2" t="s">
        <v>4738</v>
      </c>
      <c r="F634" s="2" t="s">
        <v>2018</v>
      </c>
      <c r="G634" s="2" t="s">
        <v>19</v>
      </c>
      <c r="H634" s="2">
        <v>90005</v>
      </c>
      <c r="I634" t="s">
        <v>1983</v>
      </c>
    </row>
    <row r="635" spans="1:9">
      <c r="A635" s="2" t="s">
        <v>1279</v>
      </c>
      <c r="B635" s="2" t="s">
        <v>4739</v>
      </c>
      <c r="C635" s="2" t="s">
        <v>4740</v>
      </c>
      <c r="D635" s="2" t="s">
        <v>4741</v>
      </c>
      <c r="E635" s="2" t="s">
        <v>4742</v>
      </c>
      <c r="F635" s="2" t="s">
        <v>3035</v>
      </c>
      <c r="G635" s="2" t="s">
        <v>19</v>
      </c>
      <c r="H635" s="2">
        <v>18706</v>
      </c>
      <c r="I635" t="s">
        <v>1983</v>
      </c>
    </row>
    <row r="636" spans="1:9">
      <c r="A636" s="2" t="s">
        <v>1281</v>
      </c>
      <c r="B636" s="2" t="s">
        <v>4743</v>
      </c>
      <c r="C636" s="2" t="s">
        <v>4744</v>
      </c>
      <c r="D636" s="2" t="s">
        <v>4745</v>
      </c>
      <c r="E636" s="2" t="s">
        <v>4746</v>
      </c>
      <c r="F636" s="2" t="s">
        <v>3210</v>
      </c>
      <c r="G636" s="2" t="s">
        <v>19</v>
      </c>
      <c r="H636" s="2">
        <v>76205</v>
      </c>
      <c r="I636" t="s">
        <v>1983</v>
      </c>
    </row>
    <row r="637" spans="1:9">
      <c r="A637" s="2" t="s">
        <v>1283</v>
      </c>
      <c r="B637" s="2" t="s">
        <v>4747</v>
      </c>
      <c r="C637" s="2" t="s">
        <v>4748</v>
      </c>
      <c r="D637" s="2" t="s">
        <v>4749</v>
      </c>
      <c r="E637" s="2" t="s">
        <v>4750</v>
      </c>
      <c r="F637" s="2" t="s">
        <v>2988</v>
      </c>
      <c r="G637" s="2" t="s">
        <v>19</v>
      </c>
      <c r="H637" s="2">
        <v>64082</v>
      </c>
      <c r="I637" t="s">
        <v>1975</v>
      </c>
    </row>
    <row r="638" spans="1:9">
      <c r="A638" s="2" t="s">
        <v>1285</v>
      </c>
      <c r="B638" s="2" t="s">
        <v>4751</v>
      </c>
      <c r="C638" s="2" t="s">
        <v>4752</v>
      </c>
      <c r="D638" s="2" t="s">
        <v>4753</v>
      </c>
      <c r="E638" s="2" t="s">
        <v>4754</v>
      </c>
      <c r="F638" s="2" t="s">
        <v>2158</v>
      </c>
      <c r="G638" s="2" t="s">
        <v>19</v>
      </c>
      <c r="H638" s="2">
        <v>72209</v>
      </c>
      <c r="I638" t="s">
        <v>1975</v>
      </c>
    </row>
    <row r="639" spans="1:9">
      <c r="A639" s="2" t="s">
        <v>1287</v>
      </c>
      <c r="B639" s="2" t="s">
        <v>4755</v>
      </c>
      <c r="C639" s="2" t="s">
        <v>4756</v>
      </c>
      <c r="D639" s="2" t="s">
        <v>4757</v>
      </c>
      <c r="E639" s="2" t="s">
        <v>4758</v>
      </c>
      <c r="F639" s="2" t="s">
        <v>4759</v>
      </c>
      <c r="G639" s="2" t="s">
        <v>17</v>
      </c>
      <c r="H639" s="2" t="s">
        <v>2862</v>
      </c>
      <c r="I639" t="s">
        <v>1975</v>
      </c>
    </row>
    <row r="640" spans="1:9">
      <c r="A640" s="2" t="s">
        <v>1289</v>
      </c>
      <c r="B640" s="2" t="s">
        <v>4760</v>
      </c>
      <c r="C640" s="2"/>
      <c r="D640" s="2" t="s">
        <v>4761</v>
      </c>
      <c r="E640" s="2" t="s">
        <v>4762</v>
      </c>
      <c r="F640" s="2" t="s">
        <v>4447</v>
      </c>
      <c r="G640" s="2" t="s">
        <v>17</v>
      </c>
      <c r="H640" s="2" t="s">
        <v>4448</v>
      </c>
      <c r="I640" t="s">
        <v>1975</v>
      </c>
    </row>
    <row r="641" spans="1:9">
      <c r="A641" s="2" t="s">
        <v>1291</v>
      </c>
      <c r="B641" s="2" t="s">
        <v>4763</v>
      </c>
      <c r="C641" s="2" t="s">
        <v>4764</v>
      </c>
      <c r="D641" s="2" t="s">
        <v>4765</v>
      </c>
      <c r="E641" s="2" t="s">
        <v>4766</v>
      </c>
      <c r="F641" s="2" t="s">
        <v>3174</v>
      </c>
      <c r="G641" s="2" t="s">
        <v>19</v>
      </c>
      <c r="H641" s="2">
        <v>16534</v>
      </c>
      <c r="I641" t="s">
        <v>1975</v>
      </c>
    </row>
    <row r="642" spans="1:9">
      <c r="A642" s="2" t="s">
        <v>4767</v>
      </c>
      <c r="B642" s="2" t="s">
        <v>4768</v>
      </c>
      <c r="C642" s="2"/>
      <c r="D642" s="2" t="s">
        <v>4769</v>
      </c>
      <c r="E642" s="2" t="s">
        <v>4770</v>
      </c>
      <c r="F642" s="2" t="s">
        <v>3195</v>
      </c>
      <c r="G642" s="2" t="s">
        <v>18</v>
      </c>
      <c r="H642" s="2" t="s">
        <v>3196</v>
      </c>
      <c r="I642" t="s">
        <v>1983</v>
      </c>
    </row>
    <row r="643" spans="1:9">
      <c r="A643" s="2" t="s">
        <v>1295</v>
      </c>
      <c r="B643" s="2" t="s">
        <v>4771</v>
      </c>
      <c r="C643" s="2" t="s">
        <v>4772</v>
      </c>
      <c r="D643" s="2" t="s">
        <v>4773</v>
      </c>
      <c r="E643" s="2" t="s">
        <v>4774</v>
      </c>
      <c r="F643" s="2" t="s">
        <v>4626</v>
      </c>
      <c r="G643" s="2" t="s">
        <v>19</v>
      </c>
      <c r="H643" s="2">
        <v>15255</v>
      </c>
      <c r="I643" t="s">
        <v>1975</v>
      </c>
    </row>
    <row r="644" spans="1:9">
      <c r="A644" s="2" t="s">
        <v>1297</v>
      </c>
      <c r="B644" s="2" t="s">
        <v>4775</v>
      </c>
      <c r="C644" s="2" t="s">
        <v>4776</v>
      </c>
      <c r="D644" s="2" t="s">
        <v>4777</v>
      </c>
      <c r="E644" s="2" t="s">
        <v>4778</v>
      </c>
      <c r="F644" s="2" t="s">
        <v>4779</v>
      </c>
      <c r="G644" s="2" t="s">
        <v>18</v>
      </c>
      <c r="H644" s="2" t="s">
        <v>4780</v>
      </c>
      <c r="I644" t="s">
        <v>1975</v>
      </c>
    </row>
    <row r="645" spans="1:9">
      <c r="A645" s="2" t="s">
        <v>1299</v>
      </c>
      <c r="B645" s="2" t="s">
        <v>4781</v>
      </c>
      <c r="C645" s="2" t="s">
        <v>4782</v>
      </c>
      <c r="D645" s="2"/>
      <c r="E645" s="2" t="s">
        <v>4783</v>
      </c>
      <c r="F645" s="2" t="s">
        <v>2356</v>
      </c>
      <c r="G645" s="2" t="s">
        <v>19</v>
      </c>
      <c r="H645" s="2">
        <v>75260</v>
      </c>
      <c r="I645" t="s">
        <v>1975</v>
      </c>
    </row>
    <row r="646" spans="1:9">
      <c r="A646" s="2" t="s">
        <v>1301</v>
      </c>
      <c r="B646" s="2" t="s">
        <v>4784</v>
      </c>
      <c r="C646" s="2"/>
      <c r="D646" s="2" t="s">
        <v>4785</v>
      </c>
      <c r="E646" s="2" t="s">
        <v>4786</v>
      </c>
      <c r="F646" s="2" t="s">
        <v>3612</v>
      </c>
      <c r="G646" s="2" t="s">
        <v>19</v>
      </c>
      <c r="H646" s="2">
        <v>33233</v>
      </c>
      <c r="I646" t="s">
        <v>1983</v>
      </c>
    </row>
    <row r="647" spans="1:9">
      <c r="A647" s="2" t="s">
        <v>1303</v>
      </c>
      <c r="B647" s="2" t="s">
        <v>4787</v>
      </c>
      <c r="C647" s="2" t="s">
        <v>4788</v>
      </c>
      <c r="D647" s="2" t="s">
        <v>4789</v>
      </c>
      <c r="E647" s="2" t="s">
        <v>4790</v>
      </c>
      <c r="F647" s="2" t="s">
        <v>4791</v>
      </c>
      <c r="G647" s="2" t="s">
        <v>19</v>
      </c>
      <c r="H647" s="2">
        <v>76905</v>
      </c>
      <c r="I647" t="s">
        <v>1975</v>
      </c>
    </row>
    <row r="648" spans="1:9">
      <c r="A648" s="2" t="s">
        <v>1305</v>
      </c>
      <c r="B648" s="2" t="s">
        <v>4792</v>
      </c>
      <c r="C648" s="2" t="s">
        <v>4793</v>
      </c>
      <c r="D648" s="2" t="s">
        <v>4794</v>
      </c>
      <c r="E648" s="2" t="s">
        <v>4795</v>
      </c>
      <c r="F648" s="2" t="s">
        <v>2912</v>
      </c>
      <c r="G648" s="2" t="s">
        <v>19</v>
      </c>
      <c r="H648" s="2">
        <v>12205</v>
      </c>
      <c r="I648" t="s">
        <v>1975</v>
      </c>
    </row>
    <row r="649" spans="1:9">
      <c r="A649" s="2" t="s">
        <v>1307</v>
      </c>
      <c r="B649" s="2" t="s">
        <v>4796</v>
      </c>
      <c r="C649" s="2" t="s">
        <v>4797</v>
      </c>
      <c r="D649" s="2" t="s">
        <v>4798</v>
      </c>
      <c r="E649" s="2" t="s">
        <v>4799</v>
      </c>
      <c r="F649" s="2" t="s">
        <v>4800</v>
      </c>
      <c r="G649" s="2" t="s">
        <v>18</v>
      </c>
      <c r="H649" s="2" t="s">
        <v>4801</v>
      </c>
      <c r="I649" t="s">
        <v>1975</v>
      </c>
    </row>
    <row r="650" spans="1:9">
      <c r="A650" s="2" t="s">
        <v>1293</v>
      </c>
      <c r="B650" s="2" t="s">
        <v>4802</v>
      </c>
      <c r="C650" s="2" t="s">
        <v>4803</v>
      </c>
      <c r="D650" s="2" t="s">
        <v>4804</v>
      </c>
      <c r="E650" s="2" t="s">
        <v>4805</v>
      </c>
      <c r="F650" s="2" t="s">
        <v>2318</v>
      </c>
      <c r="G650" s="2" t="s">
        <v>19</v>
      </c>
      <c r="H650" s="2">
        <v>43240</v>
      </c>
      <c r="I650" t="s">
        <v>1983</v>
      </c>
    </row>
    <row r="651" spans="1:9">
      <c r="A651" s="2" t="s">
        <v>1310</v>
      </c>
      <c r="B651" s="2" t="s">
        <v>4806</v>
      </c>
      <c r="C651" s="2" t="s">
        <v>4807</v>
      </c>
      <c r="D651" s="2" t="s">
        <v>4808</v>
      </c>
      <c r="E651" s="2" t="s">
        <v>4809</v>
      </c>
      <c r="F651" s="2" t="s">
        <v>4810</v>
      </c>
      <c r="G651" s="2" t="s">
        <v>18</v>
      </c>
      <c r="H651" s="2" t="s">
        <v>4811</v>
      </c>
      <c r="I651" t="s">
        <v>1983</v>
      </c>
    </row>
    <row r="652" spans="1:9">
      <c r="A652" s="2" t="s">
        <v>1312</v>
      </c>
      <c r="B652" s="2" t="s">
        <v>4812</v>
      </c>
      <c r="C652" s="2" t="s">
        <v>4813</v>
      </c>
      <c r="D652" s="2" t="s">
        <v>4814</v>
      </c>
      <c r="E652" s="2" t="s">
        <v>4815</v>
      </c>
      <c r="F652" s="2" t="s">
        <v>2414</v>
      </c>
      <c r="G652" s="2" t="s">
        <v>19</v>
      </c>
      <c r="H652" s="2">
        <v>92883</v>
      </c>
      <c r="I652" t="s">
        <v>1975</v>
      </c>
    </row>
    <row r="653" spans="1:9">
      <c r="A653" s="2" t="s">
        <v>1314</v>
      </c>
      <c r="B653" s="2" t="s">
        <v>4816</v>
      </c>
      <c r="C653" s="2"/>
      <c r="D653" s="2" t="s">
        <v>4817</v>
      </c>
      <c r="E653" s="2" t="s">
        <v>4818</v>
      </c>
      <c r="F653" s="2" t="s">
        <v>2217</v>
      </c>
      <c r="G653" s="2" t="s">
        <v>19</v>
      </c>
      <c r="H653" s="2">
        <v>20436</v>
      </c>
      <c r="I653" t="s">
        <v>1983</v>
      </c>
    </row>
    <row r="654" spans="1:9">
      <c r="A654" s="2" t="s">
        <v>1316</v>
      </c>
      <c r="B654" s="2" t="s">
        <v>4819</v>
      </c>
      <c r="C654" s="2" t="s">
        <v>4820</v>
      </c>
      <c r="D654" s="2"/>
      <c r="E654" s="2" t="s">
        <v>4821</v>
      </c>
      <c r="F654" s="2" t="s">
        <v>4822</v>
      </c>
      <c r="G654" s="2" t="s">
        <v>17</v>
      </c>
      <c r="H654" s="2" t="s">
        <v>1982</v>
      </c>
      <c r="I654" t="s">
        <v>1983</v>
      </c>
    </row>
    <row r="655" spans="1:9">
      <c r="A655" s="2" t="s">
        <v>1318</v>
      </c>
      <c r="B655" s="2" t="s">
        <v>4823</v>
      </c>
      <c r="C655" s="2" t="s">
        <v>4824</v>
      </c>
      <c r="D655" s="2" t="s">
        <v>4825</v>
      </c>
      <c r="E655" s="2" t="s">
        <v>4826</v>
      </c>
      <c r="F655" s="2" t="s">
        <v>2242</v>
      </c>
      <c r="G655" s="2" t="s">
        <v>19</v>
      </c>
      <c r="H655" s="2">
        <v>43610</v>
      </c>
      <c r="I655" t="s">
        <v>1983</v>
      </c>
    </row>
    <row r="656" spans="1:9">
      <c r="A656" s="2" t="s">
        <v>1320</v>
      </c>
      <c r="B656" s="2" t="s">
        <v>4827</v>
      </c>
      <c r="C656" s="2" t="s">
        <v>4828</v>
      </c>
      <c r="D656" s="2" t="s">
        <v>4829</v>
      </c>
      <c r="E656" s="2" t="s">
        <v>4830</v>
      </c>
      <c r="F656" s="2" t="s">
        <v>2217</v>
      </c>
      <c r="G656" s="2" t="s">
        <v>19</v>
      </c>
      <c r="H656" s="2">
        <v>20088</v>
      </c>
      <c r="I656" t="s">
        <v>1983</v>
      </c>
    </row>
    <row r="657" spans="1:9">
      <c r="A657" s="2" t="s">
        <v>1322</v>
      </c>
      <c r="B657" s="2" t="s">
        <v>4831</v>
      </c>
      <c r="C657" s="2" t="s">
        <v>4832</v>
      </c>
      <c r="D657" s="2"/>
      <c r="E657" s="2" t="s">
        <v>4833</v>
      </c>
      <c r="F657" s="2" t="s">
        <v>4834</v>
      </c>
      <c r="G657" s="2" t="s">
        <v>19</v>
      </c>
      <c r="H657" s="2">
        <v>52405</v>
      </c>
      <c r="I657" t="s">
        <v>1975</v>
      </c>
    </row>
    <row r="658" spans="1:9">
      <c r="A658" s="2" t="s">
        <v>1324</v>
      </c>
      <c r="B658" s="2" t="s">
        <v>4835</v>
      </c>
      <c r="C658" s="2" t="s">
        <v>4836</v>
      </c>
      <c r="D658" s="2"/>
      <c r="E658" s="2" t="s">
        <v>4837</v>
      </c>
      <c r="F658" s="2" t="s">
        <v>2125</v>
      </c>
      <c r="G658" s="2" t="s">
        <v>19</v>
      </c>
      <c r="H658" s="2">
        <v>80045</v>
      </c>
      <c r="I658" t="s">
        <v>1983</v>
      </c>
    </row>
    <row r="659" spans="1:9">
      <c r="A659" s="2" t="s">
        <v>1326</v>
      </c>
      <c r="B659" s="2" t="s">
        <v>4838</v>
      </c>
      <c r="C659" s="2" t="s">
        <v>4839</v>
      </c>
      <c r="D659" s="2" t="s">
        <v>4840</v>
      </c>
      <c r="E659" s="2" t="s">
        <v>4841</v>
      </c>
      <c r="F659" s="2" t="s">
        <v>4842</v>
      </c>
      <c r="G659" s="2" t="s">
        <v>19</v>
      </c>
      <c r="H659" s="2">
        <v>94089</v>
      </c>
      <c r="I659" t="s">
        <v>1975</v>
      </c>
    </row>
    <row r="660" spans="1:9">
      <c r="A660" s="2" t="s">
        <v>4843</v>
      </c>
      <c r="B660" s="2" t="s">
        <v>4844</v>
      </c>
      <c r="C660" s="2"/>
      <c r="D660" s="2"/>
      <c r="E660" s="2" t="s">
        <v>4845</v>
      </c>
      <c r="F660" s="2" t="s">
        <v>4386</v>
      </c>
      <c r="G660" s="2" t="s">
        <v>17</v>
      </c>
      <c r="H660" s="2" t="s">
        <v>4387</v>
      </c>
      <c r="I660" t="s">
        <v>1975</v>
      </c>
    </row>
    <row r="661" spans="1:9">
      <c r="A661" s="2" t="s">
        <v>1330</v>
      </c>
      <c r="B661" s="2" t="s">
        <v>4846</v>
      </c>
      <c r="C661" s="2" t="s">
        <v>4847</v>
      </c>
      <c r="D661" s="2" t="s">
        <v>4848</v>
      </c>
      <c r="E661" s="2" t="s">
        <v>4849</v>
      </c>
      <c r="F661" s="2" t="s">
        <v>4850</v>
      </c>
      <c r="G661" s="2" t="s">
        <v>17</v>
      </c>
      <c r="H661" s="2" t="s">
        <v>4448</v>
      </c>
      <c r="I661" t="s">
        <v>1975</v>
      </c>
    </row>
    <row r="662" spans="1:9">
      <c r="A662" s="2" t="s">
        <v>1332</v>
      </c>
      <c r="B662" s="2" t="s">
        <v>4851</v>
      </c>
      <c r="C662" s="2" t="s">
        <v>4852</v>
      </c>
      <c r="D662" s="2" t="s">
        <v>4853</v>
      </c>
      <c r="E662" s="2" t="s">
        <v>4854</v>
      </c>
      <c r="F662" s="2" t="s">
        <v>2831</v>
      </c>
      <c r="G662" s="2" t="s">
        <v>19</v>
      </c>
      <c r="H662" s="2">
        <v>48930</v>
      </c>
      <c r="I662" t="s">
        <v>1983</v>
      </c>
    </row>
    <row r="663" spans="1:9">
      <c r="A663" s="2" t="s">
        <v>1334</v>
      </c>
      <c r="B663" s="2" t="s">
        <v>4855</v>
      </c>
      <c r="C663" s="2" t="s">
        <v>4856</v>
      </c>
      <c r="D663" s="2" t="s">
        <v>4857</v>
      </c>
      <c r="E663" s="2" t="s">
        <v>4858</v>
      </c>
      <c r="F663" s="2" t="s">
        <v>2059</v>
      </c>
      <c r="G663" s="2" t="s">
        <v>19</v>
      </c>
      <c r="H663" s="2">
        <v>77281</v>
      </c>
      <c r="I663" t="s">
        <v>1975</v>
      </c>
    </row>
    <row r="664" spans="1:9">
      <c r="A664" s="2" t="s">
        <v>1336</v>
      </c>
      <c r="B664" s="2" t="s">
        <v>4859</v>
      </c>
      <c r="C664" s="2" t="s">
        <v>4860</v>
      </c>
      <c r="D664" s="2"/>
      <c r="E664" s="2" t="s">
        <v>4861</v>
      </c>
      <c r="F664" s="2" t="s">
        <v>4862</v>
      </c>
      <c r="G664" s="2" t="s">
        <v>19</v>
      </c>
      <c r="H664" s="2">
        <v>37131</v>
      </c>
      <c r="I664" t="s">
        <v>1983</v>
      </c>
    </row>
    <row r="665" spans="1:9">
      <c r="A665" s="2" t="s">
        <v>1338</v>
      </c>
      <c r="B665" s="2" t="s">
        <v>4863</v>
      </c>
      <c r="C665" s="2" t="s">
        <v>4864</v>
      </c>
      <c r="D665" s="2"/>
      <c r="E665" s="2" t="s">
        <v>4865</v>
      </c>
      <c r="F665" s="2" t="s">
        <v>2153</v>
      </c>
      <c r="G665" s="2" t="s">
        <v>19</v>
      </c>
      <c r="H665" s="2">
        <v>25362</v>
      </c>
      <c r="I665" t="s">
        <v>1983</v>
      </c>
    </row>
    <row r="666" spans="1:9">
      <c r="A666" s="2" t="s">
        <v>1340</v>
      </c>
      <c r="B666" s="2" t="s">
        <v>4866</v>
      </c>
      <c r="C666" s="2" t="s">
        <v>4867</v>
      </c>
      <c r="D666" s="2" t="s">
        <v>4868</v>
      </c>
      <c r="E666" s="2" t="s">
        <v>4869</v>
      </c>
      <c r="F666" s="2" t="s">
        <v>3174</v>
      </c>
      <c r="G666" s="2" t="s">
        <v>19</v>
      </c>
      <c r="H666" s="2">
        <v>16534</v>
      </c>
      <c r="I666" t="s">
        <v>1983</v>
      </c>
    </row>
    <row r="667" spans="1:9">
      <c r="A667" s="2" t="s">
        <v>4870</v>
      </c>
      <c r="B667" s="2" t="s">
        <v>4871</v>
      </c>
      <c r="C667" s="2" t="s">
        <v>4872</v>
      </c>
      <c r="D667" s="2" t="s">
        <v>4873</v>
      </c>
      <c r="E667" s="2" t="s">
        <v>4874</v>
      </c>
      <c r="F667" s="2" t="s">
        <v>3889</v>
      </c>
      <c r="G667" s="2" t="s">
        <v>19</v>
      </c>
      <c r="H667" s="2">
        <v>39204</v>
      </c>
      <c r="I667" t="s">
        <v>1975</v>
      </c>
    </row>
    <row r="668" spans="1:9">
      <c r="A668" s="2" t="s">
        <v>1342</v>
      </c>
      <c r="B668" s="2" t="s">
        <v>4875</v>
      </c>
      <c r="C668" s="2" t="s">
        <v>4876</v>
      </c>
      <c r="D668" s="2" t="s">
        <v>4877</v>
      </c>
      <c r="E668" s="2" t="s">
        <v>4878</v>
      </c>
      <c r="F668" s="2" t="s">
        <v>2932</v>
      </c>
      <c r="G668" s="2" t="s">
        <v>19</v>
      </c>
      <c r="H668" s="2">
        <v>79491</v>
      </c>
      <c r="I668" t="s">
        <v>1983</v>
      </c>
    </row>
    <row r="669" spans="1:9">
      <c r="A669" s="2" t="s">
        <v>1344</v>
      </c>
      <c r="B669" s="2" t="s">
        <v>4879</v>
      </c>
      <c r="C669" s="2" t="s">
        <v>4880</v>
      </c>
      <c r="D669" s="2" t="s">
        <v>4881</v>
      </c>
      <c r="E669" s="2" t="s">
        <v>4882</v>
      </c>
      <c r="F669" s="2" t="s">
        <v>4883</v>
      </c>
      <c r="G669" s="2" t="s">
        <v>17</v>
      </c>
      <c r="H669" s="2" t="s">
        <v>2121</v>
      </c>
      <c r="I669" t="s">
        <v>1983</v>
      </c>
    </row>
    <row r="670" spans="1:9">
      <c r="A670" s="2" t="s">
        <v>1328</v>
      </c>
      <c r="B670" s="2" t="s">
        <v>4884</v>
      </c>
      <c r="C670" s="2" t="s">
        <v>4885</v>
      </c>
      <c r="D670" s="2" t="s">
        <v>4886</v>
      </c>
      <c r="E670" s="2" t="s">
        <v>4887</v>
      </c>
      <c r="F670" s="2" t="s">
        <v>4512</v>
      </c>
      <c r="G670" s="2" t="s">
        <v>19</v>
      </c>
      <c r="H670" s="2">
        <v>27717</v>
      </c>
      <c r="I670" t="s">
        <v>1975</v>
      </c>
    </row>
    <row r="671" spans="1:9">
      <c r="A671" s="2" t="s">
        <v>1347</v>
      </c>
      <c r="B671" s="2" t="s">
        <v>4888</v>
      </c>
      <c r="C671" s="2" t="s">
        <v>4889</v>
      </c>
      <c r="D671" s="2" t="s">
        <v>4890</v>
      </c>
      <c r="E671" s="2" t="s">
        <v>4891</v>
      </c>
      <c r="F671" s="2" t="s">
        <v>4892</v>
      </c>
      <c r="G671" s="2" t="s">
        <v>19</v>
      </c>
      <c r="H671" s="2">
        <v>29505</v>
      </c>
      <c r="I671" t="s">
        <v>1983</v>
      </c>
    </row>
    <row r="672" spans="1:9">
      <c r="A672" s="2" t="s">
        <v>1349</v>
      </c>
      <c r="B672" s="2" t="s">
        <v>4893</v>
      </c>
      <c r="C672" s="2" t="s">
        <v>4894</v>
      </c>
      <c r="D672" s="2" t="s">
        <v>4895</v>
      </c>
      <c r="E672" s="2" t="s">
        <v>4896</v>
      </c>
      <c r="F672" s="2" t="s">
        <v>4897</v>
      </c>
      <c r="G672" s="2" t="s">
        <v>19</v>
      </c>
      <c r="H672" s="2">
        <v>13205</v>
      </c>
      <c r="I672" t="s">
        <v>1975</v>
      </c>
    </row>
    <row r="673" spans="1:9">
      <c r="A673" s="2" t="s">
        <v>1351</v>
      </c>
      <c r="B673" s="2" t="s">
        <v>4898</v>
      </c>
      <c r="C673" s="2" t="s">
        <v>4899</v>
      </c>
      <c r="D673" s="2" t="s">
        <v>4900</v>
      </c>
      <c r="E673" s="2" t="s">
        <v>4901</v>
      </c>
      <c r="F673" s="2" t="s">
        <v>3713</v>
      </c>
      <c r="G673" s="2" t="s">
        <v>19</v>
      </c>
      <c r="H673" s="2">
        <v>30245</v>
      </c>
      <c r="I673" t="s">
        <v>1983</v>
      </c>
    </row>
    <row r="674" spans="1:9">
      <c r="A674" s="2" t="s">
        <v>1353</v>
      </c>
      <c r="B674" s="2" t="s">
        <v>4902</v>
      </c>
      <c r="C674" s="2" t="s">
        <v>4903</v>
      </c>
      <c r="D674" s="2"/>
      <c r="E674" s="2" t="s">
        <v>4904</v>
      </c>
      <c r="F674" s="2" t="s">
        <v>2059</v>
      </c>
      <c r="G674" s="2" t="s">
        <v>19</v>
      </c>
      <c r="H674" s="2">
        <v>77070</v>
      </c>
      <c r="I674" t="s">
        <v>1975</v>
      </c>
    </row>
    <row r="675" spans="1:9">
      <c r="A675" s="2" t="s">
        <v>1355</v>
      </c>
      <c r="B675" s="2" t="s">
        <v>4905</v>
      </c>
      <c r="C675" s="2" t="s">
        <v>4906</v>
      </c>
      <c r="D675" s="2" t="s">
        <v>4907</v>
      </c>
      <c r="E675" s="2" t="s">
        <v>4908</v>
      </c>
      <c r="F675" s="2" t="s">
        <v>2406</v>
      </c>
      <c r="G675" s="2" t="s">
        <v>19</v>
      </c>
      <c r="H675" s="2">
        <v>66160</v>
      </c>
      <c r="I675" t="s">
        <v>1975</v>
      </c>
    </row>
    <row r="676" spans="1:9">
      <c r="A676" s="2" t="s">
        <v>1357</v>
      </c>
      <c r="B676" s="2" t="s">
        <v>4909</v>
      </c>
      <c r="C676" s="2" t="s">
        <v>4910</v>
      </c>
      <c r="D676" s="2" t="s">
        <v>4911</v>
      </c>
      <c r="E676" s="2" t="s">
        <v>4912</v>
      </c>
      <c r="F676" s="2" t="s">
        <v>4913</v>
      </c>
      <c r="G676" s="2" t="s">
        <v>19</v>
      </c>
      <c r="H676" s="2">
        <v>34282</v>
      </c>
      <c r="I676" t="s">
        <v>1975</v>
      </c>
    </row>
    <row r="677" spans="1:9">
      <c r="A677" s="2" t="s">
        <v>1359</v>
      </c>
      <c r="B677" s="2" t="s">
        <v>4914</v>
      </c>
      <c r="C677" s="2"/>
      <c r="D677" s="2" t="s">
        <v>4915</v>
      </c>
      <c r="E677" s="2" t="s">
        <v>4916</v>
      </c>
      <c r="F677" s="2" t="s">
        <v>4917</v>
      </c>
      <c r="G677" s="2" t="s">
        <v>19</v>
      </c>
      <c r="H677" s="2">
        <v>18105</v>
      </c>
      <c r="I677" t="s">
        <v>1975</v>
      </c>
    </row>
    <row r="678" spans="1:9">
      <c r="A678" s="2" t="s">
        <v>1361</v>
      </c>
      <c r="B678" s="2" t="s">
        <v>4918</v>
      </c>
      <c r="C678" s="2"/>
      <c r="D678" s="2" t="s">
        <v>4919</v>
      </c>
      <c r="E678" s="2" t="s">
        <v>4920</v>
      </c>
      <c r="F678" s="2" t="s">
        <v>4921</v>
      </c>
      <c r="G678" s="2" t="s">
        <v>19</v>
      </c>
      <c r="H678" s="2">
        <v>23663</v>
      </c>
      <c r="I678" t="s">
        <v>1983</v>
      </c>
    </row>
    <row r="679" spans="1:9">
      <c r="A679" s="2" t="s">
        <v>1363</v>
      </c>
      <c r="B679" s="2" t="s">
        <v>4922</v>
      </c>
      <c r="C679" s="2" t="s">
        <v>4923</v>
      </c>
      <c r="D679" s="2" t="s">
        <v>4924</v>
      </c>
      <c r="E679" s="2" t="s">
        <v>4925</v>
      </c>
      <c r="F679" s="2" t="s">
        <v>3780</v>
      </c>
      <c r="G679" s="2" t="s">
        <v>17</v>
      </c>
      <c r="H679" s="2" t="s">
        <v>3781</v>
      </c>
      <c r="I679" t="s">
        <v>1983</v>
      </c>
    </row>
    <row r="680" spans="1:9">
      <c r="A680" s="2" t="s">
        <v>1365</v>
      </c>
      <c r="B680" s="2" t="s">
        <v>4926</v>
      </c>
      <c r="C680" s="2" t="s">
        <v>4927</v>
      </c>
      <c r="D680" s="2" t="s">
        <v>4928</v>
      </c>
      <c r="E680" s="2" t="s">
        <v>4929</v>
      </c>
      <c r="F680" s="2" t="s">
        <v>4930</v>
      </c>
      <c r="G680" s="2" t="s">
        <v>19</v>
      </c>
      <c r="H680" s="2">
        <v>67260</v>
      </c>
      <c r="I680" t="s">
        <v>1975</v>
      </c>
    </row>
    <row r="681" spans="1:9">
      <c r="A681" s="2" t="s">
        <v>1367</v>
      </c>
      <c r="B681" s="2" t="s">
        <v>4931</v>
      </c>
      <c r="C681" s="2" t="s">
        <v>4932</v>
      </c>
      <c r="D681" s="2" t="s">
        <v>4933</v>
      </c>
      <c r="E681" s="2" t="s">
        <v>4934</v>
      </c>
      <c r="F681" s="2" t="s">
        <v>4800</v>
      </c>
      <c r="G681" s="2" t="s">
        <v>18</v>
      </c>
      <c r="H681" s="2" t="s">
        <v>4801</v>
      </c>
      <c r="I681" t="s">
        <v>1983</v>
      </c>
    </row>
    <row r="682" spans="1:9">
      <c r="A682" s="2" t="s">
        <v>1369</v>
      </c>
      <c r="B682" s="2" t="s">
        <v>4935</v>
      </c>
      <c r="C682" s="2" t="s">
        <v>4936</v>
      </c>
      <c r="D682" s="2"/>
      <c r="E682" s="2" t="s">
        <v>4937</v>
      </c>
      <c r="F682" s="2" t="s">
        <v>3314</v>
      </c>
      <c r="G682" s="2" t="s">
        <v>19</v>
      </c>
      <c r="H682" s="2">
        <v>6816</v>
      </c>
      <c r="I682" t="s">
        <v>1983</v>
      </c>
    </row>
    <row r="683" spans="1:9">
      <c r="A683" s="2" t="s">
        <v>1371</v>
      </c>
      <c r="B683" s="2" t="s">
        <v>4938</v>
      </c>
      <c r="C683" s="2" t="s">
        <v>4939</v>
      </c>
      <c r="D683" s="2" t="s">
        <v>4940</v>
      </c>
      <c r="E683" s="2" t="s">
        <v>4941</v>
      </c>
      <c r="F683" s="2" t="s">
        <v>2230</v>
      </c>
      <c r="G683" s="2" t="s">
        <v>18</v>
      </c>
      <c r="H683" s="2" t="s">
        <v>2231</v>
      </c>
      <c r="I683" t="s">
        <v>1975</v>
      </c>
    </row>
    <row r="684" spans="1:9">
      <c r="A684" s="2" t="s">
        <v>1373</v>
      </c>
      <c r="B684" s="2" t="s">
        <v>4942</v>
      </c>
      <c r="C684" s="2" t="s">
        <v>4943</v>
      </c>
      <c r="D684" s="2" t="s">
        <v>4944</v>
      </c>
      <c r="E684" s="2" t="s">
        <v>4945</v>
      </c>
      <c r="F684" s="2" t="s">
        <v>3519</v>
      </c>
      <c r="G684" s="2" t="s">
        <v>19</v>
      </c>
      <c r="H684" s="2">
        <v>32209</v>
      </c>
      <c r="I684" t="s">
        <v>1975</v>
      </c>
    </row>
    <row r="685" spans="1:9">
      <c r="A685" s="2" t="s">
        <v>1375</v>
      </c>
      <c r="B685" s="2" t="s">
        <v>4946</v>
      </c>
      <c r="C685" s="2" t="s">
        <v>4947</v>
      </c>
      <c r="D685" s="2" t="s">
        <v>4948</v>
      </c>
      <c r="E685" s="2" t="s">
        <v>4949</v>
      </c>
      <c r="F685" s="2" t="s">
        <v>2059</v>
      </c>
      <c r="G685" s="2" t="s">
        <v>19</v>
      </c>
      <c r="H685" s="2">
        <v>77299</v>
      </c>
      <c r="I685" t="s">
        <v>1983</v>
      </c>
    </row>
    <row r="686" spans="1:9">
      <c r="A686" s="2" t="s">
        <v>1377</v>
      </c>
      <c r="B686" s="2" t="s">
        <v>4950</v>
      </c>
      <c r="C686" s="2"/>
      <c r="D686" s="2" t="s">
        <v>4951</v>
      </c>
      <c r="E686" s="2" t="s">
        <v>4952</v>
      </c>
      <c r="F686" s="2" t="s">
        <v>2054</v>
      </c>
      <c r="G686" s="2" t="s">
        <v>19</v>
      </c>
      <c r="H686" s="2">
        <v>97255</v>
      </c>
      <c r="I686" t="s">
        <v>1983</v>
      </c>
    </row>
    <row r="687" spans="1:9">
      <c r="A687" s="2" t="s">
        <v>1379</v>
      </c>
      <c r="B687" s="2" t="s">
        <v>4953</v>
      </c>
      <c r="C687" s="2" t="s">
        <v>4954</v>
      </c>
      <c r="D687" s="2" t="s">
        <v>4955</v>
      </c>
      <c r="E687" s="2" t="s">
        <v>4956</v>
      </c>
      <c r="F687" s="2" t="s">
        <v>2978</v>
      </c>
      <c r="G687" s="2" t="s">
        <v>19</v>
      </c>
      <c r="H687" s="2">
        <v>91186</v>
      </c>
      <c r="I687" t="s">
        <v>1975</v>
      </c>
    </row>
    <row r="688" spans="1:9">
      <c r="A688" s="2" t="s">
        <v>1381</v>
      </c>
      <c r="B688" s="2" t="s">
        <v>4957</v>
      </c>
      <c r="C688" s="2" t="s">
        <v>4958</v>
      </c>
      <c r="D688" s="2" t="s">
        <v>4959</v>
      </c>
      <c r="E688" s="2" t="s">
        <v>4960</v>
      </c>
      <c r="F688" s="2" t="s">
        <v>2603</v>
      </c>
      <c r="G688" s="2" t="s">
        <v>19</v>
      </c>
      <c r="H688" s="2">
        <v>92725</v>
      </c>
      <c r="I688" t="s">
        <v>1975</v>
      </c>
    </row>
    <row r="689" spans="1:9">
      <c r="A689" s="2" t="s">
        <v>1383</v>
      </c>
      <c r="B689" s="2" t="s">
        <v>4961</v>
      </c>
      <c r="C689" s="2" t="s">
        <v>4962</v>
      </c>
      <c r="D689" s="2" t="s">
        <v>4963</v>
      </c>
      <c r="E689" s="2" t="s">
        <v>4964</v>
      </c>
      <c r="F689" s="2" t="s">
        <v>2027</v>
      </c>
      <c r="G689" s="2" t="s">
        <v>19</v>
      </c>
      <c r="H689" s="2">
        <v>95160</v>
      </c>
      <c r="I689" t="s">
        <v>1983</v>
      </c>
    </row>
    <row r="690" spans="1:9">
      <c r="A690" s="2" t="s">
        <v>1385</v>
      </c>
      <c r="B690" s="2" t="s">
        <v>4965</v>
      </c>
      <c r="C690" s="2" t="s">
        <v>4966</v>
      </c>
      <c r="D690" s="2" t="s">
        <v>4967</v>
      </c>
      <c r="E690" s="2" t="s">
        <v>4968</v>
      </c>
      <c r="F690" s="2" t="s">
        <v>4969</v>
      </c>
      <c r="G690" s="2" t="s">
        <v>17</v>
      </c>
      <c r="H690" s="2" t="s">
        <v>2075</v>
      </c>
      <c r="I690" t="s">
        <v>1983</v>
      </c>
    </row>
    <row r="691" spans="1:9">
      <c r="A691" s="2" t="s">
        <v>1387</v>
      </c>
      <c r="B691" s="2" t="s">
        <v>4970</v>
      </c>
      <c r="C691" s="2" t="s">
        <v>4971</v>
      </c>
      <c r="D691" s="2" t="s">
        <v>4972</v>
      </c>
      <c r="E691" s="2" t="s">
        <v>4973</v>
      </c>
      <c r="F691" s="2" t="s">
        <v>2371</v>
      </c>
      <c r="G691" s="2" t="s">
        <v>19</v>
      </c>
      <c r="H691" s="2">
        <v>80935</v>
      </c>
      <c r="I691" t="s">
        <v>1983</v>
      </c>
    </row>
    <row r="692" spans="1:9">
      <c r="A692" s="2" t="s">
        <v>1389</v>
      </c>
      <c r="B692" s="2" t="s">
        <v>4974</v>
      </c>
      <c r="C692" s="2"/>
      <c r="D692" s="2"/>
      <c r="E692" s="2" t="s">
        <v>4975</v>
      </c>
      <c r="F692" s="2" t="s">
        <v>2242</v>
      </c>
      <c r="G692" s="2" t="s">
        <v>19</v>
      </c>
      <c r="H692" s="2">
        <v>43605</v>
      </c>
      <c r="I692" t="s">
        <v>1983</v>
      </c>
    </row>
    <row r="693" spans="1:9">
      <c r="A693" s="2" t="s">
        <v>4976</v>
      </c>
      <c r="B693" s="2" t="s">
        <v>4977</v>
      </c>
      <c r="C693" s="2" t="s">
        <v>4978</v>
      </c>
      <c r="D693" s="2" t="s">
        <v>4979</v>
      </c>
      <c r="E693" s="2" t="s">
        <v>4980</v>
      </c>
      <c r="F693" s="2" t="s">
        <v>3473</v>
      </c>
      <c r="G693" s="2" t="s">
        <v>19</v>
      </c>
      <c r="H693" s="2">
        <v>33436</v>
      </c>
      <c r="I693" t="s">
        <v>1975</v>
      </c>
    </row>
    <row r="694" spans="1:9">
      <c r="A694" s="2" t="s">
        <v>1393</v>
      </c>
      <c r="B694" s="2" t="s">
        <v>4981</v>
      </c>
      <c r="C694" s="2" t="s">
        <v>4982</v>
      </c>
      <c r="D694" s="2" t="s">
        <v>4983</v>
      </c>
      <c r="E694" s="2" t="s">
        <v>4984</v>
      </c>
      <c r="F694" s="2" t="s">
        <v>3068</v>
      </c>
      <c r="G694" s="2" t="s">
        <v>19</v>
      </c>
      <c r="H694" s="2">
        <v>45999</v>
      </c>
      <c r="I694" t="s">
        <v>1983</v>
      </c>
    </row>
    <row r="695" spans="1:9">
      <c r="A695" s="2" t="s">
        <v>1395</v>
      </c>
      <c r="B695" s="2" t="s">
        <v>4985</v>
      </c>
      <c r="C695" s="2" t="s">
        <v>4986</v>
      </c>
      <c r="D695" s="2" t="s">
        <v>4987</v>
      </c>
      <c r="E695" s="2" t="s">
        <v>4988</v>
      </c>
      <c r="F695" s="2" t="s">
        <v>2045</v>
      </c>
      <c r="G695" s="2" t="s">
        <v>19</v>
      </c>
      <c r="H695" s="2">
        <v>63121</v>
      </c>
      <c r="I695" t="s">
        <v>1975</v>
      </c>
    </row>
    <row r="696" spans="1:9">
      <c r="A696" s="2" t="s">
        <v>1397</v>
      </c>
      <c r="B696" s="2" t="s">
        <v>4989</v>
      </c>
      <c r="C696" s="2" t="s">
        <v>4990</v>
      </c>
      <c r="D696" s="2" t="s">
        <v>4991</v>
      </c>
      <c r="E696" s="2" t="s">
        <v>4992</v>
      </c>
      <c r="F696" s="2" t="s">
        <v>4993</v>
      </c>
      <c r="G696" s="2" t="s">
        <v>19</v>
      </c>
      <c r="H696" s="2">
        <v>10705</v>
      </c>
      <c r="I696" t="s">
        <v>1983</v>
      </c>
    </row>
    <row r="697" spans="1:9">
      <c r="A697" s="2" t="s">
        <v>1399</v>
      </c>
      <c r="B697" s="2" t="s">
        <v>4994</v>
      </c>
      <c r="C697" s="2" t="s">
        <v>4995</v>
      </c>
      <c r="D697" s="2" t="s">
        <v>4996</v>
      </c>
      <c r="E697" s="2" t="s">
        <v>4997</v>
      </c>
      <c r="F697" s="2" t="s">
        <v>3347</v>
      </c>
      <c r="G697" s="2" t="s">
        <v>19</v>
      </c>
      <c r="H697" s="2">
        <v>21290</v>
      </c>
      <c r="I697" t="s">
        <v>1975</v>
      </c>
    </row>
    <row r="698" spans="1:9">
      <c r="A698" s="2" t="s">
        <v>1401</v>
      </c>
      <c r="B698" s="2" t="s">
        <v>4998</v>
      </c>
      <c r="C698" s="2" t="s">
        <v>4999</v>
      </c>
      <c r="D698" s="2" t="s">
        <v>5000</v>
      </c>
      <c r="E698" s="2" t="s">
        <v>5001</v>
      </c>
      <c r="F698" s="2" t="s">
        <v>3519</v>
      </c>
      <c r="G698" s="2" t="s">
        <v>19</v>
      </c>
      <c r="H698" s="2">
        <v>32230</v>
      </c>
      <c r="I698" t="s">
        <v>1983</v>
      </c>
    </row>
    <row r="699" spans="1:9">
      <c r="A699" s="2" t="s">
        <v>1403</v>
      </c>
      <c r="B699" s="2" t="s">
        <v>5002</v>
      </c>
      <c r="C699" s="2"/>
      <c r="D699" s="2"/>
      <c r="E699" s="2" t="s">
        <v>5003</v>
      </c>
      <c r="F699" s="2" t="s">
        <v>5004</v>
      </c>
      <c r="G699" s="2" t="s">
        <v>17</v>
      </c>
      <c r="H699" s="2" t="s">
        <v>5005</v>
      </c>
      <c r="I699" t="s">
        <v>1983</v>
      </c>
    </row>
    <row r="700" spans="1:9">
      <c r="A700" s="2" t="s">
        <v>1391</v>
      </c>
      <c r="B700" s="2" t="s">
        <v>5006</v>
      </c>
      <c r="C700" s="2" t="s">
        <v>5007</v>
      </c>
      <c r="D700" s="2" t="s">
        <v>5008</v>
      </c>
      <c r="E700" s="2" t="s">
        <v>5009</v>
      </c>
      <c r="F700" s="2" t="s">
        <v>2397</v>
      </c>
      <c r="G700" s="2" t="s">
        <v>17</v>
      </c>
      <c r="H700" s="2" t="s">
        <v>2576</v>
      </c>
      <c r="I700" t="s">
        <v>1983</v>
      </c>
    </row>
    <row r="701" spans="1:9">
      <c r="A701" s="2" t="s">
        <v>1406</v>
      </c>
      <c r="B701" s="2" t="s">
        <v>5010</v>
      </c>
      <c r="C701" s="2" t="s">
        <v>5011</v>
      </c>
      <c r="D701" s="2" t="s">
        <v>5012</v>
      </c>
      <c r="E701" s="2" t="s">
        <v>5013</v>
      </c>
      <c r="F701" s="2" t="s">
        <v>3612</v>
      </c>
      <c r="G701" s="2" t="s">
        <v>19</v>
      </c>
      <c r="H701" s="2">
        <v>33196</v>
      </c>
      <c r="I701" t="s">
        <v>1975</v>
      </c>
    </row>
    <row r="702" spans="1:9">
      <c r="A702" s="2" t="s">
        <v>1408</v>
      </c>
      <c r="B702" s="2" t="s">
        <v>5014</v>
      </c>
      <c r="C702" s="2" t="s">
        <v>5015</v>
      </c>
      <c r="D702" s="2"/>
      <c r="E702" s="2" t="s">
        <v>5016</v>
      </c>
      <c r="F702" s="2" t="s">
        <v>3121</v>
      </c>
      <c r="G702" s="2" t="s">
        <v>19</v>
      </c>
      <c r="H702" s="2">
        <v>94121</v>
      </c>
      <c r="I702" t="s">
        <v>1983</v>
      </c>
    </row>
    <row r="703" spans="1:9">
      <c r="A703" s="2" t="s">
        <v>1410</v>
      </c>
      <c r="B703" s="2" t="s">
        <v>5017</v>
      </c>
      <c r="C703" s="2" t="s">
        <v>5018</v>
      </c>
      <c r="D703" s="2" t="s">
        <v>5019</v>
      </c>
      <c r="E703" s="2" t="s">
        <v>5020</v>
      </c>
      <c r="F703" s="2" t="s">
        <v>3433</v>
      </c>
      <c r="G703" s="2" t="s">
        <v>17</v>
      </c>
      <c r="H703" s="2" t="s">
        <v>2115</v>
      </c>
      <c r="I703" t="s">
        <v>1975</v>
      </c>
    </row>
    <row r="704" spans="1:9">
      <c r="A704" s="2" t="s">
        <v>1412</v>
      </c>
      <c r="B704" s="2" t="s">
        <v>5021</v>
      </c>
      <c r="C704" s="2" t="s">
        <v>5022</v>
      </c>
      <c r="D704" s="2"/>
      <c r="E704" s="2" t="s">
        <v>5023</v>
      </c>
      <c r="F704" s="2" t="s">
        <v>2085</v>
      </c>
      <c r="G704" s="2" t="s">
        <v>19</v>
      </c>
      <c r="H704" s="2">
        <v>33982</v>
      </c>
      <c r="I704" t="s">
        <v>1975</v>
      </c>
    </row>
    <row r="705" spans="1:9">
      <c r="A705" s="2" t="s">
        <v>1414</v>
      </c>
      <c r="B705" s="2" t="s">
        <v>5024</v>
      </c>
      <c r="C705" s="2"/>
      <c r="D705" s="2" t="s">
        <v>5025</v>
      </c>
      <c r="E705" s="2" t="s">
        <v>5026</v>
      </c>
      <c r="F705" s="2" t="s">
        <v>2631</v>
      </c>
      <c r="G705" s="2" t="s">
        <v>17</v>
      </c>
      <c r="H705" s="2" t="s">
        <v>2576</v>
      </c>
      <c r="I705" t="s">
        <v>1975</v>
      </c>
    </row>
    <row r="706" spans="1:9">
      <c r="A706" s="2" t="s">
        <v>1416</v>
      </c>
      <c r="B706" s="2" t="s">
        <v>5027</v>
      </c>
      <c r="C706" s="2"/>
      <c r="D706" s="2" t="s">
        <v>5028</v>
      </c>
      <c r="E706" s="2" t="s">
        <v>5029</v>
      </c>
      <c r="F706" s="2" t="s">
        <v>2069</v>
      </c>
      <c r="G706" s="2" t="s">
        <v>19</v>
      </c>
      <c r="H706" s="2">
        <v>10125</v>
      </c>
      <c r="I706" t="s">
        <v>1975</v>
      </c>
    </row>
    <row r="707" spans="1:9">
      <c r="A707" s="2" t="s">
        <v>1418</v>
      </c>
      <c r="B707" s="2" t="s">
        <v>5030</v>
      </c>
      <c r="C707" s="2" t="s">
        <v>5031</v>
      </c>
      <c r="D707" s="2" t="s">
        <v>5032</v>
      </c>
      <c r="E707" s="2" t="s">
        <v>5033</v>
      </c>
      <c r="F707" s="2" t="s">
        <v>2917</v>
      </c>
      <c r="G707" s="2" t="s">
        <v>19</v>
      </c>
      <c r="H707" s="2">
        <v>29305</v>
      </c>
      <c r="I707" t="s">
        <v>1983</v>
      </c>
    </row>
    <row r="708" spans="1:9">
      <c r="A708" s="2" t="s">
        <v>1420</v>
      </c>
      <c r="B708" s="2" t="s">
        <v>5034</v>
      </c>
      <c r="C708" s="2" t="s">
        <v>5035</v>
      </c>
      <c r="D708" s="2" t="s">
        <v>5036</v>
      </c>
      <c r="E708" s="2" t="s">
        <v>5037</v>
      </c>
      <c r="F708" s="2" t="s">
        <v>5038</v>
      </c>
      <c r="G708" s="2" t="s">
        <v>19</v>
      </c>
      <c r="H708" s="2">
        <v>93305</v>
      </c>
      <c r="I708" t="s">
        <v>1983</v>
      </c>
    </row>
    <row r="709" spans="1:9">
      <c r="A709" s="2" t="s">
        <v>1422</v>
      </c>
      <c r="B709" s="2" t="s">
        <v>5039</v>
      </c>
      <c r="C709" s="2"/>
      <c r="D709" s="2" t="s">
        <v>5040</v>
      </c>
      <c r="E709" s="2" t="s">
        <v>5041</v>
      </c>
      <c r="F709" s="2" t="s">
        <v>5042</v>
      </c>
      <c r="G709" s="2" t="s">
        <v>17</v>
      </c>
      <c r="H709" s="2" t="s">
        <v>3944</v>
      </c>
      <c r="I709" t="s">
        <v>1983</v>
      </c>
    </row>
    <row r="710" spans="1:9">
      <c r="A710" s="2" t="s">
        <v>1424</v>
      </c>
      <c r="B710" s="2" t="s">
        <v>5043</v>
      </c>
      <c r="C710" s="2" t="s">
        <v>5044</v>
      </c>
      <c r="D710" s="2" t="s">
        <v>5045</v>
      </c>
      <c r="E710" s="2" t="s">
        <v>5046</v>
      </c>
      <c r="F710" s="2" t="s">
        <v>2045</v>
      </c>
      <c r="G710" s="2" t="s">
        <v>19</v>
      </c>
      <c r="H710" s="2">
        <v>63169</v>
      </c>
      <c r="I710" t="s">
        <v>1975</v>
      </c>
    </row>
    <row r="711" spans="1:9">
      <c r="A711" s="2" t="s">
        <v>1426</v>
      </c>
      <c r="B711" s="2" t="s">
        <v>5047</v>
      </c>
      <c r="C711" s="2"/>
      <c r="D711" s="2" t="s">
        <v>5048</v>
      </c>
      <c r="E711" s="2" t="s">
        <v>5049</v>
      </c>
      <c r="F711" s="2" t="s">
        <v>2269</v>
      </c>
      <c r="G711" s="2" t="s">
        <v>19</v>
      </c>
      <c r="H711" s="2">
        <v>46896</v>
      </c>
      <c r="I711" t="s">
        <v>1975</v>
      </c>
    </row>
    <row r="712" spans="1:9">
      <c r="A712" s="2" t="s">
        <v>1428</v>
      </c>
      <c r="B712" s="2" t="s">
        <v>5050</v>
      </c>
      <c r="C712" s="2" t="s">
        <v>5051</v>
      </c>
      <c r="D712" s="2" t="s">
        <v>5052</v>
      </c>
      <c r="E712" s="2" t="s">
        <v>5053</v>
      </c>
      <c r="F712" s="2" t="s">
        <v>5054</v>
      </c>
      <c r="G712" s="2" t="s">
        <v>19</v>
      </c>
      <c r="H712" s="2">
        <v>55564</v>
      </c>
      <c r="I712" t="s">
        <v>1983</v>
      </c>
    </row>
    <row r="713" spans="1:9">
      <c r="A713" s="2" t="s">
        <v>1430</v>
      </c>
      <c r="B713" s="2" t="s">
        <v>5055</v>
      </c>
      <c r="C713" s="2" t="s">
        <v>5056</v>
      </c>
      <c r="D713" s="2" t="s">
        <v>5057</v>
      </c>
      <c r="E713" s="2" t="s">
        <v>5058</v>
      </c>
      <c r="F713" s="2" t="s">
        <v>5059</v>
      </c>
      <c r="G713" s="2" t="s">
        <v>19</v>
      </c>
      <c r="H713" s="2">
        <v>72905</v>
      </c>
      <c r="I713" t="s">
        <v>1983</v>
      </c>
    </row>
    <row r="714" spans="1:9">
      <c r="A714" s="2" t="s">
        <v>1432</v>
      </c>
      <c r="B714" s="2" t="s">
        <v>5060</v>
      </c>
      <c r="C714" s="2"/>
      <c r="D714" s="2"/>
      <c r="E714" s="2" t="s">
        <v>5061</v>
      </c>
      <c r="F714" s="2" t="s">
        <v>3594</v>
      </c>
      <c r="G714" s="2" t="s">
        <v>18</v>
      </c>
      <c r="H714" s="2" t="s">
        <v>3595</v>
      </c>
      <c r="I714" t="s">
        <v>1983</v>
      </c>
    </row>
    <row r="715" spans="1:9">
      <c r="A715" s="2" t="s">
        <v>1434</v>
      </c>
      <c r="B715" s="2" t="s">
        <v>5062</v>
      </c>
      <c r="C715" s="2" t="s">
        <v>5063</v>
      </c>
      <c r="D715" s="2" t="s">
        <v>5064</v>
      </c>
      <c r="E715" s="2" t="s">
        <v>5065</v>
      </c>
      <c r="F715" s="2" t="s">
        <v>2450</v>
      </c>
      <c r="G715" s="2" t="s">
        <v>19</v>
      </c>
      <c r="H715" s="2">
        <v>95210</v>
      </c>
      <c r="I715" t="s">
        <v>1983</v>
      </c>
    </row>
    <row r="716" spans="1:9">
      <c r="A716" s="2" t="s">
        <v>1436</v>
      </c>
      <c r="B716" s="2" t="s">
        <v>5066</v>
      </c>
      <c r="C716" s="2" t="s">
        <v>5067</v>
      </c>
      <c r="D716" s="2" t="s">
        <v>5068</v>
      </c>
      <c r="E716" s="2" t="s">
        <v>5069</v>
      </c>
      <c r="F716" s="2" t="s">
        <v>5070</v>
      </c>
      <c r="G716" s="2" t="s">
        <v>17</v>
      </c>
      <c r="H716" s="2" t="s">
        <v>2567</v>
      </c>
      <c r="I716" t="s">
        <v>1975</v>
      </c>
    </row>
    <row r="717" spans="1:9">
      <c r="A717" s="2" t="s">
        <v>1438</v>
      </c>
      <c r="B717" s="2" t="s">
        <v>5071</v>
      </c>
      <c r="C717" s="2" t="s">
        <v>5072</v>
      </c>
      <c r="D717" s="2"/>
      <c r="E717" s="2" t="s">
        <v>5073</v>
      </c>
      <c r="F717" s="2" t="s">
        <v>2251</v>
      </c>
      <c r="G717" s="2" t="s">
        <v>19</v>
      </c>
      <c r="H717" s="2">
        <v>33686</v>
      </c>
      <c r="I717" t="s">
        <v>1983</v>
      </c>
    </row>
    <row r="718" spans="1:9">
      <c r="A718" s="2" t="s">
        <v>5074</v>
      </c>
      <c r="B718" s="2" t="s">
        <v>5075</v>
      </c>
      <c r="C718" s="2" t="s">
        <v>5076</v>
      </c>
      <c r="D718" s="2" t="s">
        <v>5077</v>
      </c>
      <c r="E718" s="2" t="s">
        <v>5078</v>
      </c>
      <c r="F718" s="2" t="s">
        <v>2756</v>
      </c>
      <c r="G718" s="2" t="s">
        <v>17</v>
      </c>
      <c r="H718" s="2" t="s">
        <v>2757</v>
      </c>
      <c r="I718" t="s">
        <v>1983</v>
      </c>
    </row>
    <row r="719" spans="1:9">
      <c r="A719" s="2" t="s">
        <v>1441</v>
      </c>
      <c r="B719" s="2" t="s">
        <v>5079</v>
      </c>
      <c r="C719" s="2" t="s">
        <v>5080</v>
      </c>
      <c r="D719" s="2" t="s">
        <v>5081</v>
      </c>
      <c r="E719" s="2" t="s">
        <v>5082</v>
      </c>
      <c r="F719" s="2" t="s">
        <v>2049</v>
      </c>
      <c r="G719" s="2" t="s">
        <v>19</v>
      </c>
      <c r="H719" s="2">
        <v>19104</v>
      </c>
      <c r="I719" t="s">
        <v>1983</v>
      </c>
    </row>
    <row r="720" spans="1:9">
      <c r="A720" s="2" t="s">
        <v>1443</v>
      </c>
      <c r="B720" s="2" t="s">
        <v>5083</v>
      </c>
      <c r="C720" s="2" t="s">
        <v>5084</v>
      </c>
      <c r="D720" s="2" t="s">
        <v>5085</v>
      </c>
      <c r="E720" s="2" t="s">
        <v>5086</v>
      </c>
      <c r="F720" s="2" t="s">
        <v>4791</v>
      </c>
      <c r="G720" s="2" t="s">
        <v>19</v>
      </c>
      <c r="H720" s="2">
        <v>76905</v>
      </c>
      <c r="I720" t="s">
        <v>1983</v>
      </c>
    </row>
    <row r="721" spans="1:9">
      <c r="A721" s="2" t="s">
        <v>1445</v>
      </c>
      <c r="B721" s="2" t="s">
        <v>5087</v>
      </c>
      <c r="C721" s="2" t="s">
        <v>5088</v>
      </c>
      <c r="D721" s="2" t="s">
        <v>5089</v>
      </c>
      <c r="E721" s="2" t="s">
        <v>5090</v>
      </c>
      <c r="F721" s="2" t="s">
        <v>2018</v>
      </c>
      <c r="G721" s="2" t="s">
        <v>19</v>
      </c>
      <c r="H721" s="2">
        <v>90035</v>
      </c>
      <c r="I721" t="s">
        <v>1975</v>
      </c>
    </row>
    <row r="722" spans="1:9">
      <c r="A722" s="2" t="s">
        <v>1447</v>
      </c>
      <c r="B722" s="2" t="s">
        <v>5091</v>
      </c>
      <c r="C722" s="2" t="s">
        <v>5092</v>
      </c>
      <c r="D722" s="2" t="s">
        <v>5093</v>
      </c>
      <c r="E722" s="2" t="s">
        <v>5094</v>
      </c>
      <c r="F722" s="2" t="s">
        <v>2831</v>
      </c>
      <c r="G722" s="2" t="s">
        <v>19</v>
      </c>
      <c r="H722" s="2">
        <v>48912</v>
      </c>
      <c r="I722" t="s">
        <v>1975</v>
      </c>
    </row>
    <row r="723" spans="1:9">
      <c r="A723" s="2" t="s">
        <v>1449</v>
      </c>
      <c r="B723" s="2" t="s">
        <v>5095</v>
      </c>
      <c r="C723" s="2" t="s">
        <v>5096</v>
      </c>
      <c r="D723" s="2" t="s">
        <v>5097</v>
      </c>
      <c r="E723" s="2" t="s">
        <v>5098</v>
      </c>
      <c r="F723" s="2" t="s">
        <v>2744</v>
      </c>
      <c r="G723" s="2" t="s">
        <v>19</v>
      </c>
      <c r="H723" s="2">
        <v>34615</v>
      </c>
      <c r="I723" t="s">
        <v>1975</v>
      </c>
    </row>
    <row r="724" spans="1:9">
      <c r="A724" s="2" t="s">
        <v>1451</v>
      </c>
      <c r="B724" s="2" t="s">
        <v>5099</v>
      </c>
      <c r="C724" s="2"/>
      <c r="D724" s="2" t="s">
        <v>5100</v>
      </c>
      <c r="E724" s="2" t="s">
        <v>5101</v>
      </c>
      <c r="F724" s="2" t="s">
        <v>2789</v>
      </c>
      <c r="G724" s="2" t="s">
        <v>19</v>
      </c>
      <c r="H724" s="2">
        <v>90605</v>
      </c>
      <c r="I724" t="s">
        <v>1983</v>
      </c>
    </row>
    <row r="725" spans="1:9">
      <c r="A725" s="2" t="s">
        <v>1453</v>
      </c>
      <c r="B725" s="2" t="s">
        <v>5102</v>
      </c>
      <c r="C725" s="2" t="s">
        <v>5103</v>
      </c>
      <c r="D725" s="2" t="s">
        <v>5104</v>
      </c>
      <c r="E725" s="2" t="s">
        <v>5105</v>
      </c>
      <c r="F725" s="2" t="s">
        <v>2386</v>
      </c>
      <c r="G725" s="2" t="s">
        <v>19</v>
      </c>
      <c r="H725" s="2">
        <v>93773</v>
      </c>
      <c r="I725" t="s">
        <v>1983</v>
      </c>
    </row>
    <row r="726" spans="1:9">
      <c r="A726" s="2" t="s">
        <v>1455</v>
      </c>
      <c r="B726" s="2" t="s">
        <v>5106</v>
      </c>
      <c r="C726" s="2"/>
      <c r="D726" s="2" t="s">
        <v>5107</v>
      </c>
      <c r="E726" s="2" t="s">
        <v>5108</v>
      </c>
      <c r="F726" s="2" t="s">
        <v>2069</v>
      </c>
      <c r="G726" s="2" t="s">
        <v>19</v>
      </c>
      <c r="H726" s="2">
        <v>10155</v>
      </c>
      <c r="I726" t="s">
        <v>1975</v>
      </c>
    </row>
    <row r="727" spans="1:9">
      <c r="A727" s="2" t="s">
        <v>1457</v>
      </c>
      <c r="B727" s="2" t="s">
        <v>5109</v>
      </c>
      <c r="C727" s="2" t="s">
        <v>5110</v>
      </c>
      <c r="D727" s="2" t="s">
        <v>5111</v>
      </c>
      <c r="E727" s="2" t="s">
        <v>5112</v>
      </c>
      <c r="F727" s="2" t="s">
        <v>2371</v>
      </c>
      <c r="G727" s="2" t="s">
        <v>19</v>
      </c>
      <c r="H727" s="2">
        <v>80935</v>
      </c>
      <c r="I727" t="s">
        <v>1983</v>
      </c>
    </row>
    <row r="728" spans="1:9">
      <c r="A728" s="2" t="s">
        <v>1459</v>
      </c>
      <c r="B728" s="2" t="s">
        <v>5113</v>
      </c>
      <c r="C728" s="2"/>
      <c r="D728" s="2" t="s">
        <v>5114</v>
      </c>
      <c r="E728" s="2" t="s">
        <v>5115</v>
      </c>
      <c r="F728" s="2" t="s">
        <v>5116</v>
      </c>
      <c r="G728" s="2" t="s">
        <v>19</v>
      </c>
      <c r="H728" s="2">
        <v>90831</v>
      </c>
      <c r="I728" t="s">
        <v>1983</v>
      </c>
    </row>
    <row r="729" spans="1:9">
      <c r="A729" s="2" t="s">
        <v>1461</v>
      </c>
      <c r="B729" s="2" t="s">
        <v>5117</v>
      </c>
      <c r="C729" s="2" t="s">
        <v>5118</v>
      </c>
      <c r="D729" s="2" t="s">
        <v>5119</v>
      </c>
      <c r="E729" s="2" t="s">
        <v>5120</v>
      </c>
      <c r="F729" s="2" t="s">
        <v>5121</v>
      </c>
      <c r="G729" s="2" t="s">
        <v>17</v>
      </c>
      <c r="H729" s="2" t="s">
        <v>5122</v>
      </c>
      <c r="I729" t="s">
        <v>1975</v>
      </c>
    </row>
    <row r="730" spans="1:9">
      <c r="A730" s="2" t="s">
        <v>1463</v>
      </c>
      <c r="B730" s="2" t="s">
        <v>5123</v>
      </c>
      <c r="C730" s="2" t="s">
        <v>5124</v>
      </c>
      <c r="D730" s="2" t="s">
        <v>5125</v>
      </c>
      <c r="E730" s="2" t="s">
        <v>5126</v>
      </c>
      <c r="F730" s="2" t="s">
        <v>2401</v>
      </c>
      <c r="G730" s="2" t="s">
        <v>19</v>
      </c>
      <c r="H730" s="2">
        <v>89510</v>
      </c>
      <c r="I730" t="s">
        <v>1975</v>
      </c>
    </row>
    <row r="731" spans="1:9">
      <c r="A731" s="2" t="s">
        <v>1465</v>
      </c>
      <c r="B731" s="2" t="s">
        <v>5127</v>
      </c>
      <c r="C731" s="2" t="s">
        <v>5128</v>
      </c>
      <c r="D731" s="2" t="s">
        <v>5129</v>
      </c>
      <c r="E731" s="2" t="s">
        <v>5130</v>
      </c>
      <c r="F731" s="2" t="s">
        <v>2147</v>
      </c>
      <c r="G731" s="2" t="s">
        <v>18</v>
      </c>
      <c r="H731" s="2" t="s">
        <v>2148</v>
      </c>
      <c r="I731" t="s">
        <v>1983</v>
      </c>
    </row>
    <row r="732" spans="1:9">
      <c r="A732" s="2" t="s">
        <v>1467</v>
      </c>
      <c r="B732" s="2" t="s">
        <v>5131</v>
      </c>
      <c r="C732" s="2" t="s">
        <v>5132</v>
      </c>
      <c r="D732" s="2" t="s">
        <v>5133</v>
      </c>
      <c r="E732" s="2" t="s">
        <v>5134</v>
      </c>
      <c r="F732" s="2" t="s">
        <v>3401</v>
      </c>
      <c r="G732" s="2" t="s">
        <v>19</v>
      </c>
      <c r="H732" s="2">
        <v>89155</v>
      </c>
      <c r="I732" t="s">
        <v>1983</v>
      </c>
    </row>
    <row r="733" spans="1:9">
      <c r="A733" s="2" t="s">
        <v>1469</v>
      </c>
      <c r="B733" s="2" t="s">
        <v>5135</v>
      </c>
      <c r="C733" s="2"/>
      <c r="D733" s="2" t="s">
        <v>5136</v>
      </c>
      <c r="E733" s="2" t="s">
        <v>5137</v>
      </c>
      <c r="F733" s="2" t="s">
        <v>5138</v>
      </c>
      <c r="G733" s="2" t="s">
        <v>19</v>
      </c>
      <c r="H733" s="2">
        <v>19805</v>
      </c>
      <c r="I733" t="s">
        <v>1975</v>
      </c>
    </row>
    <row r="734" spans="1:9">
      <c r="A734" s="2" t="s">
        <v>1471</v>
      </c>
      <c r="B734" s="2" t="s">
        <v>5139</v>
      </c>
      <c r="C734" s="2" t="s">
        <v>5140</v>
      </c>
      <c r="D734" s="2" t="s">
        <v>5141</v>
      </c>
      <c r="E734" s="2" t="s">
        <v>5142</v>
      </c>
      <c r="F734" s="2" t="s">
        <v>2401</v>
      </c>
      <c r="G734" s="2" t="s">
        <v>19</v>
      </c>
      <c r="H734" s="2">
        <v>89550</v>
      </c>
      <c r="I734" t="s">
        <v>1983</v>
      </c>
    </row>
    <row r="735" spans="1:9">
      <c r="A735" s="2" t="s">
        <v>1473</v>
      </c>
      <c r="B735" s="2" t="s">
        <v>5143</v>
      </c>
      <c r="C735" s="2" t="s">
        <v>5144</v>
      </c>
      <c r="D735" s="2" t="s">
        <v>5145</v>
      </c>
      <c r="E735" s="2" t="s">
        <v>5146</v>
      </c>
      <c r="F735" s="2" t="s">
        <v>2470</v>
      </c>
      <c r="G735" s="2" t="s">
        <v>19</v>
      </c>
      <c r="H735" s="2">
        <v>35487</v>
      </c>
      <c r="I735" t="s">
        <v>1975</v>
      </c>
    </row>
    <row r="736" spans="1:9">
      <c r="A736" s="2" t="s">
        <v>1475</v>
      </c>
      <c r="B736" s="2" t="s">
        <v>5147</v>
      </c>
      <c r="C736" s="2"/>
      <c r="D736" s="2" t="s">
        <v>5148</v>
      </c>
      <c r="E736" s="2" t="s">
        <v>5149</v>
      </c>
      <c r="F736" s="2" t="s">
        <v>5150</v>
      </c>
      <c r="G736" s="2" t="s">
        <v>19</v>
      </c>
      <c r="H736" s="2">
        <v>92645</v>
      </c>
      <c r="I736" t="s">
        <v>1983</v>
      </c>
    </row>
    <row r="737" spans="1:9">
      <c r="A737" s="2" t="s">
        <v>1477</v>
      </c>
      <c r="B737" s="2" t="s">
        <v>5151</v>
      </c>
      <c r="C737" s="2" t="s">
        <v>5152</v>
      </c>
      <c r="D737" s="2"/>
      <c r="E737" s="2" t="s">
        <v>5153</v>
      </c>
      <c r="F737" s="2" t="s">
        <v>3019</v>
      </c>
      <c r="G737" s="2" t="s">
        <v>19</v>
      </c>
      <c r="H737" s="2">
        <v>66225</v>
      </c>
      <c r="I737" t="s">
        <v>1983</v>
      </c>
    </row>
    <row r="738" spans="1:9">
      <c r="A738" s="2" t="s">
        <v>1479</v>
      </c>
      <c r="B738" s="2" t="s">
        <v>5154</v>
      </c>
      <c r="C738" s="2" t="s">
        <v>5155</v>
      </c>
      <c r="D738" s="2" t="s">
        <v>5156</v>
      </c>
      <c r="E738" s="2" t="s">
        <v>5157</v>
      </c>
      <c r="F738" s="2" t="s">
        <v>2631</v>
      </c>
      <c r="G738" s="2" t="s">
        <v>17</v>
      </c>
      <c r="H738" s="2" t="s">
        <v>2576</v>
      </c>
      <c r="I738" t="s">
        <v>1975</v>
      </c>
    </row>
    <row r="739" spans="1:9">
      <c r="A739" s="2" t="s">
        <v>1481</v>
      </c>
      <c r="B739" s="2" t="s">
        <v>5158</v>
      </c>
      <c r="C739" s="2" t="s">
        <v>5159</v>
      </c>
      <c r="D739" s="2" t="s">
        <v>5160</v>
      </c>
      <c r="E739" s="2" t="s">
        <v>5161</v>
      </c>
      <c r="F739" s="2" t="s">
        <v>3068</v>
      </c>
      <c r="G739" s="2" t="s">
        <v>19</v>
      </c>
      <c r="H739" s="2">
        <v>45228</v>
      </c>
      <c r="I739" t="s">
        <v>1983</v>
      </c>
    </row>
    <row r="740" spans="1:9">
      <c r="A740" s="2" t="s">
        <v>1483</v>
      </c>
      <c r="B740" s="2" t="s">
        <v>5162</v>
      </c>
      <c r="C740" s="2" t="s">
        <v>5163</v>
      </c>
      <c r="D740" s="2" t="s">
        <v>5164</v>
      </c>
      <c r="E740" s="2" t="s">
        <v>5165</v>
      </c>
      <c r="F740" s="2" t="s">
        <v>2943</v>
      </c>
      <c r="G740" s="2" t="s">
        <v>18</v>
      </c>
      <c r="H740" s="2" t="s">
        <v>2944</v>
      </c>
      <c r="I740" t="s">
        <v>1983</v>
      </c>
    </row>
    <row r="741" spans="1:9">
      <c r="A741" s="2" t="s">
        <v>5166</v>
      </c>
      <c r="B741" s="2" t="s">
        <v>5167</v>
      </c>
      <c r="C741" s="2"/>
      <c r="D741" s="2" t="s">
        <v>5168</v>
      </c>
      <c r="E741" s="2" t="s">
        <v>5169</v>
      </c>
      <c r="F741" s="2" t="s">
        <v>2054</v>
      </c>
      <c r="G741" s="2" t="s">
        <v>19</v>
      </c>
      <c r="H741" s="2">
        <v>97296</v>
      </c>
      <c r="I741" t="s">
        <v>1975</v>
      </c>
    </row>
    <row r="742" spans="1:9">
      <c r="A742" s="2" t="s">
        <v>1486</v>
      </c>
      <c r="B742" s="2" t="s">
        <v>5170</v>
      </c>
      <c r="C742" s="2" t="s">
        <v>5171</v>
      </c>
      <c r="D742" s="2" t="s">
        <v>5172</v>
      </c>
      <c r="E742" s="2" t="s">
        <v>5173</v>
      </c>
      <c r="F742" s="2" t="s">
        <v>5042</v>
      </c>
      <c r="G742" s="2" t="s">
        <v>17</v>
      </c>
      <c r="H742" s="2" t="s">
        <v>3944</v>
      </c>
      <c r="I742" t="s">
        <v>1983</v>
      </c>
    </row>
    <row r="743" spans="1:9">
      <c r="A743" s="2" t="s">
        <v>1488</v>
      </c>
      <c r="B743" s="2" t="s">
        <v>5174</v>
      </c>
      <c r="C743" s="2" t="s">
        <v>5175</v>
      </c>
      <c r="D743" s="2" t="s">
        <v>5176</v>
      </c>
      <c r="E743" s="2" t="s">
        <v>5177</v>
      </c>
      <c r="F743" s="2" t="s">
        <v>4842</v>
      </c>
      <c r="G743" s="2" t="s">
        <v>19</v>
      </c>
      <c r="H743" s="2">
        <v>94089</v>
      </c>
      <c r="I743" t="s">
        <v>1983</v>
      </c>
    </row>
    <row r="744" spans="1:9">
      <c r="A744" s="2" t="s">
        <v>1490</v>
      </c>
      <c r="B744" s="2" t="s">
        <v>5178</v>
      </c>
      <c r="C744" s="2" t="s">
        <v>5179</v>
      </c>
      <c r="D744" s="2" t="s">
        <v>5180</v>
      </c>
      <c r="E744" s="2" t="s">
        <v>5181</v>
      </c>
      <c r="F744" s="2" t="s">
        <v>2876</v>
      </c>
      <c r="G744" s="2" t="s">
        <v>19</v>
      </c>
      <c r="H744" s="2">
        <v>38188</v>
      </c>
      <c r="I744" t="s">
        <v>1983</v>
      </c>
    </row>
    <row r="745" spans="1:9">
      <c r="A745" s="2" t="s">
        <v>1492</v>
      </c>
      <c r="B745" s="2" t="s">
        <v>5182</v>
      </c>
      <c r="C745" s="2" t="s">
        <v>5183</v>
      </c>
      <c r="D745" s="2" t="s">
        <v>5184</v>
      </c>
      <c r="E745" s="2" t="s">
        <v>5185</v>
      </c>
      <c r="F745" s="2" t="s">
        <v>4432</v>
      </c>
      <c r="G745" s="2" t="s">
        <v>19</v>
      </c>
      <c r="H745" s="2">
        <v>32868</v>
      </c>
      <c r="I745" t="s">
        <v>1983</v>
      </c>
    </row>
    <row r="746" spans="1:9">
      <c r="A746" s="2" t="s">
        <v>1494</v>
      </c>
      <c r="B746" s="2" t="s">
        <v>5186</v>
      </c>
      <c r="C746" s="2"/>
      <c r="D746" s="2" t="s">
        <v>5187</v>
      </c>
      <c r="E746" s="2" t="s">
        <v>5188</v>
      </c>
      <c r="F746" s="2" t="s">
        <v>2852</v>
      </c>
      <c r="G746" s="2" t="s">
        <v>19</v>
      </c>
      <c r="H746" s="2">
        <v>48232</v>
      </c>
      <c r="I746" t="s">
        <v>1975</v>
      </c>
    </row>
    <row r="747" spans="1:9">
      <c r="A747" s="2" t="s">
        <v>1496</v>
      </c>
      <c r="B747" s="2" t="s">
        <v>5189</v>
      </c>
      <c r="C747" s="2" t="s">
        <v>5190</v>
      </c>
      <c r="D747" s="2" t="s">
        <v>5191</v>
      </c>
      <c r="E747" s="2" t="s">
        <v>5192</v>
      </c>
      <c r="F747" s="2" t="s">
        <v>5193</v>
      </c>
      <c r="G747" s="2" t="s">
        <v>17</v>
      </c>
      <c r="H747" s="2" t="s">
        <v>5194</v>
      </c>
      <c r="I747" t="s">
        <v>1983</v>
      </c>
    </row>
    <row r="748" spans="1:9">
      <c r="A748" s="2" t="s">
        <v>1498</v>
      </c>
      <c r="B748" s="2" t="s">
        <v>5195</v>
      </c>
      <c r="C748" s="2" t="s">
        <v>5196</v>
      </c>
      <c r="D748" s="2" t="s">
        <v>5197</v>
      </c>
      <c r="E748" s="2" t="s">
        <v>5198</v>
      </c>
      <c r="F748" s="2" t="s">
        <v>5199</v>
      </c>
      <c r="G748" s="2" t="s">
        <v>17</v>
      </c>
      <c r="H748" s="2" t="s">
        <v>2757</v>
      </c>
      <c r="I748" t="s">
        <v>1983</v>
      </c>
    </row>
    <row r="749" spans="1:9">
      <c r="A749" s="2" t="s">
        <v>1500</v>
      </c>
      <c r="B749" s="2" t="s">
        <v>5200</v>
      </c>
      <c r="C749" s="2" t="s">
        <v>5201</v>
      </c>
      <c r="D749" s="2" t="s">
        <v>5202</v>
      </c>
      <c r="E749" s="2" t="s">
        <v>5203</v>
      </c>
      <c r="F749" s="2" t="s">
        <v>5204</v>
      </c>
      <c r="G749" s="2" t="s">
        <v>17</v>
      </c>
      <c r="H749" s="2" t="s">
        <v>5205</v>
      </c>
      <c r="I749" t="s">
        <v>1975</v>
      </c>
    </row>
    <row r="750" spans="1:9">
      <c r="A750" s="2" t="s">
        <v>1502</v>
      </c>
      <c r="B750" s="2" t="s">
        <v>5206</v>
      </c>
      <c r="C750" s="2" t="s">
        <v>5207</v>
      </c>
      <c r="D750" s="2" t="s">
        <v>5208</v>
      </c>
      <c r="E750" s="2" t="s">
        <v>5209</v>
      </c>
      <c r="F750" s="2" t="s">
        <v>2036</v>
      </c>
      <c r="G750" s="2" t="s">
        <v>19</v>
      </c>
      <c r="H750" s="2">
        <v>23203</v>
      </c>
      <c r="I750" t="s">
        <v>1983</v>
      </c>
    </row>
    <row r="751" spans="1:9">
      <c r="A751" s="2" t="s">
        <v>1504</v>
      </c>
      <c r="B751" s="2" t="s">
        <v>5210</v>
      </c>
      <c r="C751" s="2" t="s">
        <v>5211</v>
      </c>
      <c r="D751" s="2" t="s">
        <v>5212</v>
      </c>
      <c r="E751" s="2" t="s">
        <v>5213</v>
      </c>
      <c r="F751" s="2" t="s">
        <v>5214</v>
      </c>
      <c r="G751" s="2" t="s">
        <v>17</v>
      </c>
      <c r="H751" s="2" t="s">
        <v>2567</v>
      </c>
      <c r="I751" t="s">
        <v>1975</v>
      </c>
    </row>
    <row r="752" spans="1:9">
      <c r="A752" s="2" t="s">
        <v>1506</v>
      </c>
      <c r="B752" s="2" t="s">
        <v>5215</v>
      </c>
      <c r="C752" s="2"/>
      <c r="D752" s="2" t="s">
        <v>5216</v>
      </c>
      <c r="E752" s="2" t="s">
        <v>5217</v>
      </c>
      <c r="F752" s="2" t="s">
        <v>2297</v>
      </c>
      <c r="G752" s="2" t="s">
        <v>19</v>
      </c>
      <c r="H752" s="2">
        <v>76178</v>
      </c>
      <c r="I752" t="s">
        <v>1975</v>
      </c>
    </row>
    <row r="753" spans="1:9">
      <c r="A753" s="2" t="s">
        <v>1508</v>
      </c>
      <c r="B753" s="2" t="s">
        <v>5218</v>
      </c>
      <c r="C753" s="2" t="s">
        <v>5219</v>
      </c>
      <c r="D753" s="2" t="s">
        <v>5220</v>
      </c>
      <c r="E753" s="2" t="s">
        <v>5221</v>
      </c>
      <c r="F753" s="2" t="s">
        <v>2807</v>
      </c>
      <c r="G753" s="2" t="s">
        <v>19</v>
      </c>
      <c r="H753" s="2">
        <v>11254</v>
      </c>
      <c r="I753" t="s">
        <v>1983</v>
      </c>
    </row>
    <row r="754" spans="1:9">
      <c r="A754" s="2" t="s">
        <v>1510</v>
      </c>
      <c r="B754" s="2" t="s">
        <v>5222</v>
      </c>
      <c r="C754" s="2" t="s">
        <v>5223</v>
      </c>
      <c r="D754" s="2" t="s">
        <v>5224</v>
      </c>
      <c r="E754" s="2" t="s">
        <v>5225</v>
      </c>
      <c r="F754" s="2" t="s">
        <v>2297</v>
      </c>
      <c r="G754" s="2" t="s">
        <v>19</v>
      </c>
      <c r="H754" s="2">
        <v>76198</v>
      </c>
      <c r="I754" t="s">
        <v>1975</v>
      </c>
    </row>
    <row r="755" spans="1:9">
      <c r="A755" s="2" t="s">
        <v>1512</v>
      </c>
      <c r="B755" s="2" t="s">
        <v>5226</v>
      </c>
      <c r="C755" s="2" t="s">
        <v>5227</v>
      </c>
      <c r="D755" s="2" t="s">
        <v>5228</v>
      </c>
      <c r="E755" s="2" t="s">
        <v>5229</v>
      </c>
      <c r="F755" s="2" t="s">
        <v>3130</v>
      </c>
      <c r="G755" s="2" t="s">
        <v>19</v>
      </c>
      <c r="H755" s="2">
        <v>85053</v>
      </c>
      <c r="I755" t="s">
        <v>1983</v>
      </c>
    </row>
    <row r="756" spans="1:9">
      <c r="A756" s="2" t="s">
        <v>5230</v>
      </c>
      <c r="B756" s="2" t="s">
        <v>5231</v>
      </c>
      <c r="C756" s="2" t="s">
        <v>5232</v>
      </c>
      <c r="D756" s="2"/>
      <c r="E756" s="2" t="s">
        <v>5233</v>
      </c>
      <c r="F756" s="2" t="s">
        <v>2217</v>
      </c>
      <c r="G756" s="2" t="s">
        <v>19</v>
      </c>
      <c r="H756" s="2">
        <v>20470</v>
      </c>
      <c r="I756" t="s">
        <v>1983</v>
      </c>
    </row>
    <row r="757" spans="1:9">
      <c r="A757" s="2" t="s">
        <v>1515</v>
      </c>
      <c r="B757" s="2" t="s">
        <v>5234</v>
      </c>
      <c r="C757" s="2" t="s">
        <v>5235</v>
      </c>
      <c r="D757" s="2" t="s">
        <v>5236</v>
      </c>
      <c r="E757" s="2" t="s">
        <v>5237</v>
      </c>
      <c r="F757" s="2" t="s">
        <v>2356</v>
      </c>
      <c r="G757" s="2" t="s">
        <v>19</v>
      </c>
      <c r="H757" s="2">
        <v>75287</v>
      </c>
      <c r="I757" t="s">
        <v>1983</v>
      </c>
    </row>
    <row r="758" spans="1:9">
      <c r="A758" s="2" t="s">
        <v>1517</v>
      </c>
      <c r="B758" s="2" t="s">
        <v>5238</v>
      </c>
      <c r="C758" s="2" t="s">
        <v>5239</v>
      </c>
      <c r="D758" s="2" t="s">
        <v>5240</v>
      </c>
      <c r="E758" s="2" t="s">
        <v>5241</v>
      </c>
      <c r="F758" s="2" t="s">
        <v>3718</v>
      </c>
      <c r="G758" s="2" t="s">
        <v>19</v>
      </c>
      <c r="H758" s="2">
        <v>28805</v>
      </c>
      <c r="I758" t="s">
        <v>1975</v>
      </c>
    </row>
    <row r="759" spans="1:9">
      <c r="A759" s="2" t="s">
        <v>1519</v>
      </c>
      <c r="B759" s="2" t="s">
        <v>5242</v>
      </c>
      <c r="C759" s="2" t="s">
        <v>5243</v>
      </c>
      <c r="D759" s="2" t="s">
        <v>5244</v>
      </c>
      <c r="E759" s="2" t="s">
        <v>5245</v>
      </c>
      <c r="F759" s="2" t="s">
        <v>5246</v>
      </c>
      <c r="G759" s="2" t="s">
        <v>19</v>
      </c>
      <c r="H759" s="2">
        <v>59112</v>
      </c>
      <c r="I759" t="s">
        <v>1975</v>
      </c>
    </row>
    <row r="760" spans="1:9">
      <c r="A760" s="2" t="s">
        <v>1521</v>
      </c>
      <c r="B760" s="2" t="s">
        <v>5247</v>
      </c>
      <c r="C760" s="2" t="s">
        <v>5248</v>
      </c>
      <c r="D760" s="2"/>
      <c r="E760" s="2" t="s">
        <v>5249</v>
      </c>
      <c r="F760" s="2" t="s">
        <v>2045</v>
      </c>
      <c r="G760" s="2" t="s">
        <v>19</v>
      </c>
      <c r="H760" s="2">
        <v>63126</v>
      </c>
      <c r="I760" t="s">
        <v>1983</v>
      </c>
    </row>
    <row r="761" spans="1:9">
      <c r="A761" s="2" t="s">
        <v>1523</v>
      </c>
      <c r="B761" s="2" t="s">
        <v>5250</v>
      </c>
      <c r="C761" s="2" t="s">
        <v>5251</v>
      </c>
      <c r="D761" s="2" t="s">
        <v>5252</v>
      </c>
      <c r="E761" s="2" t="s">
        <v>5253</v>
      </c>
      <c r="F761" s="2" t="s">
        <v>5254</v>
      </c>
      <c r="G761" s="2" t="s">
        <v>19</v>
      </c>
      <c r="H761" s="2">
        <v>64054</v>
      </c>
      <c r="I761" t="s">
        <v>1975</v>
      </c>
    </row>
    <row r="762" spans="1:9">
      <c r="A762" s="2" t="s">
        <v>1525</v>
      </c>
      <c r="B762" s="2" t="s">
        <v>5255</v>
      </c>
      <c r="C762" s="2" t="s">
        <v>5256</v>
      </c>
      <c r="D762" s="2"/>
      <c r="E762" s="2" t="s">
        <v>5257</v>
      </c>
      <c r="F762" s="2" t="s">
        <v>2725</v>
      </c>
      <c r="G762" s="2" t="s">
        <v>19</v>
      </c>
      <c r="H762" s="2">
        <v>27404</v>
      </c>
      <c r="I762" t="s">
        <v>1983</v>
      </c>
    </row>
    <row r="763" spans="1:9">
      <c r="A763" s="2" t="s">
        <v>1527</v>
      </c>
      <c r="B763" s="2" t="s">
        <v>5258</v>
      </c>
      <c r="C763" s="2" t="s">
        <v>5259</v>
      </c>
      <c r="D763" s="2"/>
      <c r="E763" s="2" t="s">
        <v>5260</v>
      </c>
      <c r="F763" s="2" t="s">
        <v>5261</v>
      </c>
      <c r="G763" s="2" t="s">
        <v>19</v>
      </c>
      <c r="H763" s="2">
        <v>71213</v>
      </c>
      <c r="I763" t="s">
        <v>1975</v>
      </c>
    </row>
    <row r="764" spans="1:9">
      <c r="A764" s="2" t="s">
        <v>1529</v>
      </c>
      <c r="B764" s="2" t="s">
        <v>5262</v>
      </c>
      <c r="C764" s="2" t="s">
        <v>5263</v>
      </c>
      <c r="D764" s="2" t="s">
        <v>5264</v>
      </c>
      <c r="E764" s="2" t="s">
        <v>5265</v>
      </c>
      <c r="F764" s="2" t="s">
        <v>4453</v>
      </c>
      <c r="G764" s="2" t="s">
        <v>18</v>
      </c>
      <c r="H764" s="2" t="s">
        <v>4454</v>
      </c>
      <c r="I764" t="s">
        <v>1983</v>
      </c>
    </row>
    <row r="765" spans="1:9">
      <c r="A765" s="2" t="s">
        <v>1531</v>
      </c>
      <c r="B765" s="2" t="s">
        <v>5266</v>
      </c>
      <c r="C765" s="2"/>
      <c r="D765" s="2" t="s">
        <v>5267</v>
      </c>
      <c r="E765" s="2" t="s">
        <v>5268</v>
      </c>
      <c r="F765" s="2" t="s">
        <v>2297</v>
      </c>
      <c r="G765" s="2" t="s">
        <v>19</v>
      </c>
      <c r="H765" s="2">
        <v>76129</v>
      </c>
      <c r="I765" t="s">
        <v>1983</v>
      </c>
    </row>
    <row r="766" spans="1:9">
      <c r="A766" s="2" t="s">
        <v>1533</v>
      </c>
      <c r="B766" s="2" t="s">
        <v>5269</v>
      </c>
      <c r="C766" s="2" t="s">
        <v>5270</v>
      </c>
      <c r="D766" s="2" t="s">
        <v>5271</v>
      </c>
      <c r="E766" s="2" t="s">
        <v>5272</v>
      </c>
      <c r="F766" s="2" t="s">
        <v>2581</v>
      </c>
      <c r="G766" s="2" t="s">
        <v>19</v>
      </c>
      <c r="H766" s="2">
        <v>58122</v>
      </c>
      <c r="I766" t="s">
        <v>1975</v>
      </c>
    </row>
    <row r="767" spans="1:9">
      <c r="A767" s="2" t="s">
        <v>1535</v>
      </c>
      <c r="B767" s="2" t="s">
        <v>5273</v>
      </c>
      <c r="C767" s="2" t="s">
        <v>5274</v>
      </c>
      <c r="D767" s="2" t="s">
        <v>5275</v>
      </c>
      <c r="E767" s="2" t="s">
        <v>5276</v>
      </c>
      <c r="F767" s="2" t="s">
        <v>2822</v>
      </c>
      <c r="G767" s="2" t="s">
        <v>19</v>
      </c>
      <c r="H767" s="2">
        <v>75044</v>
      </c>
      <c r="I767" t="s">
        <v>1975</v>
      </c>
    </row>
    <row r="768" spans="1:9">
      <c r="A768" s="2" t="s">
        <v>5277</v>
      </c>
      <c r="B768" s="2" t="s">
        <v>5278</v>
      </c>
      <c r="C768" s="2" t="s">
        <v>5279</v>
      </c>
      <c r="D768" s="2" t="s">
        <v>5280</v>
      </c>
      <c r="E768" s="2" t="s">
        <v>5281</v>
      </c>
      <c r="F768" s="2" t="s">
        <v>2318</v>
      </c>
      <c r="G768" s="2" t="s">
        <v>19</v>
      </c>
      <c r="H768" s="2">
        <v>43231</v>
      </c>
      <c r="I768" t="s">
        <v>1983</v>
      </c>
    </row>
    <row r="769" spans="1:9">
      <c r="A769" s="2" t="s">
        <v>5282</v>
      </c>
      <c r="B769" s="2" t="s">
        <v>5283</v>
      </c>
      <c r="C769" s="2" t="s">
        <v>5284</v>
      </c>
      <c r="D769" s="2" t="s">
        <v>5285</v>
      </c>
      <c r="E769" s="2" t="s">
        <v>5286</v>
      </c>
      <c r="F769" s="2" t="s">
        <v>2418</v>
      </c>
      <c r="G769" s="2" t="s">
        <v>19</v>
      </c>
      <c r="H769" s="2">
        <v>78737</v>
      </c>
      <c r="I769" t="s">
        <v>1983</v>
      </c>
    </row>
    <row r="770" spans="1:9">
      <c r="A770" s="2" t="s">
        <v>5287</v>
      </c>
      <c r="B770" s="2" t="s">
        <v>5288</v>
      </c>
      <c r="C770" s="2"/>
      <c r="D770" s="2" t="s">
        <v>5289</v>
      </c>
      <c r="E770" s="2" t="s">
        <v>5290</v>
      </c>
      <c r="F770" s="2" t="s">
        <v>2775</v>
      </c>
      <c r="G770" s="2" t="s">
        <v>19</v>
      </c>
      <c r="H770" s="2">
        <v>36104</v>
      </c>
      <c r="I770" t="s">
        <v>1975</v>
      </c>
    </row>
    <row r="771" spans="1:9">
      <c r="A771" s="2" t="s">
        <v>1539</v>
      </c>
      <c r="B771" s="2" t="s">
        <v>5291</v>
      </c>
      <c r="C771" s="2" t="s">
        <v>5292</v>
      </c>
      <c r="D771" s="2" t="s">
        <v>5293</v>
      </c>
      <c r="E771" s="2" t="s">
        <v>5294</v>
      </c>
      <c r="F771" s="2" t="s">
        <v>2203</v>
      </c>
      <c r="G771" s="2" t="s">
        <v>18</v>
      </c>
      <c r="H771" s="2" t="s">
        <v>3958</v>
      </c>
      <c r="I771" t="s">
        <v>1983</v>
      </c>
    </row>
    <row r="772" spans="1:9">
      <c r="A772" s="2" t="s">
        <v>1541</v>
      </c>
      <c r="B772" s="2" t="s">
        <v>5295</v>
      </c>
      <c r="C772" s="2" t="s">
        <v>5296</v>
      </c>
      <c r="D772" s="2"/>
      <c r="E772" s="2" t="s">
        <v>5297</v>
      </c>
      <c r="F772" s="2" t="s">
        <v>1994</v>
      </c>
      <c r="G772" s="2" t="s">
        <v>19</v>
      </c>
      <c r="H772" s="2">
        <v>22156</v>
      </c>
      <c r="I772" t="s">
        <v>1983</v>
      </c>
    </row>
    <row r="773" spans="1:9">
      <c r="A773" s="2" t="s">
        <v>1543</v>
      </c>
      <c r="B773" s="2" t="s">
        <v>5298</v>
      </c>
      <c r="C773" s="2" t="s">
        <v>5299</v>
      </c>
      <c r="D773" s="2" t="s">
        <v>5300</v>
      </c>
      <c r="E773" s="2" t="s">
        <v>5301</v>
      </c>
      <c r="F773" s="2" t="s">
        <v>5302</v>
      </c>
      <c r="G773" s="2" t="s">
        <v>19</v>
      </c>
      <c r="H773" s="2">
        <v>80126</v>
      </c>
      <c r="I773" t="s">
        <v>1983</v>
      </c>
    </row>
    <row r="774" spans="1:9">
      <c r="A774" s="2" t="s">
        <v>1545</v>
      </c>
      <c r="B774" s="2" t="s">
        <v>5303</v>
      </c>
      <c r="C774" s="2"/>
      <c r="D774" s="2" t="s">
        <v>5304</v>
      </c>
      <c r="E774" s="2" t="s">
        <v>5305</v>
      </c>
      <c r="F774" s="2" t="s">
        <v>3347</v>
      </c>
      <c r="G774" s="2" t="s">
        <v>19</v>
      </c>
      <c r="H774" s="2">
        <v>21275</v>
      </c>
      <c r="I774" t="s">
        <v>1983</v>
      </c>
    </row>
    <row r="775" spans="1:9">
      <c r="A775" s="2" t="s">
        <v>1547</v>
      </c>
      <c r="B775" s="2" t="s">
        <v>5306</v>
      </c>
      <c r="C775" s="2" t="s">
        <v>5307</v>
      </c>
      <c r="D775" s="2" t="s">
        <v>5308</v>
      </c>
      <c r="E775" s="2" t="s">
        <v>5309</v>
      </c>
      <c r="F775" s="2" t="s">
        <v>2345</v>
      </c>
      <c r="G775" s="2" t="s">
        <v>17</v>
      </c>
      <c r="H775" s="2" t="s">
        <v>2346</v>
      </c>
      <c r="I775" t="s">
        <v>1983</v>
      </c>
    </row>
    <row r="776" spans="1:9">
      <c r="A776" s="2" t="s">
        <v>1549</v>
      </c>
      <c r="B776" s="2" t="s">
        <v>5310</v>
      </c>
      <c r="C776" s="2"/>
      <c r="D776" s="2" t="s">
        <v>5311</v>
      </c>
      <c r="E776" s="2" t="s">
        <v>5312</v>
      </c>
      <c r="F776" s="2" t="s">
        <v>2222</v>
      </c>
      <c r="G776" s="2" t="s">
        <v>19</v>
      </c>
      <c r="H776" s="2">
        <v>33345</v>
      </c>
      <c r="I776" t="s">
        <v>1975</v>
      </c>
    </row>
    <row r="777" spans="1:9">
      <c r="A777" s="2" t="s">
        <v>1551</v>
      </c>
      <c r="B777" s="2" t="s">
        <v>5313</v>
      </c>
      <c r="C777" s="2" t="s">
        <v>5314</v>
      </c>
      <c r="D777" s="2" t="s">
        <v>5315</v>
      </c>
      <c r="E777" s="2" t="s">
        <v>5316</v>
      </c>
      <c r="F777" s="2" t="s">
        <v>3816</v>
      </c>
      <c r="G777" s="2" t="s">
        <v>19</v>
      </c>
      <c r="H777" s="2">
        <v>92191</v>
      </c>
      <c r="I777" t="s">
        <v>1975</v>
      </c>
    </row>
    <row r="778" spans="1:9">
      <c r="A778" s="2" t="s">
        <v>1553</v>
      </c>
      <c r="B778" s="2" t="s">
        <v>5317</v>
      </c>
      <c r="C778" s="2" t="s">
        <v>5318</v>
      </c>
      <c r="D778" s="2" t="s">
        <v>5319</v>
      </c>
      <c r="E778" s="2" t="s">
        <v>5320</v>
      </c>
      <c r="F778" s="2" t="s">
        <v>2356</v>
      </c>
      <c r="G778" s="2" t="s">
        <v>19</v>
      </c>
      <c r="H778" s="2">
        <v>75216</v>
      </c>
      <c r="I778" t="s">
        <v>1983</v>
      </c>
    </row>
    <row r="779" spans="1:9">
      <c r="A779" s="2" t="s">
        <v>1555</v>
      </c>
      <c r="B779" s="2" t="s">
        <v>5321</v>
      </c>
      <c r="C779" s="2" t="s">
        <v>5322</v>
      </c>
      <c r="D779" s="2"/>
      <c r="E779" s="2" t="s">
        <v>5323</v>
      </c>
      <c r="F779" s="2" t="s">
        <v>3356</v>
      </c>
      <c r="G779" s="2" t="s">
        <v>19</v>
      </c>
      <c r="H779" s="2">
        <v>60435</v>
      </c>
      <c r="I779" t="s">
        <v>1983</v>
      </c>
    </row>
    <row r="780" spans="1:9">
      <c r="A780" s="2" t="s">
        <v>5324</v>
      </c>
      <c r="B780" s="2" t="s">
        <v>5325</v>
      </c>
      <c r="C780" s="2" t="s">
        <v>5326</v>
      </c>
      <c r="D780" s="2" t="s">
        <v>5327</v>
      </c>
      <c r="E780" s="2" t="s">
        <v>5328</v>
      </c>
      <c r="F780" s="2" t="s">
        <v>2080</v>
      </c>
      <c r="G780" s="2" t="s">
        <v>19</v>
      </c>
      <c r="H780" s="2">
        <v>49510</v>
      </c>
      <c r="I780" t="s">
        <v>1975</v>
      </c>
    </row>
    <row r="781" spans="1:9">
      <c r="A781" s="2" t="s">
        <v>1559</v>
      </c>
      <c r="B781" s="2" t="s">
        <v>5329</v>
      </c>
      <c r="C781" s="2" t="s">
        <v>5330</v>
      </c>
      <c r="D781" s="2" t="s">
        <v>5331</v>
      </c>
      <c r="E781" s="2" t="s">
        <v>5332</v>
      </c>
      <c r="F781" s="2" t="s">
        <v>2744</v>
      </c>
      <c r="G781" s="2" t="s">
        <v>19</v>
      </c>
      <c r="H781" s="2">
        <v>34620</v>
      </c>
      <c r="I781" t="s">
        <v>1975</v>
      </c>
    </row>
    <row r="782" spans="1:9">
      <c r="A782" s="2" t="s">
        <v>1561</v>
      </c>
      <c r="B782" s="2" t="s">
        <v>5333</v>
      </c>
      <c r="C782" s="2"/>
      <c r="D782" s="2" t="s">
        <v>5334</v>
      </c>
      <c r="E782" s="2" t="s">
        <v>5335</v>
      </c>
      <c r="F782" s="2" t="s">
        <v>2168</v>
      </c>
      <c r="G782" s="2" t="s">
        <v>19</v>
      </c>
      <c r="H782" s="2">
        <v>55441</v>
      </c>
      <c r="I782" t="s">
        <v>1983</v>
      </c>
    </row>
    <row r="783" spans="1:9">
      <c r="A783" s="2" t="s">
        <v>1563</v>
      </c>
      <c r="B783" s="2" t="s">
        <v>5336</v>
      </c>
      <c r="C783" s="2" t="s">
        <v>5337</v>
      </c>
      <c r="D783" s="2" t="s">
        <v>5338</v>
      </c>
      <c r="E783" s="2" t="s">
        <v>5339</v>
      </c>
      <c r="F783" s="2" t="s">
        <v>3713</v>
      </c>
      <c r="G783" s="2" t="s">
        <v>19</v>
      </c>
      <c r="H783" s="2">
        <v>30045</v>
      </c>
      <c r="I783" t="s">
        <v>1983</v>
      </c>
    </row>
    <row r="784" spans="1:9">
      <c r="A784" s="2" t="s">
        <v>1565</v>
      </c>
      <c r="B784" s="2" t="s">
        <v>5340</v>
      </c>
      <c r="C784" s="2" t="s">
        <v>5341</v>
      </c>
      <c r="D784" s="2" t="s">
        <v>5342</v>
      </c>
      <c r="E784" s="2" t="s">
        <v>5343</v>
      </c>
      <c r="F784" s="2" t="s">
        <v>5344</v>
      </c>
      <c r="G784" s="2" t="s">
        <v>17</v>
      </c>
      <c r="H784" s="2" t="s">
        <v>5345</v>
      </c>
      <c r="I784" t="s">
        <v>1983</v>
      </c>
    </row>
    <row r="785" spans="1:9">
      <c r="A785" s="2" t="s">
        <v>1567</v>
      </c>
      <c r="B785" s="2" t="s">
        <v>5346</v>
      </c>
      <c r="C785" s="2" t="s">
        <v>5347</v>
      </c>
      <c r="D785" s="2" t="s">
        <v>5348</v>
      </c>
      <c r="E785" s="2" t="s">
        <v>5349</v>
      </c>
      <c r="F785" s="2" t="s">
        <v>2251</v>
      </c>
      <c r="G785" s="2" t="s">
        <v>19</v>
      </c>
      <c r="H785" s="2">
        <v>33673</v>
      </c>
      <c r="I785" t="s">
        <v>1975</v>
      </c>
    </row>
    <row r="786" spans="1:9">
      <c r="A786" s="2" t="s">
        <v>1569</v>
      </c>
      <c r="B786" s="2" t="s">
        <v>5350</v>
      </c>
      <c r="C786" s="2" t="s">
        <v>5351</v>
      </c>
      <c r="D786" s="2"/>
      <c r="E786" s="2" t="s">
        <v>5352</v>
      </c>
      <c r="F786" s="2" t="s">
        <v>2537</v>
      </c>
      <c r="G786" s="2" t="s">
        <v>19</v>
      </c>
      <c r="H786" s="2">
        <v>37240</v>
      </c>
      <c r="I786" t="s">
        <v>1983</v>
      </c>
    </row>
    <row r="787" spans="1:9">
      <c r="A787" s="2" t="s">
        <v>1571</v>
      </c>
      <c r="B787" s="2" t="s">
        <v>5353</v>
      </c>
      <c r="C787" s="2" t="s">
        <v>5354</v>
      </c>
      <c r="D787" s="2" t="s">
        <v>5355</v>
      </c>
      <c r="E787" s="2" t="s">
        <v>5356</v>
      </c>
      <c r="F787" s="2" t="s">
        <v>3612</v>
      </c>
      <c r="G787" s="2" t="s">
        <v>19</v>
      </c>
      <c r="H787" s="2">
        <v>33175</v>
      </c>
      <c r="I787" t="s">
        <v>1983</v>
      </c>
    </row>
    <row r="788" spans="1:9">
      <c r="A788" s="2" t="s">
        <v>1557</v>
      </c>
      <c r="B788" s="2" t="s">
        <v>5357</v>
      </c>
      <c r="C788" s="2" t="s">
        <v>5358</v>
      </c>
      <c r="D788" s="2" t="s">
        <v>5359</v>
      </c>
      <c r="E788" s="2" t="s">
        <v>5360</v>
      </c>
      <c r="F788" s="2" t="s">
        <v>2008</v>
      </c>
      <c r="G788" s="2" t="s">
        <v>19</v>
      </c>
      <c r="H788" s="2">
        <v>45426</v>
      </c>
      <c r="I788" t="s">
        <v>1975</v>
      </c>
    </row>
    <row r="789" spans="1:9">
      <c r="A789" s="2" t="s">
        <v>1574</v>
      </c>
      <c r="B789" s="2" t="s">
        <v>5361</v>
      </c>
      <c r="C789" s="2"/>
      <c r="D789" s="2" t="s">
        <v>5362</v>
      </c>
      <c r="E789" s="2" t="s">
        <v>5363</v>
      </c>
      <c r="F789" s="2" t="s">
        <v>2283</v>
      </c>
      <c r="G789" s="2" t="s">
        <v>19</v>
      </c>
      <c r="H789" s="2">
        <v>60686</v>
      </c>
      <c r="I789" t="s">
        <v>1975</v>
      </c>
    </row>
    <row r="790" spans="1:9">
      <c r="A790" s="2" t="s">
        <v>1576</v>
      </c>
      <c r="B790" s="2" t="s">
        <v>5364</v>
      </c>
      <c r="C790" s="2" t="s">
        <v>5365</v>
      </c>
      <c r="D790" s="2" t="s">
        <v>5366</v>
      </c>
      <c r="E790" s="2" t="s">
        <v>5367</v>
      </c>
      <c r="F790" s="2" t="s">
        <v>5368</v>
      </c>
      <c r="G790" s="2" t="s">
        <v>17</v>
      </c>
      <c r="H790" s="2" t="s">
        <v>5369</v>
      </c>
      <c r="I790" t="s">
        <v>1975</v>
      </c>
    </row>
    <row r="791" spans="1:9">
      <c r="A791" s="2" t="s">
        <v>1578</v>
      </c>
      <c r="B791" s="2" t="s">
        <v>5370</v>
      </c>
      <c r="C791" s="2" t="s">
        <v>5371</v>
      </c>
      <c r="D791" s="2" t="s">
        <v>5372</v>
      </c>
      <c r="E791" s="2" t="s">
        <v>5373</v>
      </c>
      <c r="F791" s="2" t="s">
        <v>2036</v>
      </c>
      <c r="G791" s="2" t="s">
        <v>19</v>
      </c>
      <c r="H791" s="2">
        <v>94807</v>
      </c>
      <c r="I791" t="s">
        <v>1983</v>
      </c>
    </row>
    <row r="792" spans="1:9">
      <c r="A792" s="2" t="s">
        <v>1580</v>
      </c>
      <c r="B792" s="2" t="s">
        <v>5374</v>
      </c>
      <c r="C792" s="2" t="s">
        <v>5375</v>
      </c>
      <c r="D792" s="2" t="s">
        <v>5376</v>
      </c>
      <c r="E792" s="2" t="s">
        <v>5377</v>
      </c>
      <c r="F792" s="2" t="s">
        <v>5378</v>
      </c>
      <c r="G792" s="2" t="s">
        <v>19</v>
      </c>
      <c r="H792" s="2">
        <v>98506</v>
      </c>
      <c r="I792" t="s">
        <v>1983</v>
      </c>
    </row>
    <row r="793" spans="1:9">
      <c r="A793" s="2" t="s">
        <v>1582</v>
      </c>
      <c r="B793" s="2" t="s">
        <v>5379</v>
      </c>
      <c r="C793" s="2" t="s">
        <v>5380</v>
      </c>
      <c r="D793" s="2" t="s">
        <v>5381</v>
      </c>
      <c r="E793" s="2" t="s">
        <v>5382</v>
      </c>
      <c r="F793" s="2" t="s">
        <v>2699</v>
      </c>
      <c r="G793" s="2" t="s">
        <v>19</v>
      </c>
      <c r="H793" s="2">
        <v>76011</v>
      </c>
      <c r="I793" t="s">
        <v>1975</v>
      </c>
    </row>
    <row r="794" spans="1:9">
      <c r="A794" s="2" t="s">
        <v>1584</v>
      </c>
      <c r="B794" s="2" t="s">
        <v>5383</v>
      </c>
      <c r="C794" s="2" t="s">
        <v>5384</v>
      </c>
      <c r="D794" s="2" t="s">
        <v>5385</v>
      </c>
      <c r="E794" s="2" t="s">
        <v>5386</v>
      </c>
      <c r="F794" s="2" t="s">
        <v>5387</v>
      </c>
      <c r="G794" s="2" t="s">
        <v>18</v>
      </c>
      <c r="H794" s="2" t="s">
        <v>5388</v>
      </c>
      <c r="I794" t="s">
        <v>1975</v>
      </c>
    </row>
    <row r="795" spans="1:9">
      <c r="A795" s="2" t="s">
        <v>1586</v>
      </c>
      <c r="B795" s="2" t="s">
        <v>5389</v>
      </c>
      <c r="C795" s="2" t="s">
        <v>5390</v>
      </c>
      <c r="D795" s="2" t="s">
        <v>5391</v>
      </c>
      <c r="E795" s="2" t="s">
        <v>5392</v>
      </c>
      <c r="F795" s="2" t="s">
        <v>2674</v>
      </c>
      <c r="G795" s="2" t="s">
        <v>19</v>
      </c>
      <c r="H795" s="2">
        <v>24009</v>
      </c>
      <c r="I795" t="s">
        <v>1983</v>
      </c>
    </row>
    <row r="796" spans="1:9">
      <c r="A796" s="2" t="s">
        <v>1588</v>
      </c>
      <c r="B796" s="2" t="s">
        <v>5393</v>
      </c>
      <c r="C796" s="2" t="s">
        <v>5394</v>
      </c>
      <c r="D796" s="2" t="s">
        <v>5395</v>
      </c>
      <c r="E796" s="2" t="s">
        <v>5396</v>
      </c>
      <c r="F796" s="2" t="s">
        <v>5397</v>
      </c>
      <c r="G796" s="2" t="s">
        <v>19</v>
      </c>
      <c r="H796" s="2">
        <v>11044</v>
      </c>
      <c r="I796" t="s">
        <v>1983</v>
      </c>
    </row>
    <row r="797" spans="1:9">
      <c r="A797" s="2" t="s">
        <v>1590</v>
      </c>
      <c r="B797" s="2" t="s">
        <v>5398</v>
      </c>
      <c r="C797" s="2" t="s">
        <v>5399</v>
      </c>
      <c r="D797" s="2" t="s">
        <v>5400</v>
      </c>
      <c r="E797" s="2" t="s">
        <v>5401</v>
      </c>
      <c r="F797" s="2" t="s">
        <v>3620</v>
      </c>
      <c r="G797" s="2" t="s">
        <v>19</v>
      </c>
      <c r="H797" s="2">
        <v>92825</v>
      </c>
      <c r="I797" t="s">
        <v>1983</v>
      </c>
    </row>
    <row r="798" spans="1:9">
      <c r="A798" s="2" t="s">
        <v>1592</v>
      </c>
      <c r="B798" s="2" t="s">
        <v>5402</v>
      </c>
      <c r="C798" s="2"/>
      <c r="D798" s="2" t="s">
        <v>5403</v>
      </c>
      <c r="E798" s="2" t="s">
        <v>5404</v>
      </c>
      <c r="F798" s="2" t="s">
        <v>3351</v>
      </c>
      <c r="G798" s="2" t="s">
        <v>19</v>
      </c>
      <c r="H798" s="2">
        <v>40596</v>
      </c>
      <c r="I798" t="s">
        <v>1983</v>
      </c>
    </row>
    <row r="799" spans="1:9">
      <c r="A799" s="2" t="s">
        <v>1594</v>
      </c>
      <c r="B799" s="2" t="s">
        <v>5405</v>
      </c>
      <c r="C799" s="2" t="s">
        <v>5406</v>
      </c>
      <c r="D799" s="2" t="s">
        <v>5407</v>
      </c>
      <c r="E799" s="2" t="s">
        <v>5408</v>
      </c>
      <c r="F799" s="2" t="s">
        <v>2251</v>
      </c>
      <c r="G799" s="2" t="s">
        <v>19</v>
      </c>
      <c r="H799" s="2">
        <v>33673</v>
      </c>
      <c r="I799" t="s">
        <v>1983</v>
      </c>
    </row>
    <row r="800" spans="1:9">
      <c r="A800" s="2" t="s">
        <v>1596</v>
      </c>
      <c r="B800" s="2" t="s">
        <v>5409</v>
      </c>
      <c r="C800" s="2" t="s">
        <v>5410</v>
      </c>
      <c r="D800" s="2" t="s">
        <v>5411</v>
      </c>
      <c r="E800" s="2" t="s">
        <v>5412</v>
      </c>
      <c r="F800" s="2" t="s">
        <v>2027</v>
      </c>
      <c r="G800" s="2" t="s">
        <v>19</v>
      </c>
      <c r="H800" s="2">
        <v>95138</v>
      </c>
      <c r="I800" t="s">
        <v>1975</v>
      </c>
    </row>
    <row r="801" spans="1:9">
      <c r="A801" s="2" t="s">
        <v>1598</v>
      </c>
      <c r="B801" s="2" t="s">
        <v>5413</v>
      </c>
      <c r="C801" s="2"/>
      <c r="D801" s="2"/>
      <c r="E801" s="2" t="s">
        <v>5414</v>
      </c>
      <c r="F801" s="2" t="s">
        <v>2217</v>
      </c>
      <c r="G801" s="2" t="s">
        <v>19</v>
      </c>
      <c r="H801" s="2">
        <v>20470</v>
      </c>
      <c r="I801" t="s">
        <v>1975</v>
      </c>
    </row>
    <row r="802" spans="1:9">
      <c r="A802" s="2" t="s">
        <v>1600</v>
      </c>
      <c r="B802" s="2" t="s">
        <v>5415</v>
      </c>
      <c r="C802" s="2" t="s">
        <v>5416</v>
      </c>
      <c r="D802" s="2" t="s">
        <v>5417</v>
      </c>
      <c r="E802" s="2" t="s">
        <v>5418</v>
      </c>
      <c r="F802" s="2" t="s">
        <v>4447</v>
      </c>
      <c r="G802" s="2" t="s">
        <v>17</v>
      </c>
      <c r="H802" s="2" t="s">
        <v>4448</v>
      </c>
      <c r="I802" t="s">
        <v>1983</v>
      </c>
    </row>
    <row r="803" spans="1:9">
      <c r="A803" s="2" t="s">
        <v>1602</v>
      </c>
      <c r="B803" s="2" t="s">
        <v>5419</v>
      </c>
      <c r="C803" s="2" t="s">
        <v>5420</v>
      </c>
      <c r="D803" s="2" t="s">
        <v>5421</v>
      </c>
      <c r="E803" s="2" t="s">
        <v>5422</v>
      </c>
      <c r="F803" s="2" t="s">
        <v>5378</v>
      </c>
      <c r="G803" s="2" t="s">
        <v>19</v>
      </c>
      <c r="H803" s="2">
        <v>98506</v>
      </c>
      <c r="I803" t="s">
        <v>1975</v>
      </c>
    </row>
    <row r="804" spans="1:9">
      <c r="A804" s="2" t="s">
        <v>1604</v>
      </c>
      <c r="B804" s="2" t="s">
        <v>5423</v>
      </c>
      <c r="C804" s="2" t="s">
        <v>5424</v>
      </c>
      <c r="D804" s="2" t="s">
        <v>5425</v>
      </c>
      <c r="E804" s="2" t="s">
        <v>5426</v>
      </c>
      <c r="F804" s="2" t="s">
        <v>5427</v>
      </c>
      <c r="G804" s="2" t="s">
        <v>19</v>
      </c>
      <c r="H804" s="2">
        <v>75185</v>
      </c>
      <c r="I804" t="s">
        <v>1983</v>
      </c>
    </row>
    <row r="805" spans="1:9">
      <c r="A805" s="2" t="s">
        <v>1606</v>
      </c>
      <c r="B805" s="2" t="s">
        <v>5428</v>
      </c>
      <c r="C805" s="2" t="s">
        <v>5429</v>
      </c>
      <c r="D805" s="2"/>
      <c r="E805" s="2" t="s">
        <v>5430</v>
      </c>
      <c r="F805" s="2" t="s">
        <v>3030</v>
      </c>
      <c r="G805" s="2" t="s">
        <v>19</v>
      </c>
      <c r="H805" s="2">
        <v>94207</v>
      </c>
      <c r="I805" t="s">
        <v>1983</v>
      </c>
    </row>
    <row r="806" spans="1:9">
      <c r="A806" s="2" t="s">
        <v>1608</v>
      </c>
      <c r="B806" s="2" t="s">
        <v>5431</v>
      </c>
      <c r="C806" s="2"/>
      <c r="D806" s="2" t="s">
        <v>5432</v>
      </c>
      <c r="E806" s="2" t="s">
        <v>5433</v>
      </c>
      <c r="F806" s="2" t="s">
        <v>3195</v>
      </c>
      <c r="G806" s="2" t="s">
        <v>18</v>
      </c>
      <c r="H806" s="2" t="s">
        <v>3196</v>
      </c>
      <c r="I806" t="s">
        <v>1983</v>
      </c>
    </row>
    <row r="807" spans="1:9">
      <c r="A807" s="2" t="s">
        <v>1610</v>
      </c>
      <c r="B807" s="2" t="s">
        <v>5434</v>
      </c>
      <c r="C807" s="2"/>
      <c r="D807" s="2" t="s">
        <v>5435</v>
      </c>
      <c r="E807" s="2" t="s">
        <v>5436</v>
      </c>
      <c r="F807" s="2" t="s">
        <v>5437</v>
      </c>
      <c r="G807" s="2" t="s">
        <v>19</v>
      </c>
      <c r="H807" s="2">
        <v>55590</v>
      </c>
      <c r="I807" t="s">
        <v>1983</v>
      </c>
    </row>
    <row r="808" spans="1:9">
      <c r="A808" s="2" t="s">
        <v>1612</v>
      </c>
      <c r="B808" s="2" t="s">
        <v>5438</v>
      </c>
      <c r="C808" s="2"/>
      <c r="D808" s="2"/>
      <c r="E808" s="2" t="s">
        <v>5439</v>
      </c>
      <c r="F808" s="2" t="s">
        <v>2230</v>
      </c>
      <c r="G808" s="2" t="s">
        <v>18</v>
      </c>
      <c r="H808" s="2" t="s">
        <v>2231</v>
      </c>
      <c r="I808" t="s">
        <v>1975</v>
      </c>
    </row>
    <row r="809" spans="1:9">
      <c r="A809" s="2" t="s">
        <v>1614</v>
      </c>
      <c r="B809" s="2" t="s">
        <v>5440</v>
      </c>
      <c r="C809" s="2" t="s">
        <v>5441</v>
      </c>
      <c r="D809" s="2" t="s">
        <v>5442</v>
      </c>
      <c r="E809" s="2" t="s">
        <v>5443</v>
      </c>
      <c r="F809" s="2" t="s">
        <v>3794</v>
      </c>
      <c r="G809" s="2" t="s">
        <v>17</v>
      </c>
      <c r="H809" s="2" t="s">
        <v>3795</v>
      </c>
      <c r="I809" t="s">
        <v>1983</v>
      </c>
    </row>
    <row r="810" spans="1:9">
      <c r="A810" s="2" t="s">
        <v>5444</v>
      </c>
      <c r="B810" s="2" t="s">
        <v>5445</v>
      </c>
      <c r="C810" s="2" t="s">
        <v>5446</v>
      </c>
      <c r="D810" s="2" t="s">
        <v>5447</v>
      </c>
      <c r="E810" s="2" t="s">
        <v>5448</v>
      </c>
      <c r="F810" s="2" t="s">
        <v>2131</v>
      </c>
      <c r="G810" s="2" t="s">
        <v>19</v>
      </c>
      <c r="H810" s="2">
        <v>11499</v>
      </c>
      <c r="I810" t="s">
        <v>1975</v>
      </c>
    </row>
    <row r="811" spans="1:9">
      <c r="A811" s="2" t="s">
        <v>1618</v>
      </c>
      <c r="B811" s="2" t="s">
        <v>5449</v>
      </c>
      <c r="C811" s="2"/>
      <c r="D811" s="2" t="s">
        <v>5450</v>
      </c>
      <c r="E811" s="2" t="s">
        <v>5451</v>
      </c>
      <c r="F811" s="2" t="s">
        <v>2479</v>
      </c>
      <c r="G811" s="2" t="s">
        <v>19</v>
      </c>
      <c r="H811" s="2">
        <v>79934</v>
      </c>
      <c r="I811" t="s">
        <v>1975</v>
      </c>
    </row>
    <row r="812" spans="1:9">
      <c r="A812" s="2" t="s">
        <v>1620</v>
      </c>
      <c r="B812" s="2" t="s">
        <v>5452</v>
      </c>
      <c r="C812" s="2" t="s">
        <v>5453</v>
      </c>
      <c r="D812" s="2" t="s">
        <v>5454</v>
      </c>
      <c r="E812" s="2" t="s">
        <v>5455</v>
      </c>
      <c r="F812" s="2" t="s">
        <v>5456</v>
      </c>
      <c r="G812" s="2" t="s">
        <v>19</v>
      </c>
      <c r="H812" s="2">
        <v>34643</v>
      </c>
      <c r="I812" t="s">
        <v>1983</v>
      </c>
    </row>
    <row r="813" spans="1:9">
      <c r="A813" s="2" t="s">
        <v>1622</v>
      </c>
      <c r="B813" s="2" t="s">
        <v>5457</v>
      </c>
      <c r="C813" s="2" t="s">
        <v>5458</v>
      </c>
      <c r="D813" s="2" t="s">
        <v>5459</v>
      </c>
      <c r="E813" s="2" t="s">
        <v>5460</v>
      </c>
      <c r="F813" s="2" t="s">
        <v>5461</v>
      </c>
      <c r="G813" s="2" t="s">
        <v>17</v>
      </c>
      <c r="H813" s="2" t="s">
        <v>2115</v>
      </c>
      <c r="I813" t="s">
        <v>1975</v>
      </c>
    </row>
    <row r="814" spans="1:9">
      <c r="A814" s="2" t="s">
        <v>5462</v>
      </c>
      <c r="B814" s="2" t="s">
        <v>5463</v>
      </c>
      <c r="C814" s="2" t="s">
        <v>5464</v>
      </c>
      <c r="D814" s="2" t="s">
        <v>5465</v>
      </c>
      <c r="E814" s="2" t="s">
        <v>5466</v>
      </c>
      <c r="F814" s="2" t="s">
        <v>5467</v>
      </c>
      <c r="G814" s="2" t="s">
        <v>18</v>
      </c>
      <c r="H814" s="2" t="s">
        <v>5468</v>
      </c>
      <c r="I814" t="s">
        <v>1975</v>
      </c>
    </row>
    <row r="815" spans="1:9">
      <c r="A815" s="2" t="s">
        <v>1624</v>
      </c>
      <c r="B815" s="2" t="s">
        <v>5469</v>
      </c>
      <c r="C815" s="2" t="s">
        <v>5470</v>
      </c>
      <c r="D815" s="2" t="s">
        <v>5471</v>
      </c>
      <c r="E815" s="2" t="s">
        <v>5472</v>
      </c>
      <c r="F815" s="2" t="s">
        <v>2393</v>
      </c>
      <c r="G815" s="2" t="s">
        <v>19</v>
      </c>
      <c r="H815" s="2">
        <v>73179</v>
      </c>
      <c r="I815" t="s">
        <v>1975</v>
      </c>
    </row>
    <row r="816" spans="1:9">
      <c r="A816" s="2" t="s">
        <v>1626</v>
      </c>
      <c r="B816" s="2" t="s">
        <v>5473</v>
      </c>
      <c r="C816" s="2" t="s">
        <v>5474</v>
      </c>
      <c r="D816" s="2" t="s">
        <v>5475</v>
      </c>
      <c r="E816" s="2" t="s">
        <v>5476</v>
      </c>
      <c r="F816" s="2" t="s">
        <v>2217</v>
      </c>
      <c r="G816" s="2" t="s">
        <v>19</v>
      </c>
      <c r="H816" s="2">
        <v>20051</v>
      </c>
      <c r="I816" t="s">
        <v>1983</v>
      </c>
    </row>
    <row r="817" spans="1:9">
      <c r="A817" s="2" t="s">
        <v>1628</v>
      </c>
      <c r="B817" s="2" t="s">
        <v>5477</v>
      </c>
      <c r="C817" s="2" t="s">
        <v>5478</v>
      </c>
      <c r="D817" s="2" t="s">
        <v>5479</v>
      </c>
      <c r="E817" s="2" t="s">
        <v>5480</v>
      </c>
      <c r="F817" s="2" t="s">
        <v>3080</v>
      </c>
      <c r="G817" s="2" t="s">
        <v>19</v>
      </c>
      <c r="H817" s="2">
        <v>30351</v>
      </c>
      <c r="I817" t="s">
        <v>1983</v>
      </c>
    </row>
    <row r="818" spans="1:9">
      <c r="A818" s="2" t="s">
        <v>1630</v>
      </c>
      <c r="B818" s="2" t="s">
        <v>5481</v>
      </c>
      <c r="C818" s="2" t="s">
        <v>5482</v>
      </c>
      <c r="D818" s="2" t="s">
        <v>5483</v>
      </c>
      <c r="E818" s="2" t="s">
        <v>5484</v>
      </c>
      <c r="F818" s="2" t="s">
        <v>2735</v>
      </c>
      <c r="G818" s="2" t="s">
        <v>17</v>
      </c>
      <c r="H818" s="2" t="s">
        <v>2736</v>
      </c>
      <c r="I818" t="s">
        <v>1983</v>
      </c>
    </row>
    <row r="819" spans="1:9">
      <c r="A819" s="2" t="s">
        <v>1632</v>
      </c>
      <c r="B819" s="2" t="s">
        <v>5485</v>
      </c>
      <c r="C819" s="2" t="s">
        <v>5486</v>
      </c>
      <c r="D819" s="2"/>
      <c r="E819" s="2" t="s">
        <v>5487</v>
      </c>
      <c r="F819" s="2" t="s">
        <v>2381</v>
      </c>
      <c r="G819" s="2" t="s">
        <v>19</v>
      </c>
      <c r="H819" s="2">
        <v>14276</v>
      </c>
      <c r="I819" t="s">
        <v>1983</v>
      </c>
    </row>
    <row r="820" spans="1:9">
      <c r="A820" s="2" t="s">
        <v>1616</v>
      </c>
      <c r="B820" s="2" t="s">
        <v>5488</v>
      </c>
      <c r="C820" s="2"/>
      <c r="D820" s="2" t="s">
        <v>5489</v>
      </c>
      <c r="E820" s="2" t="s">
        <v>5490</v>
      </c>
      <c r="F820" s="2" t="s">
        <v>2059</v>
      </c>
      <c r="G820" s="2" t="s">
        <v>19</v>
      </c>
      <c r="H820" s="2">
        <v>77260</v>
      </c>
      <c r="I820" t="s">
        <v>1983</v>
      </c>
    </row>
    <row r="821" spans="1:9">
      <c r="A821" s="2" t="s">
        <v>1635</v>
      </c>
      <c r="B821" s="2" t="s">
        <v>5491</v>
      </c>
      <c r="C821" s="2" t="s">
        <v>5492</v>
      </c>
      <c r="D821" s="2" t="s">
        <v>5493</v>
      </c>
      <c r="E821" s="2" t="s">
        <v>5494</v>
      </c>
      <c r="F821" s="2" t="s">
        <v>2217</v>
      </c>
      <c r="G821" s="2" t="s">
        <v>19</v>
      </c>
      <c r="H821" s="2">
        <v>20470</v>
      </c>
      <c r="I821" t="s">
        <v>1975</v>
      </c>
    </row>
    <row r="822" spans="1:9">
      <c r="A822" s="2" t="s">
        <v>1637</v>
      </c>
      <c r="B822" s="2" t="s">
        <v>5495</v>
      </c>
      <c r="C822" s="2" t="s">
        <v>5496</v>
      </c>
      <c r="D822" s="2" t="s">
        <v>5497</v>
      </c>
      <c r="E822" s="2" t="s">
        <v>5498</v>
      </c>
      <c r="F822" s="2" t="s">
        <v>2418</v>
      </c>
      <c r="G822" s="2" t="s">
        <v>19</v>
      </c>
      <c r="H822" s="2">
        <v>78764</v>
      </c>
      <c r="I822" t="s">
        <v>1975</v>
      </c>
    </row>
    <row r="823" spans="1:9">
      <c r="A823" s="2" t="s">
        <v>1639</v>
      </c>
      <c r="B823" s="2" t="s">
        <v>5499</v>
      </c>
      <c r="C823" s="2" t="s">
        <v>5500</v>
      </c>
      <c r="D823" s="2" t="s">
        <v>5501</v>
      </c>
      <c r="E823" s="2" t="s">
        <v>5502</v>
      </c>
      <c r="F823" s="2" t="s">
        <v>2866</v>
      </c>
      <c r="G823" s="2" t="s">
        <v>19</v>
      </c>
      <c r="H823" s="2">
        <v>85205</v>
      </c>
      <c r="I823" t="s">
        <v>1983</v>
      </c>
    </row>
    <row r="824" spans="1:9">
      <c r="A824" s="2" t="s">
        <v>1641</v>
      </c>
      <c r="B824" s="2" t="s">
        <v>5503</v>
      </c>
      <c r="C824" s="2" t="s">
        <v>5504</v>
      </c>
      <c r="D824" s="2" t="s">
        <v>5505</v>
      </c>
      <c r="E824" s="2" t="s">
        <v>5506</v>
      </c>
      <c r="F824" s="2" t="s">
        <v>5507</v>
      </c>
      <c r="G824" s="2" t="s">
        <v>19</v>
      </c>
      <c r="H824" s="2">
        <v>31416</v>
      </c>
      <c r="I824" t="s">
        <v>1983</v>
      </c>
    </row>
    <row r="825" spans="1:9">
      <c r="A825" s="2" t="s">
        <v>1643</v>
      </c>
      <c r="B825" s="2" t="s">
        <v>5508</v>
      </c>
      <c r="C825" s="2" t="s">
        <v>5509</v>
      </c>
      <c r="D825" s="2" t="s">
        <v>5510</v>
      </c>
      <c r="E825" s="2" t="s">
        <v>5511</v>
      </c>
      <c r="F825" s="2" t="s">
        <v>5512</v>
      </c>
      <c r="G825" s="2" t="s">
        <v>19</v>
      </c>
      <c r="H825" s="2">
        <v>87140</v>
      </c>
      <c r="I825" t="s">
        <v>1975</v>
      </c>
    </row>
    <row r="826" spans="1:9">
      <c r="A826" s="2" t="s">
        <v>1645</v>
      </c>
      <c r="B826" s="2" t="s">
        <v>5513</v>
      </c>
      <c r="C826" s="2" t="s">
        <v>5514</v>
      </c>
      <c r="D826" s="2"/>
      <c r="E826" s="2" t="s">
        <v>5515</v>
      </c>
      <c r="F826" s="2" t="s">
        <v>2331</v>
      </c>
      <c r="G826" s="2" t="s">
        <v>19</v>
      </c>
      <c r="H826" s="2">
        <v>28299</v>
      </c>
      <c r="I826" t="s">
        <v>1975</v>
      </c>
    </row>
    <row r="827" spans="1:9">
      <c r="A827" s="2" t="s">
        <v>5516</v>
      </c>
      <c r="B827" s="2" t="s">
        <v>5517</v>
      </c>
      <c r="C827" s="2" t="s">
        <v>5518</v>
      </c>
      <c r="D827" s="2" t="s">
        <v>5519</v>
      </c>
      <c r="E827" s="2" t="s">
        <v>5520</v>
      </c>
      <c r="F827" s="2" t="s">
        <v>3816</v>
      </c>
      <c r="G827" s="2" t="s">
        <v>19</v>
      </c>
      <c r="H827" s="2">
        <v>92191</v>
      </c>
      <c r="I827" t="s">
        <v>1975</v>
      </c>
    </row>
    <row r="828" spans="1:9">
      <c r="A828" s="2" t="s">
        <v>1649</v>
      </c>
      <c r="B828" s="2" t="s">
        <v>5521</v>
      </c>
      <c r="C828" s="2" t="s">
        <v>5522</v>
      </c>
      <c r="D828" s="2" t="s">
        <v>5523</v>
      </c>
      <c r="E828" s="2" t="s">
        <v>5524</v>
      </c>
      <c r="F828" s="2" t="s">
        <v>2256</v>
      </c>
      <c r="G828" s="2" t="s">
        <v>19</v>
      </c>
      <c r="H828" s="2">
        <v>32575</v>
      </c>
      <c r="I828" t="s">
        <v>1975</v>
      </c>
    </row>
    <row r="829" spans="1:9">
      <c r="A829" s="2" t="s">
        <v>1651</v>
      </c>
      <c r="B829" s="2" t="s">
        <v>5525</v>
      </c>
      <c r="C829" s="2" t="s">
        <v>5526</v>
      </c>
      <c r="D829" s="2" t="s">
        <v>5527</v>
      </c>
      <c r="E829" s="2" t="s">
        <v>5528</v>
      </c>
      <c r="F829" s="2" t="s">
        <v>2217</v>
      </c>
      <c r="G829" s="2" t="s">
        <v>19</v>
      </c>
      <c r="H829" s="2">
        <v>20470</v>
      </c>
      <c r="I829" t="s">
        <v>1983</v>
      </c>
    </row>
    <row r="830" spans="1:9">
      <c r="A830" s="2" t="s">
        <v>1653</v>
      </c>
      <c r="B830" s="2" t="s">
        <v>5529</v>
      </c>
      <c r="C830" s="2" t="s">
        <v>5530</v>
      </c>
      <c r="D830" s="2" t="s">
        <v>5531</v>
      </c>
      <c r="E830" s="2" t="s">
        <v>5532</v>
      </c>
      <c r="F830" s="2" t="s">
        <v>5533</v>
      </c>
      <c r="G830" s="2" t="s">
        <v>19</v>
      </c>
      <c r="H830" s="2">
        <v>34985</v>
      </c>
      <c r="I830" t="s">
        <v>1975</v>
      </c>
    </row>
    <row r="831" spans="1:9">
      <c r="A831" s="2" t="s">
        <v>1655</v>
      </c>
      <c r="B831" s="2" t="s">
        <v>5534</v>
      </c>
      <c r="C831" s="2" t="s">
        <v>5535</v>
      </c>
      <c r="D831" s="2" t="s">
        <v>5536</v>
      </c>
      <c r="E831" s="2" t="s">
        <v>5537</v>
      </c>
      <c r="F831" s="2" t="s">
        <v>2512</v>
      </c>
      <c r="G831" s="2" t="s">
        <v>19</v>
      </c>
      <c r="H831" s="2">
        <v>25705</v>
      </c>
      <c r="I831" t="s">
        <v>1983</v>
      </c>
    </row>
    <row r="832" spans="1:9">
      <c r="A832" s="2" t="s">
        <v>1657</v>
      </c>
      <c r="B832" s="2" t="s">
        <v>5538</v>
      </c>
      <c r="C832" s="2" t="s">
        <v>5539</v>
      </c>
      <c r="D832" s="2" t="s">
        <v>5540</v>
      </c>
      <c r="E832" s="2" t="s">
        <v>5541</v>
      </c>
      <c r="F832" s="2" t="s">
        <v>2049</v>
      </c>
      <c r="G832" s="2" t="s">
        <v>19</v>
      </c>
      <c r="H832" s="2">
        <v>19172</v>
      </c>
      <c r="I832" t="s">
        <v>1983</v>
      </c>
    </row>
    <row r="833" spans="1:9">
      <c r="A833" s="2" t="s">
        <v>1647</v>
      </c>
      <c r="B833" s="2" t="s">
        <v>5542</v>
      </c>
      <c r="C833" s="2" t="s">
        <v>5543</v>
      </c>
      <c r="D833" s="2" t="s">
        <v>5544</v>
      </c>
      <c r="E833" s="2" t="s">
        <v>5545</v>
      </c>
      <c r="F833" s="2" t="s">
        <v>2393</v>
      </c>
      <c r="G833" s="2" t="s">
        <v>19</v>
      </c>
      <c r="H833" s="2">
        <v>73167</v>
      </c>
      <c r="I833" t="s">
        <v>1975</v>
      </c>
    </row>
    <row r="834" spans="1:9">
      <c r="A834" s="2" t="s">
        <v>1659</v>
      </c>
      <c r="B834" s="2" t="s">
        <v>5546</v>
      </c>
      <c r="C834" s="2" t="s">
        <v>5547</v>
      </c>
      <c r="D834" s="2" t="s">
        <v>5548</v>
      </c>
      <c r="E834" s="2" t="s">
        <v>5549</v>
      </c>
      <c r="F834" s="2" t="s">
        <v>2278</v>
      </c>
      <c r="G834" s="2" t="s">
        <v>19</v>
      </c>
      <c r="H834" s="2">
        <v>34114</v>
      </c>
      <c r="I834" t="s">
        <v>1983</v>
      </c>
    </row>
    <row r="835" spans="1:9">
      <c r="A835" s="2" t="s">
        <v>1661</v>
      </c>
      <c r="B835" s="2" t="s">
        <v>5550</v>
      </c>
      <c r="C835" s="2" t="s">
        <v>5551</v>
      </c>
      <c r="D835" s="2" t="s">
        <v>5552</v>
      </c>
      <c r="E835" s="2" t="s">
        <v>5553</v>
      </c>
      <c r="F835" s="2" t="s">
        <v>2297</v>
      </c>
      <c r="G835" s="2" t="s">
        <v>19</v>
      </c>
      <c r="H835" s="2">
        <v>76105</v>
      </c>
      <c r="I835" t="s">
        <v>1975</v>
      </c>
    </row>
    <row r="836" spans="1:9">
      <c r="A836" s="2" t="s">
        <v>1663</v>
      </c>
      <c r="B836" s="2" t="s">
        <v>5554</v>
      </c>
      <c r="C836" s="2" t="s">
        <v>5555</v>
      </c>
      <c r="D836" s="2" t="s">
        <v>5556</v>
      </c>
      <c r="E836" s="2" t="s">
        <v>5557</v>
      </c>
      <c r="F836" s="2" t="s">
        <v>5558</v>
      </c>
      <c r="G836" s="2" t="s">
        <v>19</v>
      </c>
      <c r="H836" s="2">
        <v>68117</v>
      </c>
      <c r="I836" t="s">
        <v>1983</v>
      </c>
    </row>
    <row r="837" spans="1:9">
      <c r="A837" s="2" t="s">
        <v>1665</v>
      </c>
      <c r="B837" s="2" t="s">
        <v>5559</v>
      </c>
      <c r="C837" s="2" t="s">
        <v>5560</v>
      </c>
      <c r="D837" s="2"/>
      <c r="E837" s="2" t="s">
        <v>5561</v>
      </c>
      <c r="F837" s="2" t="s">
        <v>2171</v>
      </c>
      <c r="G837" s="2" t="s">
        <v>19</v>
      </c>
      <c r="H837" s="2">
        <v>85732</v>
      </c>
      <c r="I837" t="s">
        <v>1975</v>
      </c>
    </row>
    <row r="838" spans="1:9">
      <c r="A838" s="2" t="s">
        <v>1667</v>
      </c>
      <c r="B838" s="2" t="s">
        <v>5562</v>
      </c>
      <c r="C838" s="2" t="s">
        <v>5563</v>
      </c>
      <c r="D838" s="2" t="s">
        <v>5564</v>
      </c>
      <c r="E838" s="2" t="s">
        <v>5565</v>
      </c>
      <c r="F838" s="2" t="s">
        <v>2779</v>
      </c>
      <c r="G838" s="2" t="s">
        <v>19</v>
      </c>
      <c r="H838" s="2">
        <v>89436</v>
      </c>
      <c r="I838" t="s">
        <v>1983</v>
      </c>
    </row>
    <row r="839" spans="1:9">
      <c r="A839" s="2" t="s">
        <v>5566</v>
      </c>
      <c r="B839" s="2" t="s">
        <v>5567</v>
      </c>
      <c r="C839" s="2" t="s">
        <v>5568</v>
      </c>
      <c r="D839" s="2" t="s">
        <v>5569</v>
      </c>
      <c r="E839" s="2" t="s">
        <v>5570</v>
      </c>
      <c r="F839" s="2" t="s">
        <v>4432</v>
      </c>
      <c r="G839" s="2" t="s">
        <v>19</v>
      </c>
      <c r="H839" s="2">
        <v>32835</v>
      </c>
      <c r="I839" t="s">
        <v>1975</v>
      </c>
    </row>
    <row r="840" spans="1:9">
      <c r="A840" s="2" t="s">
        <v>1670</v>
      </c>
      <c r="B840" s="2" t="s">
        <v>5571</v>
      </c>
      <c r="C840" s="2" t="s">
        <v>5572</v>
      </c>
      <c r="D840" s="2" t="s">
        <v>5573</v>
      </c>
      <c r="E840" s="2" t="s">
        <v>5574</v>
      </c>
      <c r="F840" s="2" t="s">
        <v>2217</v>
      </c>
      <c r="G840" s="2" t="s">
        <v>19</v>
      </c>
      <c r="H840" s="2">
        <v>20067</v>
      </c>
      <c r="I840" t="s">
        <v>1983</v>
      </c>
    </row>
    <row r="841" spans="1:9">
      <c r="A841" s="2" t="s">
        <v>1672</v>
      </c>
      <c r="B841" s="2" t="s">
        <v>5575</v>
      </c>
      <c r="C841" s="2" t="s">
        <v>5576</v>
      </c>
      <c r="D841" s="2" t="s">
        <v>5577</v>
      </c>
      <c r="E841" s="2" t="s">
        <v>5578</v>
      </c>
      <c r="F841" s="2" t="s">
        <v>5579</v>
      </c>
      <c r="G841" s="2" t="s">
        <v>19</v>
      </c>
      <c r="H841" s="2">
        <v>93907</v>
      </c>
      <c r="I841" t="s">
        <v>1983</v>
      </c>
    </row>
    <row r="842" spans="1:9">
      <c r="A842" s="2" t="s">
        <v>1674</v>
      </c>
      <c r="B842" s="2" t="s">
        <v>5580</v>
      </c>
      <c r="C842" s="2" t="s">
        <v>5581</v>
      </c>
      <c r="D842" s="2" t="s">
        <v>5582</v>
      </c>
      <c r="E842" s="2" t="s">
        <v>5583</v>
      </c>
      <c r="F842" s="2" t="s">
        <v>2222</v>
      </c>
      <c r="G842" s="2" t="s">
        <v>19</v>
      </c>
      <c r="H842" s="2">
        <v>33345</v>
      </c>
      <c r="I842" t="s">
        <v>1975</v>
      </c>
    </row>
    <row r="843" spans="1:9">
      <c r="A843" s="2" t="s">
        <v>1676</v>
      </c>
      <c r="B843" s="2" t="s">
        <v>5584</v>
      </c>
      <c r="C843" s="2" t="s">
        <v>5585</v>
      </c>
      <c r="D843" s="2"/>
      <c r="E843" s="2" t="s">
        <v>5586</v>
      </c>
      <c r="F843" s="2" t="s">
        <v>2479</v>
      </c>
      <c r="G843" s="2" t="s">
        <v>19</v>
      </c>
      <c r="H843" s="2">
        <v>88553</v>
      </c>
      <c r="I843" t="s">
        <v>1983</v>
      </c>
    </row>
    <row r="844" spans="1:9">
      <c r="A844" s="2" t="s">
        <v>5587</v>
      </c>
      <c r="B844" s="2" t="s">
        <v>5588</v>
      </c>
      <c r="C844" s="2" t="s">
        <v>5589</v>
      </c>
      <c r="D844" s="2"/>
      <c r="E844" s="2" t="s">
        <v>5590</v>
      </c>
      <c r="F844" s="2" t="s">
        <v>5591</v>
      </c>
      <c r="G844" s="2" t="s">
        <v>19</v>
      </c>
      <c r="H844" s="2">
        <v>91210</v>
      </c>
      <c r="I844" t="s">
        <v>1975</v>
      </c>
    </row>
    <row r="845" spans="1:9">
      <c r="A845" s="2" t="s">
        <v>1679</v>
      </c>
      <c r="B845" s="2" t="s">
        <v>5592</v>
      </c>
      <c r="C845" s="2" t="s">
        <v>5593</v>
      </c>
      <c r="D845" s="2" t="s">
        <v>5594</v>
      </c>
      <c r="E845" s="2" t="s">
        <v>5595</v>
      </c>
      <c r="F845" s="2" t="s">
        <v>2730</v>
      </c>
      <c r="G845" s="2" t="s">
        <v>19</v>
      </c>
      <c r="H845" s="2">
        <v>22313</v>
      </c>
      <c r="I845" t="s">
        <v>1975</v>
      </c>
    </row>
    <row r="846" spans="1:9">
      <c r="A846" s="2" t="s">
        <v>1681</v>
      </c>
      <c r="B846" s="2" t="s">
        <v>5596</v>
      </c>
      <c r="C846" s="2" t="s">
        <v>5597</v>
      </c>
      <c r="D846" s="2" t="s">
        <v>5598</v>
      </c>
      <c r="E846" s="2" t="s">
        <v>5599</v>
      </c>
      <c r="F846" s="2" t="s">
        <v>3347</v>
      </c>
      <c r="G846" s="2" t="s">
        <v>19</v>
      </c>
      <c r="H846" s="2">
        <v>21290</v>
      </c>
      <c r="I846" t="s">
        <v>1975</v>
      </c>
    </row>
    <row r="847" spans="1:9">
      <c r="A847" s="2" t="s">
        <v>1683</v>
      </c>
      <c r="B847" s="2" t="s">
        <v>5600</v>
      </c>
      <c r="C847" s="2" t="s">
        <v>5601</v>
      </c>
      <c r="D847" s="2"/>
      <c r="E847" s="2" t="s">
        <v>5602</v>
      </c>
      <c r="F847" s="2" t="s">
        <v>2586</v>
      </c>
      <c r="G847" s="2" t="s">
        <v>19</v>
      </c>
      <c r="H847" s="2">
        <v>47732</v>
      </c>
      <c r="I847" t="s">
        <v>1983</v>
      </c>
    </row>
    <row r="848" spans="1:9">
      <c r="A848" s="2" t="s">
        <v>1685</v>
      </c>
      <c r="B848" s="2" t="s">
        <v>5603</v>
      </c>
      <c r="C848" s="2"/>
      <c r="D848" s="2" t="s">
        <v>5604</v>
      </c>
      <c r="E848" s="2" t="s">
        <v>5605</v>
      </c>
      <c r="F848" s="2" t="s">
        <v>3713</v>
      </c>
      <c r="G848" s="2" t="s">
        <v>19</v>
      </c>
      <c r="H848" s="2">
        <v>30045</v>
      </c>
      <c r="I848" t="s">
        <v>1975</v>
      </c>
    </row>
    <row r="849" spans="1:9">
      <c r="A849" s="2" t="s">
        <v>1687</v>
      </c>
      <c r="B849" s="2" t="s">
        <v>5606</v>
      </c>
      <c r="C849" s="2" t="s">
        <v>5607</v>
      </c>
      <c r="D849" s="2"/>
      <c r="E849" s="2" t="s">
        <v>5608</v>
      </c>
      <c r="F849" s="2" t="s">
        <v>5609</v>
      </c>
      <c r="G849" s="2" t="s">
        <v>19</v>
      </c>
      <c r="H849" s="2">
        <v>36670</v>
      </c>
      <c r="I849" t="s">
        <v>1975</v>
      </c>
    </row>
    <row r="850" spans="1:9">
      <c r="A850" s="2" t="s">
        <v>1689</v>
      </c>
      <c r="B850" s="2" t="s">
        <v>5610</v>
      </c>
      <c r="C850" s="2"/>
      <c r="D850" s="2" t="s">
        <v>5611</v>
      </c>
      <c r="E850" s="2" t="s">
        <v>5612</v>
      </c>
      <c r="F850" s="2" t="s">
        <v>2351</v>
      </c>
      <c r="G850" s="2" t="s">
        <v>19</v>
      </c>
      <c r="H850" s="2">
        <v>79705</v>
      </c>
      <c r="I850" t="s">
        <v>1983</v>
      </c>
    </row>
    <row r="851" spans="1:9">
      <c r="A851" s="2" t="s">
        <v>1691</v>
      </c>
      <c r="B851" s="2" t="s">
        <v>5613</v>
      </c>
      <c r="C851" s="2" t="s">
        <v>5614</v>
      </c>
      <c r="D851" s="2" t="s">
        <v>5615</v>
      </c>
      <c r="E851" s="2" t="s">
        <v>5616</v>
      </c>
      <c r="F851" s="2" t="s">
        <v>5617</v>
      </c>
      <c r="G851" s="2" t="s">
        <v>19</v>
      </c>
      <c r="H851" s="2">
        <v>33023</v>
      </c>
      <c r="I851" t="s">
        <v>1975</v>
      </c>
    </row>
    <row r="852" spans="1:9">
      <c r="A852" s="2" t="s">
        <v>5618</v>
      </c>
      <c r="B852" s="2" t="s">
        <v>5619</v>
      </c>
      <c r="C852" s="2" t="s">
        <v>5620</v>
      </c>
      <c r="D852" s="2" t="s">
        <v>5621</v>
      </c>
      <c r="E852" s="2" t="s">
        <v>5622</v>
      </c>
      <c r="F852" s="2" t="s">
        <v>3541</v>
      </c>
      <c r="G852" s="2" t="s">
        <v>19</v>
      </c>
      <c r="H852" s="2">
        <v>66611</v>
      </c>
      <c r="I852" t="s">
        <v>1975</v>
      </c>
    </row>
    <row r="853" spans="1:9">
      <c r="A853" s="2" t="s">
        <v>1693</v>
      </c>
      <c r="B853" s="2" t="s">
        <v>5623</v>
      </c>
      <c r="C853" s="2" t="s">
        <v>5624</v>
      </c>
      <c r="D853" s="2" t="s">
        <v>5625</v>
      </c>
      <c r="E853" s="2" t="s">
        <v>5626</v>
      </c>
      <c r="F853" s="2" t="s">
        <v>3786</v>
      </c>
      <c r="G853" s="2" t="s">
        <v>19</v>
      </c>
      <c r="H853" s="2">
        <v>95973</v>
      </c>
      <c r="I853" t="s">
        <v>1975</v>
      </c>
    </row>
    <row r="854" spans="1:9">
      <c r="A854" s="2" t="s">
        <v>1695</v>
      </c>
      <c r="B854" s="2" t="s">
        <v>5627</v>
      </c>
      <c r="C854" s="2" t="s">
        <v>5628</v>
      </c>
      <c r="D854" s="2"/>
      <c r="E854" s="2" t="s">
        <v>5629</v>
      </c>
      <c r="F854" s="2" t="s">
        <v>2418</v>
      </c>
      <c r="G854" s="2" t="s">
        <v>19</v>
      </c>
      <c r="H854" s="2">
        <v>78737</v>
      </c>
      <c r="I854" t="s">
        <v>1975</v>
      </c>
    </row>
    <row r="855" spans="1:9">
      <c r="A855" s="2" t="s">
        <v>1697</v>
      </c>
      <c r="B855" s="2" t="s">
        <v>5630</v>
      </c>
      <c r="C855" s="2" t="s">
        <v>5631</v>
      </c>
      <c r="D855" s="2"/>
      <c r="E855" s="2" t="s">
        <v>5632</v>
      </c>
      <c r="F855" s="2" t="s">
        <v>2479</v>
      </c>
      <c r="G855" s="2" t="s">
        <v>19</v>
      </c>
      <c r="H855" s="2">
        <v>88546</v>
      </c>
      <c r="I855" t="s">
        <v>1983</v>
      </c>
    </row>
    <row r="856" spans="1:9">
      <c r="A856" s="2" t="s">
        <v>1699</v>
      </c>
      <c r="B856" s="2" t="s">
        <v>5633</v>
      </c>
      <c r="C856" s="2" t="s">
        <v>5634</v>
      </c>
      <c r="D856" s="2" t="s">
        <v>5635</v>
      </c>
      <c r="E856" s="2" t="s">
        <v>5636</v>
      </c>
      <c r="F856" s="2" t="s">
        <v>2153</v>
      </c>
      <c r="G856" s="2" t="s">
        <v>19</v>
      </c>
      <c r="H856" s="2">
        <v>25326</v>
      </c>
      <c r="I856" t="s">
        <v>1975</v>
      </c>
    </row>
    <row r="857" spans="1:9">
      <c r="A857" s="2" t="s">
        <v>1701</v>
      </c>
      <c r="B857" s="2" t="s">
        <v>5637</v>
      </c>
      <c r="C857" s="2" t="s">
        <v>5638</v>
      </c>
      <c r="D857" s="2" t="s">
        <v>5639</v>
      </c>
      <c r="E857" s="2" t="s">
        <v>5640</v>
      </c>
      <c r="F857" s="2" t="s">
        <v>4917</v>
      </c>
      <c r="G857" s="2" t="s">
        <v>19</v>
      </c>
      <c r="H857" s="2">
        <v>18105</v>
      </c>
      <c r="I857" t="s">
        <v>1983</v>
      </c>
    </row>
    <row r="858" spans="1:9">
      <c r="A858" s="2" t="s">
        <v>5641</v>
      </c>
      <c r="B858" s="2" t="s">
        <v>5642</v>
      </c>
      <c r="C858" s="2" t="s">
        <v>5643</v>
      </c>
      <c r="D858" s="2" t="s">
        <v>5644</v>
      </c>
      <c r="E858" s="2" t="s">
        <v>5645</v>
      </c>
      <c r="F858" s="2" t="s">
        <v>4516</v>
      </c>
      <c r="G858" s="2" t="s">
        <v>18</v>
      </c>
      <c r="H858" s="2" t="s">
        <v>5646</v>
      </c>
      <c r="I858" t="s">
        <v>1975</v>
      </c>
    </row>
    <row r="859" spans="1:9">
      <c r="A859" s="2" t="s">
        <v>1704</v>
      </c>
      <c r="B859" s="2" t="s">
        <v>5647</v>
      </c>
      <c r="C859" s="2" t="s">
        <v>5648</v>
      </c>
      <c r="D859" s="2" t="s">
        <v>5649</v>
      </c>
      <c r="E859" s="2" t="s">
        <v>5650</v>
      </c>
      <c r="F859" s="2" t="s">
        <v>5456</v>
      </c>
      <c r="G859" s="2" t="s">
        <v>19</v>
      </c>
      <c r="H859" s="2">
        <v>34643</v>
      </c>
      <c r="I859" t="s">
        <v>1983</v>
      </c>
    </row>
    <row r="860" spans="1:9">
      <c r="A860" s="2" t="s">
        <v>1706</v>
      </c>
      <c r="B860" s="2" t="s">
        <v>5651</v>
      </c>
      <c r="C860" s="2" t="s">
        <v>5652</v>
      </c>
      <c r="D860" s="2" t="s">
        <v>5653</v>
      </c>
      <c r="E860" s="2" t="s">
        <v>5654</v>
      </c>
      <c r="F860" s="2" t="s">
        <v>2581</v>
      </c>
      <c r="G860" s="2" t="s">
        <v>19</v>
      </c>
      <c r="H860" s="2">
        <v>58122</v>
      </c>
      <c r="I860" t="s">
        <v>1983</v>
      </c>
    </row>
    <row r="861" spans="1:9">
      <c r="A861" s="2" t="s">
        <v>1708</v>
      </c>
      <c r="B861" s="2" t="s">
        <v>5655</v>
      </c>
      <c r="C861" s="2" t="s">
        <v>5656</v>
      </c>
      <c r="D861" s="2" t="s">
        <v>5657</v>
      </c>
      <c r="E861" s="2" t="s">
        <v>5658</v>
      </c>
      <c r="F861" s="2" t="s">
        <v>5059</v>
      </c>
      <c r="G861" s="2" t="s">
        <v>19</v>
      </c>
      <c r="H861" s="2">
        <v>72905</v>
      </c>
      <c r="I861" t="s">
        <v>1983</v>
      </c>
    </row>
    <row r="862" spans="1:9">
      <c r="A862" s="2" t="s">
        <v>1710</v>
      </c>
      <c r="B862" s="2" t="s">
        <v>5659</v>
      </c>
      <c r="C862" s="2"/>
      <c r="D862" s="2" t="s">
        <v>5660</v>
      </c>
      <c r="E862" s="2" t="s">
        <v>5661</v>
      </c>
      <c r="F862" s="2" t="s">
        <v>4268</v>
      </c>
      <c r="G862" s="2" t="s">
        <v>19</v>
      </c>
      <c r="H862" s="2">
        <v>33811</v>
      </c>
      <c r="I862" t="s">
        <v>1983</v>
      </c>
    </row>
    <row r="863" spans="1:9">
      <c r="A863" s="2" t="s">
        <v>1712</v>
      </c>
      <c r="B863" s="2" t="s">
        <v>5662</v>
      </c>
      <c r="C863" s="2" t="s">
        <v>5663</v>
      </c>
      <c r="D863" s="2" t="s">
        <v>5664</v>
      </c>
      <c r="E863" s="2" t="s">
        <v>5665</v>
      </c>
      <c r="F863" s="2" t="s">
        <v>3443</v>
      </c>
      <c r="G863" s="2" t="s">
        <v>19</v>
      </c>
      <c r="H863" s="2">
        <v>37924</v>
      </c>
      <c r="I863" t="s">
        <v>1975</v>
      </c>
    </row>
    <row r="864" spans="1:9">
      <c r="A864" s="2" t="s">
        <v>1714</v>
      </c>
      <c r="B864" s="2" t="s">
        <v>5666</v>
      </c>
      <c r="C864" s="2" t="s">
        <v>5667</v>
      </c>
      <c r="D864" s="2" t="s">
        <v>5668</v>
      </c>
      <c r="E864" s="2" t="s">
        <v>5669</v>
      </c>
      <c r="F864" s="2" t="s">
        <v>2018</v>
      </c>
      <c r="G864" s="2" t="s">
        <v>19</v>
      </c>
      <c r="H864" s="2">
        <v>90030</v>
      </c>
      <c r="I864" t="s">
        <v>1975</v>
      </c>
    </row>
    <row r="865" spans="1:9">
      <c r="A865" s="2" t="s">
        <v>1716</v>
      </c>
      <c r="B865" s="2" t="s">
        <v>5670</v>
      </c>
      <c r="C865" s="2" t="s">
        <v>5671</v>
      </c>
      <c r="D865" s="2" t="s">
        <v>5672</v>
      </c>
      <c r="E865" s="2" t="s">
        <v>5673</v>
      </c>
      <c r="F865" s="2" t="s">
        <v>3612</v>
      </c>
      <c r="G865" s="2" t="s">
        <v>19</v>
      </c>
      <c r="H865" s="2">
        <v>33169</v>
      </c>
      <c r="I865" t="s">
        <v>1975</v>
      </c>
    </row>
    <row r="866" spans="1:9">
      <c r="A866" s="2" t="s">
        <v>1718</v>
      </c>
      <c r="B866" s="2" t="s">
        <v>5674</v>
      </c>
      <c r="C866" s="2" t="s">
        <v>5675</v>
      </c>
      <c r="D866" s="2" t="s">
        <v>5676</v>
      </c>
      <c r="E866" s="2" t="s">
        <v>5677</v>
      </c>
      <c r="F866" s="2" t="s">
        <v>5193</v>
      </c>
      <c r="G866" s="2" t="s">
        <v>17</v>
      </c>
      <c r="H866" s="2" t="s">
        <v>5194</v>
      </c>
      <c r="I866" t="s">
        <v>1983</v>
      </c>
    </row>
    <row r="867" spans="1:9">
      <c r="A867" s="2" t="s">
        <v>5678</v>
      </c>
      <c r="B867" s="2" t="s">
        <v>5679</v>
      </c>
      <c r="C867" s="2"/>
      <c r="D867" s="2" t="s">
        <v>5680</v>
      </c>
      <c r="E867" s="2" t="s">
        <v>5681</v>
      </c>
      <c r="F867" s="2" t="s">
        <v>2283</v>
      </c>
      <c r="G867" s="2" t="s">
        <v>19</v>
      </c>
      <c r="H867" s="2">
        <v>60604</v>
      </c>
      <c r="I867" t="s">
        <v>1975</v>
      </c>
    </row>
    <row r="868" spans="1:9">
      <c r="A868" s="2" t="s">
        <v>1722</v>
      </c>
      <c r="B868" s="2" t="s">
        <v>5682</v>
      </c>
      <c r="C868" s="2" t="s">
        <v>5683</v>
      </c>
      <c r="D868" s="2" t="s">
        <v>5684</v>
      </c>
      <c r="E868" s="2" t="s">
        <v>5685</v>
      </c>
      <c r="F868" s="2" t="s">
        <v>5686</v>
      </c>
      <c r="G868" s="2" t="s">
        <v>17</v>
      </c>
      <c r="H868" s="2" t="s">
        <v>2428</v>
      </c>
      <c r="I868" t="s">
        <v>1983</v>
      </c>
    </row>
    <row r="869" spans="1:9">
      <c r="A869" s="2" t="s">
        <v>1724</v>
      </c>
      <c r="B869" s="2" t="s">
        <v>5687</v>
      </c>
      <c r="C869" s="2" t="s">
        <v>5688</v>
      </c>
      <c r="D869" s="2"/>
      <c r="E869" s="2" t="s">
        <v>5689</v>
      </c>
      <c r="F869" s="2" t="s">
        <v>5690</v>
      </c>
      <c r="G869" s="2" t="s">
        <v>17</v>
      </c>
      <c r="H869" s="2" t="s">
        <v>5691</v>
      </c>
      <c r="I869" t="s">
        <v>1975</v>
      </c>
    </row>
    <row r="870" spans="1:9">
      <c r="A870" s="2" t="s">
        <v>1726</v>
      </c>
      <c r="B870" s="2" t="s">
        <v>5692</v>
      </c>
      <c r="C870" s="2" t="s">
        <v>5693</v>
      </c>
      <c r="D870" s="2" t="s">
        <v>5694</v>
      </c>
      <c r="E870" s="2" t="s">
        <v>5695</v>
      </c>
      <c r="F870" s="2" t="s">
        <v>2892</v>
      </c>
      <c r="G870" s="2" t="s">
        <v>19</v>
      </c>
      <c r="H870" s="2">
        <v>33064</v>
      </c>
      <c r="I870" t="s">
        <v>1975</v>
      </c>
    </row>
    <row r="871" spans="1:9">
      <c r="A871" s="2" t="s">
        <v>1728</v>
      </c>
      <c r="B871" s="2" t="s">
        <v>5696</v>
      </c>
      <c r="C871" s="2"/>
      <c r="D871" s="2" t="s">
        <v>5697</v>
      </c>
      <c r="E871" s="2" t="s">
        <v>5698</v>
      </c>
      <c r="F871" s="2" t="s">
        <v>3030</v>
      </c>
      <c r="G871" s="2" t="s">
        <v>19</v>
      </c>
      <c r="H871" s="2">
        <v>94297</v>
      </c>
      <c r="I871" t="s">
        <v>1975</v>
      </c>
    </row>
    <row r="872" spans="1:9">
      <c r="A872" s="2" t="s">
        <v>1730</v>
      </c>
      <c r="B872" s="2" t="s">
        <v>5699</v>
      </c>
      <c r="C872" s="2" t="s">
        <v>5700</v>
      </c>
      <c r="D872" s="2" t="s">
        <v>5701</v>
      </c>
      <c r="E872" s="2" t="s">
        <v>5702</v>
      </c>
      <c r="F872" s="2" t="s">
        <v>2114</v>
      </c>
      <c r="G872" s="2" t="s">
        <v>17</v>
      </c>
      <c r="H872" s="2" t="s">
        <v>2115</v>
      </c>
      <c r="I872" t="s">
        <v>1975</v>
      </c>
    </row>
    <row r="873" spans="1:9">
      <c r="A873" s="2" t="s">
        <v>1732</v>
      </c>
      <c r="B873" s="2" t="s">
        <v>5703</v>
      </c>
      <c r="C873" s="2" t="s">
        <v>5704</v>
      </c>
      <c r="D873" s="2" t="s">
        <v>5705</v>
      </c>
      <c r="E873" s="2" t="s">
        <v>5706</v>
      </c>
      <c r="F873" s="2" t="s">
        <v>5707</v>
      </c>
      <c r="G873" s="2" t="s">
        <v>18</v>
      </c>
      <c r="H873" s="2" t="s">
        <v>5708</v>
      </c>
      <c r="I873" t="s">
        <v>1975</v>
      </c>
    </row>
    <row r="874" spans="1:9">
      <c r="A874" s="2" t="s">
        <v>1734</v>
      </c>
      <c r="B874" s="2" t="s">
        <v>5709</v>
      </c>
      <c r="C874" s="2" t="s">
        <v>5710</v>
      </c>
      <c r="D874" s="2" t="s">
        <v>5711</v>
      </c>
      <c r="E874" s="2" t="s">
        <v>5712</v>
      </c>
      <c r="F874" s="2" t="s">
        <v>3718</v>
      </c>
      <c r="G874" s="2" t="s">
        <v>19</v>
      </c>
      <c r="H874" s="2">
        <v>28805</v>
      </c>
      <c r="I874" t="s">
        <v>1983</v>
      </c>
    </row>
    <row r="875" spans="1:9">
      <c r="A875" s="2" t="s">
        <v>1720</v>
      </c>
      <c r="B875" s="2" t="s">
        <v>5713</v>
      </c>
      <c r="C875" s="2" t="s">
        <v>5714</v>
      </c>
      <c r="D875" s="2" t="s">
        <v>5715</v>
      </c>
      <c r="E875" s="2" t="s">
        <v>5716</v>
      </c>
      <c r="F875" s="2" t="s">
        <v>2153</v>
      </c>
      <c r="G875" s="2" t="s">
        <v>19</v>
      </c>
      <c r="H875" s="2">
        <v>25362</v>
      </c>
      <c r="I875" t="s">
        <v>1975</v>
      </c>
    </row>
    <row r="876" spans="1:9">
      <c r="A876" s="2" t="s">
        <v>1737</v>
      </c>
      <c r="B876" s="2" t="s">
        <v>5717</v>
      </c>
      <c r="C876" s="2" t="s">
        <v>5718</v>
      </c>
      <c r="D876" s="2" t="s">
        <v>5719</v>
      </c>
      <c r="E876" s="2" t="s">
        <v>5720</v>
      </c>
      <c r="F876" s="2" t="s">
        <v>2059</v>
      </c>
      <c r="G876" s="2" t="s">
        <v>19</v>
      </c>
      <c r="H876" s="2">
        <v>77281</v>
      </c>
      <c r="I876" t="s">
        <v>1983</v>
      </c>
    </row>
    <row r="877" spans="1:9">
      <c r="A877" s="2" t="s">
        <v>1739</v>
      </c>
      <c r="B877" s="2" t="s">
        <v>5721</v>
      </c>
      <c r="C877" s="2" t="s">
        <v>5722</v>
      </c>
      <c r="D877" s="2" t="s">
        <v>5723</v>
      </c>
      <c r="E877" s="2" t="s">
        <v>5724</v>
      </c>
      <c r="F877" s="2" t="s">
        <v>2442</v>
      </c>
      <c r="G877" s="2" t="s">
        <v>17</v>
      </c>
      <c r="H877" s="2" t="s">
        <v>2443</v>
      </c>
      <c r="I877" t="s">
        <v>1983</v>
      </c>
    </row>
    <row r="878" spans="1:9">
      <c r="A878" s="2" t="s">
        <v>5725</v>
      </c>
      <c r="B878" s="2" t="s">
        <v>5726</v>
      </c>
      <c r="C878" s="2" t="s">
        <v>5727</v>
      </c>
      <c r="D878" s="2" t="s">
        <v>5728</v>
      </c>
      <c r="E878" s="2" t="s">
        <v>5729</v>
      </c>
      <c r="F878" s="2" t="s">
        <v>2217</v>
      </c>
      <c r="G878" s="2" t="s">
        <v>19</v>
      </c>
      <c r="H878" s="2">
        <v>20575</v>
      </c>
      <c r="I878" t="s">
        <v>1975</v>
      </c>
    </row>
    <row r="879" spans="1:9">
      <c r="A879" s="2" t="s">
        <v>1741</v>
      </c>
      <c r="B879" s="2" t="s">
        <v>5730</v>
      </c>
      <c r="C879" s="2" t="s">
        <v>5731</v>
      </c>
      <c r="D879" s="2" t="s">
        <v>5732</v>
      </c>
      <c r="E879" s="2" t="s">
        <v>5733</v>
      </c>
      <c r="F879" s="2" t="s">
        <v>2287</v>
      </c>
      <c r="G879" s="2" t="s">
        <v>19</v>
      </c>
      <c r="H879" s="2">
        <v>7195</v>
      </c>
      <c r="I879" t="s">
        <v>1983</v>
      </c>
    </row>
    <row r="880" spans="1:9">
      <c r="A880" s="2" t="s">
        <v>1743</v>
      </c>
      <c r="B880" s="2" t="s">
        <v>5734</v>
      </c>
      <c r="C880" s="2"/>
      <c r="D880" s="2" t="s">
        <v>5735</v>
      </c>
      <c r="E880" s="2" t="s">
        <v>5736</v>
      </c>
      <c r="F880" s="2" t="s">
        <v>3523</v>
      </c>
      <c r="G880" s="2" t="s">
        <v>19</v>
      </c>
      <c r="H880" s="2">
        <v>98195</v>
      </c>
      <c r="I880" t="s">
        <v>1975</v>
      </c>
    </row>
    <row r="881" spans="1:9">
      <c r="A881" s="2" t="s">
        <v>1745</v>
      </c>
      <c r="B881" s="2" t="s">
        <v>5737</v>
      </c>
      <c r="C881" s="2"/>
      <c r="D881" s="2" t="s">
        <v>5738</v>
      </c>
      <c r="E881" s="2" t="s">
        <v>5739</v>
      </c>
      <c r="F881" s="2" t="s">
        <v>2095</v>
      </c>
      <c r="G881" s="2" t="s">
        <v>19</v>
      </c>
      <c r="H881" s="2">
        <v>80150</v>
      </c>
      <c r="I881" t="s">
        <v>1983</v>
      </c>
    </row>
    <row r="882" spans="1:9">
      <c r="A882" s="2" t="s">
        <v>1747</v>
      </c>
      <c r="B882" s="2" t="s">
        <v>5740</v>
      </c>
      <c r="C882" s="2" t="s">
        <v>5741</v>
      </c>
      <c r="D882" s="2" t="s">
        <v>5742</v>
      </c>
      <c r="E882" s="2" t="s">
        <v>5743</v>
      </c>
      <c r="F882" s="2" t="s">
        <v>5744</v>
      </c>
      <c r="G882" s="2" t="s">
        <v>19</v>
      </c>
      <c r="H882" s="2">
        <v>61105</v>
      </c>
      <c r="I882" t="s">
        <v>1983</v>
      </c>
    </row>
    <row r="883" spans="1:9">
      <c r="A883" s="2" t="s">
        <v>1749</v>
      </c>
      <c r="B883" s="2" t="s">
        <v>5745</v>
      </c>
      <c r="C883" s="2"/>
      <c r="D883" s="2" t="s">
        <v>5746</v>
      </c>
      <c r="E883" s="2" t="s">
        <v>5747</v>
      </c>
      <c r="F883" s="2" t="s">
        <v>5246</v>
      </c>
      <c r="G883" s="2" t="s">
        <v>19</v>
      </c>
      <c r="H883" s="2">
        <v>59112</v>
      </c>
      <c r="I883" t="s">
        <v>1975</v>
      </c>
    </row>
    <row r="884" spans="1:9">
      <c r="A884" s="2" t="s">
        <v>5748</v>
      </c>
      <c r="B884" s="2" t="s">
        <v>5749</v>
      </c>
      <c r="C884" s="2" t="s">
        <v>5750</v>
      </c>
      <c r="D884" s="2" t="s">
        <v>5751</v>
      </c>
      <c r="E884" s="2" t="s">
        <v>5752</v>
      </c>
      <c r="F884" s="2" t="s">
        <v>3080</v>
      </c>
      <c r="G884" s="2" t="s">
        <v>19</v>
      </c>
      <c r="H884" s="2">
        <v>31165</v>
      </c>
      <c r="I884" t="s">
        <v>1983</v>
      </c>
    </row>
    <row r="885" spans="1:9">
      <c r="A885" s="2" t="s">
        <v>1753</v>
      </c>
      <c r="B885" s="2" t="s">
        <v>5753</v>
      </c>
      <c r="C885" s="2" t="s">
        <v>5754</v>
      </c>
      <c r="D885" s="2" t="s">
        <v>5755</v>
      </c>
      <c r="E885" s="2" t="s">
        <v>5756</v>
      </c>
      <c r="F885" s="2" t="s">
        <v>2847</v>
      </c>
      <c r="G885" s="2" t="s">
        <v>19</v>
      </c>
      <c r="H885" s="2">
        <v>74108</v>
      </c>
      <c r="I885" t="s">
        <v>1975</v>
      </c>
    </row>
    <row r="886" spans="1:9">
      <c r="A886" s="2" t="s">
        <v>1755</v>
      </c>
      <c r="B886" s="2" t="s">
        <v>5757</v>
      </c>
      <c r="C886" s="2" t="s">
        <v>5758</v>
      </c>
      <c r="D886" s="2" t="s">
        <v>5759</v>
      </c>
      <c r="E886" s="2" t="s">
        <v>5760</v>
      </c>
      <c r="F886" s="2" t="s">
        <v>2386</v>
      </c>
      <c r="G886" s="2" t="s">
        <v>19</v>
      </c>
      <c r="H886" s="2">
        <v>93704</v>
      </c>
      <c r="I886" t="s">
        <v>1975</v>
      </c>
    </row>
    <row r="887" spans="1:9">
      <c r="A887" s="2" t="s">
        <v>1757</v>
      </c>
      <c r="B887" s="2" t="s">
        <v>5761</v>
      </c>
      <c r="C887" s="2" t="s">
        <v>5762</v>
      </c>
      <c r="D887" s="2" t="s">
        <v>5763</v>
      </c>
      <c r="E887" s="2" t="s">
        <v>5764</v>
      </c>
      <c r="F887" s="2" t="s">
        <v>5765</v>
      </c>
      <c r="G887" s="2" t="s">
        <v>17</v>
      </c>
      <c r="H887" s="2" t="s">
        <v>2341</v>
      </c>
      <c r="I887" t="s">
        <v>1983</v>
      </c>
    </row>
    <row r="888" spans="1:9">
      <c r="A888" s="2" t="s">
        <v>1759</v>
      </c>
      <c r="B888" s="2" t="s">
        <v>5766</v>
      </c>
      <c r="C888" s="2" t="s">
        <v>5767</v>
      </c>
      <c r="D888" s="2" t="s">
        <v>5768</v>
      </c>
      <c r="E888" s="2" t="s">
        <v>5769</v>
      </c>
      <c r="F888" s="2" t="s">
        <v>3121</v>
      </c>
      <c r="G888" s="2" t="s">
        <v>19</v>
      </c>
      <c r="H888" s="2">
        <v>94154</v>
      </c>
      <c r="I888" t="s">
        <v>1983</v>
      </c>
    </row>
    <row r="889" spans="1:9">
      <c r="A889" s="2" t="s">
        <v>1761</v>
      </c>
      <c r="B889" s="2" t="s">
        <v>5770</v>
      </c>
      <c r="C889" s="2" t="s">
        <v>5771</v>
      </c>
      <c r="D889" s="2" t="s">
        <v>5772</v>
      </c>
      <c r="E889" s="2" t="s">
        <v>5773</v>
      </c>
      <c r="F889" s="2" t="s">
        <v>5609</v>
      </c>
      <c r="G889" s="2" t="s">
        <v>19</v>
      </c>
      <c r="H889" s="2">
        <v>36689</v>
      </c>
      <c r="I889" t="s">
        <v>1983</v>
      </c>
    </row>
    <row r="890" spans="1:9">
      <c r="A890" s="2" t="s">
        <v>1763</v>
      </c>
      <c r="B890" s="2" t="s">
        <v>5774</v>
      </c>
      <c r="C890" s="2" t="s">
        <v>5775</v>
      </c>
      <c r="D890" s="2" t="s">
        <v>5776</v>
      </c>
      <c r="E890" s="2" t="s">
        <v>5777</v>
      </c>
      <c r="F890" s="2" t="s">
        <v>3121</v>
      </c>
      <c r="G890" s="2" t="s">
        <v>19</v>
      </c>
      <c r="H890" s="2">
        <v>94110</v>
      </c>
      <c r="I890" t="s">
        <v>1975</v>
      </c>
    </row>
    <row r="891" spans="1:9">
      <c r="A891" s="2" t="s">
        <v>1765</v>
      </c>
      <c r="B891" s="2" t="s">
        <v>5778</v>
      </c>
      <c r="C891" s="2" t="s">
        <v>5779</v>
      </c>
      <c r="D891" s="2" t="s">
        <v>5780</v>
      </c>
      <c r="E891" s="2" t="s">
        <v>5781</v>
      </c>
      <c r="F891" s="2" t="s">
        <v>2131</v>
      </c>
      <c r="G891" s="2" t="s">
        <v>19</v>
      </c>
      <c r="H891" s="2">
        <v>11470</v>
      </c>
      <c r="I891" t="s">
        <v>1975</v>
      </c>
    </row>
    <row r="892" spans="1:9">
      <c r="A892" s="2" t="s">
        <v>1751</v>
      </c>
      <c r="B892" s="2" t="s">
        <v>5782</v>
      </c>
      <c r="C892" s="2" t="s">
        <v>5783</v>
      </c>
      <c r="D892" s="2" t="s">
        <v>5784</v>
      </c>
      <c r="E892" s="2" t="s">
        <v>5785</v>
      </c>
      <c r="F892" s="2" t="s">
        <v>2163</v>
      </c>
      <c r="G892" s="2" t="s">
        <v>19</v>
      </c>
      <c r="H892" s="2">
        <v>80243</v>
      </c>
      <c r="I892" t="s">
        <v>1975</v>
      </c>
    </row>
    <row r="893" spans="1:9">
      <c r="A893" s="2" t="s">
        <v>1768</v>
      </c>
      <c r="B893" s="2" t="s">
        <v>5786</v>
      </c>
      <c r="C893" s="2" t="s">
        <v>5787</v>
      </c>
      <c r="D893" s="2" t="s">
        <v>5788</v>
      </c>
      <c r="E893" s="2" t="s">
        <v>5789</v>
      </c>
      <c r="F893" s="2" t="s">
        <v>3816</v>
      </c>
      <c r="G893" s="2" t="s">
        <v>19</v>
      </c>
      <c r="H893" s="2">
        <v>92165</v>
      </c>
      <c r="I893" t="s">
        <v>1975</v>
      </c>
    </row>
    <row r="894" spans="1:9">
      <c r="A894" s="2" t="s">
        <v>1770</v>
      </c>
      <c r="B894" s="2" t="s">
        <v>5790</v>
      </c>
      <c r="C894" s="2" t="s">
        <v>5791</v>
      </c>
      <c r="D894" s="2" t="s">
        <v>5792</v>
      </c>
      <c r="E894" s="2" t="s">
        <v>5793</v>
      </c>
      <c r="F894" s="2" t="s">
        <v>3758</v>
      </c>
      <c r="G894" s="2" t="s">
        <v>18</v>
      </c>
      <c r="H894" s="2" t="s">
        <v>3759</v>
      </c>
      <c r="I894" t="s">
        <v>1983</v>
      </c>
    </row>
    <row r="895" spans="1:9">
      <c r="A895" s="2" t="s">
        <v>1772</v>
      </c>
      <c r="B895" s="2" t="s">
        <v>5794</v>
      </c>
      <c r="C895" s="2" t="s">
        <v>5795</v>
      </c>
      <c r="D895" s="2"/>
      <c r="E895" s="2" t="s">
        <v>5796</v>
      </c>
      <c r="F895" s="2" t="s">
        <v>4626</v>
      </c>
      <c r="G895" s="2" t="s">
        <v>19</v>
      </c>
      <c r="H895" s="2">
        <v>15250</v>
      </c>
      <c r="I895" t="s">
        <v>1975</v>
      </c>
    </row>
    <row r="896" spans="1:9">
      <c r="A896" s="2" t="s">
        <v>1774</v>
      </c>
      <c r="B896" s="2" t="s">
        <v>5797</v>
      </c>
      <c r="C896" s="2"/>
      <c r="D896" s="2" t="s">
        <v>5798</v>
      </c>
      <c r="E896" s="2" t="s">
        <v>5799</v>
      </c>
      <c r="F896" s="2" t="s">
        <v>5800</v>
      </c>
      <c r="G896" s="2" t="s">
        <v>17</v>
      </c>
      <c r="H896" s="2" t="s">
        <v>2705</v>
      </c>
      <c r="I896" t="s">
        <v>1975</v>
      </c>
    </row>
    <row r="897" spans="1:9">
      <c r="A897" s="2" t="s">
        <v>1776</v>
      </c>
      <c r="B897" s="2" t="s">
        <v>5801</v>
      </c>
      <c r="C897" s="2"/>
      <c r="D897" s="2" t="s">
        <v>5802</v>
      </c>
      <c r="E897" s="2" t="s">
        <v>5803</v>
      </c>
      <c r="F897" s="2" t="s">
        <v>2069</v>
      </c>
      <c r="G897" s="2" t="s">
        <v>19</v>
      </c>
      <c r="H897" s="2">
        <v>10004</v>
      </c>
      <c r="I897" t="s">
        <v>1983</v>
      </c>
    </row>
    <row r="898" spans="1:9">
      <c r="A898" s="2" t="s">
        <v>1778</v>
      </c>
      <c r="B898" s="2" t="s">
        <v>5804</v>
      </c>
      <c r="C898" s="2" t="s">
        <v>5805</v>
      </c>
      <c r="D898" s="2" t="s">
        <v>5806</v>
      </c>
      <c r="E898" s="2" t="s">
        <v>5807</v>
      </c>
      <c r="F898" s="2" t="s">
        <v>3523</v>
      </c>
      <c r="G898" s="2" t="s">
        <v>19</v>
      </c>
      <c r="H898" s="2">
        <v>98148</v>
      </c>
      <c r="I898" t="s">
        <v>1975</v>
      </c>
    </row>
    <row r="899" spans="1:9">
      <c r="A899" s="2" t="s">
        <v>1780</v>
      </c>
      <c r="B899" s="2" t="s">
        <v>5808</v>
      </c>
      <c r="C899" s="2" t="s">
        <v>5809</v>
      </c>
      <c r="D899" s="2" t="s">
        <v>5810</v>
      </c>
      <c r="E899" s="2" t="s">
        <v>5811</v>
      </c>
      <c r="F899" s="2" t="s">
        <v>2203</v>
      </c>
      <c r="G899" s="2" t="s">
        <v>18</v>
      </c>
      <c r="H899" s="2" t="s">
        <v>2517</v>
      </c>
      <c r="I899" t="s">
        <v>1983</v>
      </c>
    </row>
    <row r="900" spans="1:9">
      <c r="A900" s="2" t="s">
        <v>1782</v>
      </c>
      <c r="B900" s="2" t="s">
        <v>5812</v>
      </c>
      <c r="C900" s="2"/>
      <c r="D900" s="2" t="s">
        <v>5813</v>
      </c>
      <c r="E900" s="2" t="s">
        <v>5814</v>
      </c>
      <c r="F900" s="2" t="s">
        <v>5815</v>
      </c>
      <c r="G900" s="2" t="s">
        <v>19</v>
      </c>
      <c r="H900" s="2">
        <v>49018</v>
      </c>
      <c r="I900" t="s">
        <v>1983</v>
      </c>
    </row>
    <row r="901" spans="1:9">
      <c r="A901" s="2" t="s">
        <v>5816</v>
      </c>
      <c r="B901" s="2" t="s">
        <v>5817</v>
      </c>
      <c r="C901" s="2" t="s">
        <v>5818</v>
      </c>
      <c r="D901" s="2"/>
      <c r="E901" s="2" t="s">
        <v>5819</v>
      </c>
      <c r="F901" s="2" t="s">
        <v>2455</v>
      </c>
      <c r="G901" s="2" t="s">
        <v>17</v>
      </c>
      <c r="H901" s="2" t="s">
        <v>2456</v>
      </c>
      <c r="I901" t="s">
        <v>1975</v>
      </c>
    </row>
    <row r="902" spans="1:9">
      <c r="A902" s="2" t="s">
        <v>1785</v>
      </c>
      <c r="B902" s="2" t="s">
        <v>5820</v>
      </c>
      <c r="C902" s="2"/>
      <c r="D902" s="2" t="s">
        <v>5821</v>
      </c>
      <c r="E902" s="2" t="s">
        <v>5822</v>
      </c>
      <c r="F902" s="2" t="s">
        <v>5823</v>
      </c>
      <c r="G902" s="2" t="s">
        <v>17</v>
      </c>
      <c r="H902" s="2" t="s">
        <v>2567</v>
      </c>
      <c r="I902" t="s">
        <v>1983</v>
      </c>
    </row>
    <row r="903" spans="1:9">
      <c r="A903" s="2" t="s">
        <v>1787</v>
      </c>
      <c r="B903" s="2" t="s">
        <v>5824</v>
      </c>
      <c r="C903" s="2" t="s">
        <v>5825</v>
      </c>
      <c r="D903" s="2" t="s">
        <v>5826</v>
      </c>
      <c r="E903" s="2" t="s">
        <v>5827</v>
      </c>
      <c r="F903" s="2" t="s">
        <v>2059</v>
      </c>
      <c r="G903" s="2" t="s">
        <v>19</v>
      </c>
      <c r="H903" s="2">
        <v>77070</v>
      </c>
      <c r="I903" t="s">
        <v>1975</v>
      </c>
    </row>
    <row r="904" spans="1:9">
      <c r="A904" s="2" t="s">
        <v>1789</v>
      </c>
      <c r="B904" s="2" t="s">
        <v>5828</v>
      </c>
      <c r="C904" s="2" t="s">
        <v>5829</v>
      </c>
      <c r="D904" s="2" t="s">
        <v>5830</v>
      </c>
      <c r="E904" s="2" t="s">
        <v>5831</v>
      </c>
      <c r="F904" s="2" t="s">
        <v>3068</v>
      </c>
      <c r="G904" s="2" t="s">
        <v>19</v>
      </c>
      <c r="H904" s="2">
        <v>45249</v>
      </c>
      <c r="I904" t="s">
        <v>1983</v>
      </c>
    </row>
    <row r="905" spans="1:9">
      <c r="A905" s="2" t="s">
        <v>1791</v>
      </c>
      <c r="B905" s="2" t="s">
        <v>5832</v>
      </c>
      <c r="C905" s="2" t="s">
        <v>5833</v>
      </c>
      <c r="D905" s="2" t="s">
        <v>5834</v>
      </c>
      <c r="E905" s="2" t="s">
        <v>5835</v>
      </c>
      <c r="F905" s="2" t="s">
        <v>2386</v>
      </c>
      <c r="G905" s="2" t="s">
        <v>19</v>
      </c>
      <c r="H905" s="2">
        <v>93704</v>
      </c>
      <c r="I905" t="s">
        <v>1983</v>
      </c>
    </row>
    <row r="906" spans="1:9">
      <c r="A906" s="2" t="s">
        <v>1793</v>
      </c>
      <c r="B906" s="2" t="s">
        <v>5836</v>
      </c>
      <c r="C906" s="2" t="s">
        <v>5837</v>
      </c>
      <c r="D906" s="2" t="s">
        <v>5838</v>
      </c>
      <c r="E906" s="2" t="s">
        <v>5839</v>
      </c>
      <c r="F906" s="2" t="s">
        <v>2264</v>
      </c>
      <c r="G906" s="2" t="s">
        <v>19</v>
      </c>
      <c r="H906" s="2">
        <v>55123</v>
      </c>
      <c r="I906" t="s">
        <v>1983</v>
      </c>
    </row>
    <row r="907" spans="1:9">
      <c r="A907" s="2" t="s">
        <v>1795</v>
      </c>
      <c r="B907" s="2" t="s">
        <v>5840</v>
      </c>
      <c r="C907" s="2"/>
      <c r="D907" s="2" t="s">
        <v>5841</v>
      </c>
      <c r="E907" s="2" t="s">
        <v>5842</v>
      </c>
      <c r="F907" s="2" t="s">
        <v>2479</v>
      </c>
      <c r="G907" s="2" t="s">
        <v>19</v>
      </c>
      <c r="H907" s="2">
        <v>88519</v>
      </c>
      <c r="I907" t="s">
        <v>1975</v>
      </c>
    </row>
    <row r="908" spans="1:9">
      <c r="A908" s="2" t="s">
        <v>1797</v>
      </c>
      <c r="B908" s="2" t="s">
        <v>5843</v>
      </c>
      <c r="C908" s="2" t="s">
        <v>5844</v>
      </c>
      <c r="D908" s="2" t="s">
        <v>5845</v>
      </c>
      <c r="E908" s="2" t="s">
        <v>5846</v>
      </c>
      <c r="F908" s="2" t="s">
        <v>2678</v>
      </c>
      <c r="G908" s="2" t="s">
        <v>19</v>
      </c>
      <c r="H908" s="2">
        <v>50981</v>
      </c>
      <c r="I908" t="s">
        <v>1975</v>
      </c>
    </row>
    <row r="909" spans="1:9">
      <c r="A909" s="2" t="s">
        <v>1799</v>
      </c>
      <c r="B909" s="2" t="s">
        <v>5847</v>
      </c>
      <c r="C909" s="2" t="s">
        <v>5848</v>
      </c>
      <c r="D909" s="2" t="s">
        <v>5849</v>
      </c>
      <c r="E909" s="2" t="s">
        <v>5850</v>
      </c>
      <c r="F909" s="2" t="s">
        <v>2054</v>
      </c>
      <c r="G909" s="2" t="s">
        <v>19</v>
      </c>
      <c r="H909" s="2">
        <v>97240</v>
      </c>
      <c r="I909" t="s">
        <v>1983</v>
      </c>
    </row>
    <row r="910" spans="1:9">
      <c r="A910" s="2" t="s">
        <v>1801</v>
      </c>
      <c r="B910" s="2" t="s">
        <v>5851</v>
      </c>
      <c r="C910" s="2" t="s">
        <v>5852</v>
      </c>
      <c r="D910" s="2" t="s">
        <v>5853</v>
      </c>
      <c r="E910" s="2" t="s">
        <v>5854</v>
      </c>
      <c r="F910" s="2" t="s">
        <v>2059</v>
      </c>
      <c r="G910" s="2" t="s">
        <v>19</v>
      </c>
      <c r="H910" s="2">
        <v>77070</v>
      </c>
      <c r="I910" t="s">
        <v>1983</v>
      </c>
    </row>
    <row r="911" spans="1:9">
      <c r="A911" s="2" t="s">
        <v>1803</v>
      </c>
      <c r="B911" s="2" t="s">
        <v>5855</v>
      </c>
      <c r="C911" s="2"/>
      <c r="D911" s="2" t="s">
        <v>5856</v>
      </c>
      <c r="E911" s="2" t="s">
        <v>5857</v>
      </c>
      <c r="F911" s="2" t="s">
        <v>4512</v>
      </c>
      <c r="G911" s="2" t="s">
        <v>19</v>
      </c>
      <c r="H911" s="2">
        <v>27705</v>
      </c>
      <c r="I911" t="s">
        <v>1983</v>
      </c>
    </row>
    <row r="912" spans="1:9">
      <c r="A912" s="2" t="s">
        <v>1805</v>
      </c>
      <c r="B912" s="2" t="s">
        <v>5858</v>
      </c>
      <c r="C912" s="2" t="s">
        <v>5859</v>
      </c>
      <c r="D912" s="2" t="s">
        <v>5860</v>
      </c>
      <c r="E912" s="2" t="s">
        <v>5861</v>
      </c>
      <c r="F912" s="2" t="s">
        <v>2189</v>
      </c>
      <c r="G912" s="2" t="s">
        <v>19</v>
      </c>
      <c r="H912" s="2">
        <v>2298</v>
      </c>
      <c r="I912" t="s">
        <v>1983</v>
      </c>
    </row>
    <row r="913" spans="1:9">
      <c r="A913" s="2" t="s">
        <v>1807</v>
      </c>
      <c r="B913" s="2" t="s">
        <v>5862</v>
      </c>
      <c r="C913" s="2" t="s">
        <v>5863</v>
      </c>
      <c r="D913" s="2" t="s">
        <v>5864</v>
      </c>
      <c r="E913" s="2" t="s">
        <v>5865</v>
      </c>
      <c r="F913" s="2" t="s">
        <v>2217</v>
      </c>
      <c r="G913" s="2" t="s">
        <v>19</v>
      </c>
      <c r="H913" s="2">
        <v>20226</v>
      </c>
      <c r="I913" t="s">
        <v>1975</v>
      </c>
    </row>
    <row r="914" spans="1:9">
      <c r="A914" s="2" t="s">
        <v>1809</v>
      </c>
      <c r="B914" s="2" t="s">
        <v>5866</v>
      </c>
      <c r="C914" s="2"/>
      <c r="D914" s="2" t="s">
        <v>5867</v>
      </c>
      <c r="E914" s="2" t="s">
        <v>5868</v>
      </c>
      <c r="F914" s="2" t="s">
        <v>2912</v>
      </c>
      <c r="G914" s="2" t="s">
        <v>19</v>
      </c>
      <c r="H914" s="2">
        <v>12205</v>
      </c>
      <c r="I914" t="s">
        <v>1975</v>
      </c>
    </row>
    <row r="915" spans="1:9">
      <c r="A915" s="2" t="s">
        <v>1811</v>
      </c>
      <c r="B915" s="2" t="s">
        <v>5869</v>
      </c>
      <c r="C915" s="2" t="s">
        <v>5870</v>
      </c>
      <c r="D915" s="2" t="s">
        <v>5871</v>
      </c>
      <c r="E915" s="2" t="s">
        <v>5872</v>
      </c>
      <c r="F915" s="2" t="s">
        <v>2171</v>
      </c>
      <c r="G915" s="2" t="s">
        <v>19</v>
      </c>
      <c r="H915" s="2">
        <v>85732</v>
      </c>
      <c r="I915" t="s">
        <v>1983</v>
      </c>
    </row>
    <row r="916" spans="1:9">
      <c r="A916" s="2" t="s">
        <v>1813</v>
      </c>
      <c r="B916" s="2" t="s">
        <v>5873</v>
      </c>
      <c r="C916" s="2" t="s">
        <v>5874</v>
      </c>
      <c r="D916" s="2" t="s">
        <v>5875</v>
      </c>
      <c r="E916" s="2" t="s">
        <v>5876</v>
      </c>
      <c r="F916" s="2" t="s">
        <v>2775</v>
      </c>
      <c r="G916" s="2" t="s">
        <v>19</v>
      </c>
      <c r="H916" s="2">
        <v>36195</v>
      </c>
      <c r="I916" t="s">
        <v>1983</v>
      </c>
    </row>
    <row r="917" spans="1:9">
      <c r="A917" s="2" t="s">
        <v>1815</v>
      </c>
      <c r="B917" s="2" t="s">
        <v>5877</v>
      </c>
      <c r="C917" s="2" t="s">
        <v>5878</v>
      </c>
      <c r="D917" s="2" t="s">
        <v>5879</v>
      </c>
      <c r="E917" s="2" t="s">
        <v>5880</v>
      </c>
      <c r="F917" s="2" t="s">
        <v>5881</v>
      </c>
      <c r="G917" s="2" t="s">
        <v>19</v>
      </c>
      <c r="H917" s="2">
        <v>99709</v>
      </c>
      <c r="I917" t="s">
        <v>1975</v>
      </c>
    </row>
    <row r="918" spans="1:9">
      <c r="A918" s="2" t="s">
        <v>1817</v>
      </c>
      <c r="B918" s="2" t="s">
        <v>5882</v>
      </c>
      <c r="C918" s="2"/>
      <c r="D918" s="2"/>
      <c r="E918" s="2" t="s">
        <v>5883</v>
      </c>
      <c r="F918" s="2" t="s">
        <v>3949</v>
      </c>
      <c r="G918" s="2" t="s">
        <v>17</v>
      </c>
      <c r="H918" s="2" t="s">
        <v>3950</v>
      </c>
      <c r="I918" t="s">
        <v>1975</v>
      </c>
    </row>
    <row r="919" spans="1:9">
      <c r="A919" s="2" t="s">
        <v>1819</v>
      </c>
      <c r="B919" s="2" t="s">
        <v>5884</v>
      </c>
      <c r="C919" s="2" t="s">
        <v>5885</v>
      </c>
      <c r="D919" s="2" t="s">
        <v>5886</v>
      </c>
      <c r="E919" s="2" t="s">
        <v>5887</v>
      </c>
      <c r="F919" s="2" t="s">
        <v>3269</v>
      </c>
      <c r="G919" s="2" t="s">
        <v>18</v>
      </c>
      <c r="H919" s="2" t="s">
        <v>5888</v>
      </c>
      <c r="I919" t="s">
        <v>1983</v>
      </c>
    </row>
    <row r="920" spans="1:9">
      <c r="A920" s="2" t="s">
        <v>5889</v>
      </c>
      <c r="B920" s="2" t="s">
        <v>5890</v>
      </c>
      <c r="C920" s="2" t="s">
        <v>5891</v>
      </c>
      <c r="D920" s="2" t="s">
        <v>5892</v>
      </c>
      <c r="E920" s="2" t="s">
        <v>5893</v>
      </c>
      <c r="F920" s="2" t="s">
        <v>2744</v>
      </c>
      <c r="G920" s="2" t="s">
        <v>19</v>
      </c>
      <c r="H920" s="2">
        <v>34615</v>
      </c>
      <c r="I920" t="s">
        <v>1983</v>
      </c>
    </row>
    <row r="921" spans="1:9">
      <c r="A921" s="2" t="s">
        <v>1821</v>
      </c>
      <c r="B921" s="2" t="s">
        <v>5894</v>
      </c>
      <c r="C921" s="2" t="s">
        <v>5895</v>
      </c>
      <c r="D921" s="2" t="s">
        <v>5896</v>
      </c>
      <c r="E921" s="2" t="s">
        <v>5897</v>
      </c>
      <c r="F921" s="2" t="s">
        <v>3351</v>
      </c>
      <c r="G921" s="2" t="s">
        <v>19</v>
      </c>
      <c r="H921" s="2">
        <v>40515</v>
      </c>
      <c r="I921" t="s">
        <v>1975</v>
      </c>
    </row>
    <row r="922" spans="1:9">
      <c r="A922" s="2" t="s">
        <v>1823</v>
      </c>
      <c r="B922" s="2" t="s">
        <v>5898</v>
      </c>
      <c r="C922" s="2" t="s">
        <v>5899</v>
      </c>
      <c r="D922" s="2" t="s">
        <v>5900</v>
      </c>
      <c r="E922" s="2" t="s">
        <v>5901</v>
      </c>
      <c r="F922" s="2" t="s">
        <v>2080</v>
      </c>
      <c r="G922" s="2" t="s">
        <v>19</v>
      </c>
      <c r="H922" s="2">
        <v>49560</v>
      </c>
      <c r="I922" t="s">
        <v>1983</v>
      </c>
    </row>
    <row r="923" spans="1:9">
      <c r="A923" s="2" t="s">
        <v>1825</v>
      </c>
      <c r="B923" s="2" t="s">
        <v>5902</v>
      </c>
      <c r="C923" s="2" t="s">
        <v>5903</v>
      </c>
      <c r="D923" s="2" t="s">
        <v>5904</v>
      </c>
      <c r="E923" s="2" t="s">
        <v>5905</v>
      </c>
      <c r="F923" s="2" t="s">
        <v>2678</v>
      </c>
      <c r="G923" s="2" t="s">
        <v>19</v>
      </c>
      <c r="H923" s="2">
        <v>50369</v>
      </c>
      <c r="I923" t="s">
        <v>1983</v>
      </c>
    </row>
    <row r="924" spans="1:9">
      <c r="A924" s="2" t="s">
        <v>1827</v>
      </c>
      <c r="B924" s="2" t="s">
        <v>5906</v>
      </c>
      <c r="C924" s="2"/>
      <c r="D924" s="2"/>
      <c r="E924" s="2" t="s">
        <v>5907</v>
      </c>
      <c r="F924" s="2" t="s">
        <v>5138</v>
      </c>
      <c r="G924" s="2" t="s">
        <v>19</v>
      </c>
      <c r="H924" s="2">
        <v>19810</v>
      </c>
      <c r="I924" t="s">
        <v>1975</v>
      </c>
    </row>
    <row r="925" spans="1:9">
      <c r="A925" s="2" t="s">
        <v>1829</v>
      </c>
      <c r="B925" s="2" t="s">
        <v>5908</v>
      </c>
      <c r="C925" s="2" t="s">
        <v>5909</v>
      </c>
      <c r="D925" s="2" t="s">
        <v>5910</v>
      </c>
      <c r="E925" s="2" t="s">
        <v>5911</v>
      </c>
      <c r="F925" s="2" t="s">
        <v>2418</v>
      </c>
      <c r="G925" s="2" t="s">
        <v>19</v>
      </c>
      <c r="H925" s="2">
        <v>78726</v>
      </c>
      <c r="I925" t="s">
        <v>1983</v>
      </c>
    </row>
    <row r="926" spans="1:9">
      <c r="A926" s="2" t="s">
        <v>1831</v>
      </c>
      <c r="B926" s="2" t="s">
        <v>5912</v>
      </c>
      <c r="C926" s="2" t="s">
        <v>5913</v>
      </c>
      <c r="D926" s="2"/>
      <c r="E926" s="2" t="s">
        <v>5914</v>
      </c>
      <c r="F926" s="2" t="s">
        <v>4432</v>
      </c>
      <c r="G926" s="2" t="s">
        <v>19</v>
      </c>
      <c r="H926" s="2">
        <v>32835</v>
      </c>
      <c r="I926" t="s">
        <v>1983</v>
      </c>
    </row>
    <row r="927" spans="1:9">
      <c r="A927" s="2" t="s">
        <v>5915</v>
      </c>
      <c r="B927" s="2" t="s">
        <v>5916</v>
      </c>
      <c r="C927" s="2"/>
      <c r="D927" s="2" t="s">
        <v>5917</v>
      </c>
      <c r="E927" s="2" t="s">
        <v>5918</v>
      </c>
      <c r="F927" s="2" t="s">
        <v>2978</v>
      </c>
      <c r="G927" s="2" t="s">
        <v>19</v>
      </c>
      <c r="H927" s="2">
        <v>91199</v>
      </c>
      <c r="I927" t="s">
        <v>1975</v>
      </c>
    </row>
    <row r="928" spans="1:9">
      <c r="A928" s="2" t="s">
        <v>1834</v>
      </c>
      <c r="B928" s="2" t="s">
        <v>5919</v>
      </c>
      <c r="C928" s="2" t="s">
        <v>5920</v>
      </c>
      <c r="D928" s="2" t="s">
        <v>5921</v>
      </c>
      <c r="E928" s="2" t="s">
        <v>5922</v>
      </c>
      <c r="F928" s="2" t="s">
        <v>2217</v>
      </c>
      <c r="G928" s="2" t="s">
        <v>19</v>
      </c>
      <c r="H928" s="2">
        <v>20238</v>
      </c>
      <c r="I928" t="s">
        <v>1975</v>
      </c>
    </row>
    <row r="929" spans="1:9">
      <c r="A929" s="2" t="s">
        <v>1836</v>
      </c>
      <c r="B929" s="2" t="s">
        <v>5923</v>
      </c>
      <c r="C929" s="2" t="s">
        <v>5924</v>
      </c>
      <c r="D929" s="2" t="s">
        <v>5925</v>
      </c>
      <c r="E929" s="2" t="s">
        <v>5926</v>
      </c>
      <c r="F929" s="2" t="s">
        <v>2054</v>
      </c>
      <c r="G929" s="2" t="s">
        <v>19</v>
      </c>
      <c r="H929" s="2">
        <v>97271</v>
      </c>
      <c r="I929" t="s">
        <v>1983</v>
      </c>
    </row>
    <row r="930" spans="1:9">
      <c r="A930" s="2" t="s">
        <v>1838</v>
      </c>
      <c r="B930" s="2" t="s">
        <v>5927</v>
      </c>
      <c r="C930" s="2" t="s">
        <v>5928</v>
      </c>
      <c r="D930" s="2"/>
      <c r="E930" s="2" t="s">
        <v>5929</v>
      </c>
      <c r="F930" s="2" t="s">
        <v>2069</v>
      </c>
      <c r="G930" s="2" t="s">
        <v>19</v>
      </c>
      <c r="H930" s="2">
        <v>10004</v>
      </c>
      <c r="I930" t="s">
        <v>1975</v>
      </c>
    </row>
    <row r="931" spans="1:9">
      <c r="A931" s="2" t="s">
        <v>1840</v>
      </c>
      <c r="B931" s="2" t="s">
        <v>5930</v>
      </c>
      <c r="C931" s="2" t="s">
        <v>5931</v>
      </c>
      <c r="D931" s="2" t="s">
        <v>5932</v>
      </c>
      <c r="E931" s="2" t="s">
        <v>5933</v>
      </c>
      <c r="F931" s="2" t="s">
        <v>2217</v>
      </c>
      <c r="G931" s="2" t="s">
        <v>19</v>
      </c>
      <c r="H931" s="2">
        <v>20404</v>
      </c>
      <c r="I931" t="s">
        <v>1975</v>
      </c>
    </row>
    <row r="932" spans="1:9">
      <c r="A932" s="2" t="s">
        <v>1842</v>
      </c>
      <c r="B932" s="2" t="s">
        <v>5934</v>
      </c>
      <c r="C932" s="2" t="s">
        <v>5935</v>
      </c>
      <c r="D932" s="2"/>
      <c r="E932" s="2" t="s">
        <v>5936</v>
      </c>
      <c r="F932" s="2" t="s">
        <v>2217</v>
      </c>
      <c r="G932" s="2" t="s">
        <v>19</v>
      </c>
      <c r="H932" s="2">
        <v>20067</v>
      </c>
      <c r="I932" t="s">
        <v>1975</v>
      </c>
    </row>
    <row r="933" spans="1:9">
      <c r="A933" s="2" t="s">
        <v>1844</v>
      </c>
      <c r="B933" s="2" t="s">
        <v>5937</v>
      </c>
      <c r="C933" s="2"/>
      <c r="D933" s="2"/>
      <c r="E933" s="2" t="s">
        <v>5938</v>
      </c>
      <c r="F933" s="2" t="s">
        <v>4917</v>
      </c>
      <c r="G933" s="2" t="s">
        <v>19</v>
      </c>
      <c r="H933" s="2">
        <v>18105</v>
      </c>
      <c r="I933" t="s">
        <v>1975</v>
      </c>
    </row>
    <row r="934" spans="1:9">
      <c r="A934" s="2" t="s">
        <v>1846</v>
      </c>
      <c r="B934" s="2" t="s">
        <v>5939</v>
      </c>
      <c r="C934" s="2" t="s">
        <v>5940</v>
      </c>
      <c r="D934" s="2" t="s">
        <v>5941</v>
      </c>
      <c r="E934" s="2" t="s">
        <v>5942</v>
      </c>
      <c r="F934" s="2" t="s">
        <v>3612</v>
      </c>
      <c r="G934" s="2" t="s">
        <v>19</v>
      </c>
      <c r="H934" s="2">
        <v>33169</v>
      </c>
      <c r="I934" t="s">
        <v>1983</v>
      </c>
    </row>
    <row r="935" spans="1:9">
      <c r="A935" s="2" t="s">
        <v>1848</v>
      </c>
      <c r="B935" s="2" t="s">
        <v>5943</v>
      </c>
      <c r="C935" s="2"/>
      <c r="D935" s="2" t="s">
        <v>5944</v>
      </c>
      <c r="E935" s="2" t="s">
        <v>5945</v>
      </c>
      <c r="F935" s="2" t="s">
        <v>2393</v>
      </c>
      <c r="G935" s="2" t="s">
        <v>19</v>
      </c>
      <c r="H935" s="2">
        <v>73129</v>
      </c>
      <c r="I935" t="s">
        <v>1975</v>
      </c>
    </row>
    <row r="936" spans="1:9">
      <c r="A936" s="2" t="s">
        <v>1850</v>
      </c>
      <c r="B936" s="2" t="s">
        <v>5946</v>
      </c>
      <c r="C936" s="2" t="s">
        <v>5947</v>
      </c>
      <c r="D936" s="2" t="s">
        <v>5948</v>
      </c>
      <c r="E936" s="2" t="s">
        <v>5949</v>
      </c>
      <c r="F936" s="2" t="s">
        <v>5744</v>
      </c>
      <c r="G936" s="2" t="s">
        <v>19</v>
      </c>
      <c r="H936" s="2">
        <v>61105</v>
      </c>
      <c r="I936" t="s">
        <v>1983</v>
      </c>
    </row>
    <row r="937" spans="1:9">
      <c r="A937" s="2" t="s">
        <v>1852</v>
      </c>
      <c r="B937" s="2" t="s">
        <v>5950</v>
      </c>
      <c r="C937" s="2" t="s">
        <v>5951</v>
      </c>
      <c r="D937" s="2" t="s">
        <v>5952</v>
      </c>
      <c r="E937" s="2" t="s">
        <v>5953</v>
      </c>
      <c r="F937" s="2" t="s">
        <v>2775</v>
      </c>
      <c r="G937" s="2" t="s">
        <v>19</v>
      </c>
      <c r="H937" s="2">
        <v>36177</v>
      </c>
      <c r="I937" t="s">
        <v>1975</v>
      </c>
    </row>
    <row r="938" spans="1:9">
      <c r="A938" s="2" t="s">
        <v>1854</v>
      </c>
      <c r="B938" s="2" t="s">
        <v>5954</v>
      </c>
      <c r="C938" s="2" t="s">
        <v>5955</v>
      </c>
      <c r="D938" s="2" t="s">
        <v>5956</v>
      </c>
      <c r="E938" s="2" t="s">
        <v>5957</v>
      </c>
      <c r="F938" s="2" t="s">
        <v>2978</v>
      </c>
      <c r="G938" s="2" t="s">
        <v>19</v>
      </c>
      <c r="H938" s="2">
        <v>91117</v>
      </c>
      <c r="I938" t="s">
        <v>1975</v>
      </c>
    </row>
    <row r="939" spans="1:9">
      <c r="A939" s="2" t="s">
        <v>5958</v>
      </c>
      <c r="B939" s="2" t="s">
        <v>5959</v>
      </c>
      <c r="C939" s="2" t="s">
        <v>5960</v>
      </c>
      <c r="D939" s="2" t="s">
        <v>5961</v>
      </c>
      <c r="E939" s="2" t="s">
        <v>5962</v>
      </c>
      <c r="F939" s="2" t="s">
        <v>2283</v>
      </c>
      <c r="G939" s="2" t="s">
        <v>19</v>
      </c>
      <c r="H939" s="2">
        <v>60624</v>
      </c>
      <c r="I939" t="s">
        <v>1983</v>
      </c>
    </row>
    <row r="940" spans="1:9">
      <c r="A940" s="2" t="s">
        <v>1856</v>
      </c>
      <c r="B940" s="2" t="s">
        <v>5963</v>
      </c>
      <c r="C940" s="2" t="s">
        <v>5964</v>
      </c>
      <c r="D940" s="2" t="s">
        <v>5965</v>
      </c>
      <c r="E940" s="2" t="s">
        <v>5966</v>
      </c>
      <c r="F940" s="2" t="s">
        <v>2059</v>
      </c>
      <c r="G940" s="2" t="s">
        <v>19</v>
      </c>
      <c r="H940" s="2">
        <v>77293</v>
      </c>
      <c r="I940" t="s">
        <v>1975</v>
      </c>
    </row>
    <row r="941" spans="1:9">
      <c r="A941" s="2" t="s">
        <v>1858</v>
      </c>
      <c r="B941" s="2" t="s">
        <v>5967</v>
      </c>
      <c r="C941" s="2" t="s">
        <v>5968</v>
      </c>
      <c r="D941" s="2" t="s">
        <v>5969</v>
      </c>
      <c r="E941" s="2" t="s">
        <v>5970</v>
      </c>
      <c r="F941" s="2" t="s">
        <v>5971</v>
      </c>
      <c r="G941" s="2" t="s">
        <v>19</v>
      </c>
      <c r="H941" s="2">
        <v>49444</v>
      </c>
      <c r="I941" t="s">
        <v>1983</v>
      </c>
    </row>
    <row r="942" spans="1:9">
      <c r="A942" s="2" t="s">
        <v>1860</v>
      </c>
      <c r="B942" s="2" t="s">
        <v>5972</v>
      </c>
      <c r="C942" s="2" t="s">
        <v>5973</v>
      </c>
      <c r="D942" s="2" t="s">
        <v>5974</v>
      </c>
      <c r="E942" s="2" t="s">
        <v>5975</v>
      </c>
      <c r="F942" s="2" t="s">
        <v>2217</v>
      </c>
      <c r="G942" s="2" t="s">
        <v>19</v>
      </c>
      <c r="H942" s="2">
        <v>20380</v>
      </c>
      <c r="I942" t="s">
        <v>1975</v>
      </c>
    </row>
    <row r="943" spans="1:9">
      <c r="A943" s="2" t="s">
        <v>1862</v>
      </c>
      <c r="B943" s="2" t="s">
        <v>5976</v>
      </c>
      <c r="C943" s="2" t="s">
        <v>5977</v>
      </c>
      <c r="D943" s="2" t="s">
        <v>5978</v>
      </c>
      <c r="E943" s="2" t="s">
        <v>5979</v>
      </c>
      <c r="F943" s="2" t="s">
        <v>5980</v>
      </c>
      <c r="G943" s="2" t="s">
        <v>17</v>
      </c>
      <c r="H943" s="2" t="s">
        <v>5981</v>
      </c>
      <c r="I943" t="s">
        <v>1975</v>
      </c>
    </row>
    <row r="944" spans="1:9">
      <c r="A944" s="2" t="s">
        <v>1864</v>
      </c>
      <c r="B944" s="2" t="s">
        <v>5982</v>
      </c>
      <c r="C944" s="2" t="s">
        <v>5983</v>
      </c>
      <c r="D944" s="2" t="s">
        <v>5984</v>
      </c>
      <c r="E944" s="2" t="s">
        <v>5985</v>
      </c>
      <c r="F944" s="2" t="s">
        <v>2784</v>
      </c>
      <c r="G944" s="2" t="s">
        <v>19</v>
      </c>
      <c r="H944" s="2">
        <v>31205</v>
      </c>
      <c r="I944" t="s">
        <v>1983</v>
      </c>
    </row>
    <row r="945" spans="1:9">
      <c r="A945" s="2" t="s">
        <v>1866</v>
      </c>
      <c r="B945" s="2" t="s">
        <v>5986</v>
      </c>
      <c r="C945" s="2" t="s">
        <v>5987</v>
      </c>
      <c r="D945" s="2" t="s">
        <v>5988</v>
      </c>
      <c r="E945" s="2" t="s">
        <v>5989</v>
      </c>
      <c r="F945" s="2" t="s">
        <v>3555</v>
      </c>
      <c r="G945" s="2" t="s">
        <v>19</v>
      </c>
      <c r="H945" s="2">
        <v>71105</v>
      </c>
      <c r="I945" t="s">
        <v>1983</v>
      </c>
    </row>
    <row r="946" spans="1:9">
      <c r="A946" s="2" t="s">
        <v>1868</v>
      </c>
      <c r="B946" s="2" t="s">
        <v>5990</v>
      </c>
      <c r="C946" s="2" t="s">
        <v>5991</v>
      </c>
      <c r="D946" s="2" t="s">
        <v>5992</v>
      </c>
      <c r="E946" s="2" t="s">
        <v>5993</v>
      </c>
      <c r="F946" s="2" t="s">
        <v>3179</v>
      </c>
      <c r="G946" s="2" t="s">
        <v>19</v>
      </c>
      <c r="H946" s="2">
        <v>98405</v>
      </c>
      <c r="I946" t="s">
        <v>1983</v>
      </c>
    </row>
    <row r="947" spans="1:9">
      <c r="A947" s="2" t="s">
        <v>1870</v>
      </c>
      <c r="B947" s="2" t="s">
        <v>5994</v>
      </c>
      <c r="C947" s="2"/>
      <c r="D947" s="2" t="s">
        <v>5995</v>
      </c>
      <c r="E947" s="2" t="s">
        <v>5996</v>
      </c>
      <c r="F947" s="2" t="s">
        <v>2479</v>
      </c>
      <c r="G947" s="2" t="s">
        <v>19</v>
      </c>
      <c r="H947" s="2">
        <v>79934</v>
      </c>
      <c r="I947" t="s">
        <v>1983</v>
      </c>
    </row>
    <row r="948" spans="1:9">
      <c r="A948" s="2" t="s">
        <v>1872</v>
      </c>
      <c r="B948" s="2" t="s">
        <v>5997</v>
      </c>
      <c r="C948" s="2"/>
      <c r="D948" s="2" t="s">
        <v>5998</v>
      </c>
      <c r="E948" s="2" t="s">
        <v>5999</v>
      </c>
      <c r="F948" s="2" t="s">
        <v>2203</v>
      </c>
      <c r="G948" s="2" t="s">
        <v>19</v>
      </c>
      <c r="H948" s="2">
        <v>35263</v>
      </c>
      <c r="I948" t="s">
        <v>1983</v>
      </c>
    </row>
    <row r="949" spans="1:9">
      <c r="A949" s="2" t="s">
        <v>1874</v>
      </c>
      <c r="B949" s="2" t="s">
        <v>6000</v>
      </c>
      <c r="C949" s="2" t="s">
        <v>6001</v>
      </c>
      <c r="D949" s="2"/>
      <c r="E949" s="2" t="s">
        <v>6002</v>
      </c>
      <c r="F949" s="2" t="s">
        <v>2638</v>
      </c>
      <c r="G949" s="2" t="s">
        <v>17</v>
      </c>
      <c r="H949" s="2" t="s">
        <v>2341</v>
      </c>
      <c r="I949" t="s">
        <v>1983</v>
      </c>
    </row>
    <row r="950" spans="1:9">
      <c r="A950" s="2" t="s">
        <v>1876</v>
      </c>
      <c r="B950" s="2" t="s">
        <v>6003</v>
      </c>
      <c r="C950" s="2" t="s">
        <v>6004</v>
      </c>
      <c r="D950" s="2" t="s">
        <v>6005</v>
      </c>
      <c r="E950" s="2" t="s">
        <v>6006</v>
      </c>
      <c r="F950" s="2" t="s">
        <v>4516</v>
      </c>
      <c r="G950" s="2" t="s">
        <v>18</v>
      </c>
      <c r="H950" s="2" t="s">
        <v>6007</v>
      </c>
      <c r="I950" t="s">
        <v>1975</v>
      </c>
    </row>
    <row r="951" spans="1:9">
      <c r="A951" s="2" t="s">
        <v>1878</v>
      </c>
      <c r="B951" s="2" t="s">
        <v>6008</v>
      </c>
      <c r="C951" s="2" t="s">
        <v>6009</v>
      </c>
      <c r="D951" s="2" t="s">
        <v>6010</v>
      </c>
      <c r="E951" s="2" t="s">
        <v>6011</v>
      </c>
      <c r="F951" s="2" t="s">
        <v>6012</v>
      </c>
      <c r="G951" s="2" t="s">
        <v>17</v>
      </c>
      <c r="H951" s="2" t="s">
        <v>6013</v>
      </c>
      <c r="I951" t="s">
        <v>1983</v>
      </c>
    </row>
    <row r="952" spans="1:9">
      <c r="A952" s="2" t="s">
        <v>1880</v>
      </c>
      <c r="B952" s="2" t="s">
        <v>6014</v>
      </c>
      <c r="C952" s="2"/>
      <c r="D952" s="2" t="s">
        <v>6015</v>
      </c>
      <c r="E952" s="2" t="s">
        <v>6016</v>
      </c>
      <c r="F952" s="2" t="s">
        <v>5138</v>
      </c>
      <c r="G952" s="2" t="s">
        <v>19</v>
      </c>
      <c r="H952" s="2">
        <v>19810</v>
      </c>
      <c r="I952" t="s">
        <v>1975</v>
      </c>
    </row>
    <row r="953" spans="1:9">
      <c r="A953" s="2" t="s">
        <v>1882</v>
      </c>
      <c r="B953" s="2" t="s">
        <v>6017</v>
      </c>
      <c r="C953" s="2" t="s">
        <v>6018</v>
      </c>
      <c r="D953" s="2" t="s">
        <v>6019</v>
      </c>
      <c r="E953" s="2" t="s">
        <v>6020</v>
      </c>
      <c r="F953" s="2" t="s">
        <v>3693</v>
      </c>
      <c r="G953" s="2" t="s">
        <v>19</v>
      </c>
      <c r="H953" s="2">
        <v>17121</v>
      </c>
      <c r="I953" t="s">
        <v>1983</v>
      </c>
    </row>
    <row r="954" spans="1:9">
      <c r="A954" s="2" t="s">
        <v>1884</v>
      </c>
      <c r="B954" s="2" t="s">
        <v>6021</v>
      </c>
      <c r="C954" s="2" t="s">
        <v>6022</v>
      </c>
      <c r="D954" s="2" t="s">
        <v>6023</v>
      </c>
      <c r="E954" s="2" t="s">
        <v>6024</v>
      </c>
      <c r="F954" s="2" t="s">
        <v>5980</v>
      </c>
      <c r="G954" s="2" t="s">
        <v>17</v>
      </c>
      <c r="H954" s="2" t="s">
        <v>5981</v>
      </c>
      <c r="I954" t="s">
        <v>1975</v>
      </c>
    </row>
    <row r="955" spans="1:9">
      <c r="A955" s="2" t="s">
        <v>6025</v>
      </c>
      <c r="B955" s="2" t="s">
        <v>6026</v>
      </c>
      <c r="C955" s="2" t="s">
        <v>6027</v>
      </c>
      <c r="D955" s="2" t="s">
        <v>6028</v>
      </c>
      <c r="E955" s="2" t="s">
        <v>6029</v>
      </c>
      <c r="F955" s="2" t="s">
        <v>2479</v>
      </c>
      <c r="G955" s="2" t="s">
        <v>19</v>
      </c>
      <c r="H955" s="2">
        <v>79940</v>
      </c>
      <c r="I955" t="s">
        <v>1975</v>
      </c>
    </row>
    <row r="956" spans="1:9">
      <c r="A956" s="2" t="s">
        <v>6030</v>
      </c>
      <c r="B956" s="2" t="s">
        <v>6031</v>
      </c>
      <c r="C956" s="2" t="s">
        <v>6032</v>
      </c>
      <c r="D956" s="2" t="s">
        <v>6033</v>
      </c>
      <c r="E956" s="2" t="s">
        <v>6034</v>
      </c>
      <c r="F956" s="2" t="s">
        <v>2045</v>
      </c>
      <c r="G956" s="2" t="s">
        <v>19</v>
      </c>
      <c r="H956" s="2">
        <v>63136</v>
      </c>
      <c r="I956" t="s">
        <v>1975</v>
      </c>
    </row>
    <row r="957" spans="1:9">
      <c r="A957" s="2" t="s">
        <v>6035</v>
      </c>
      <c r="B957" s="2" t="s">
        <v>6036</v>
      </c>
      <c r="C957" s="2" t="s">
        <v>6037</v>
      </c>
      <c r="D957" s="2" t="s">
        <v>6038</v>
      </c>
      <c r="E957" s="2" t="s">
        <v>6039</v>
      </c>
      <c r="F957" s="2" t="s">
        <v>5059</v>
      </c>
      <c r="G957" s="2" t="s">
        <v>19</v>
      </c>
      <c r="H957" s="2">
        <v>72905</v>
      </c>
      <c r="I957" t="s">
        <v>1975</v>
      </c>
    </row>
    <row r="958" spans="1:9">
      <c r="A958" s="2" t="s">
        <v>6040</v>
      </c>
      <c r="B958" s="2" t="s">
        <v>6041</v>
      </c>
      <c r="C958" s="2" t="s">
        <v>6042</v>
      </c>
      <c r="D958" s="2" t="s">
        <v>6043</v>
      </c>
      <c r="E958" s="2" t="s">
        <v>6044</v>
      </c>
      <c r="F958" s="2" t="s">
        <v>2537</v>
      </c>
      <c r="G958" s="2" t="s">
        <v>19</v>
      </c>
      <c r="H958" s="2">
        <v>37245</v>
      </c>
      <c r="I958" t="s">
        <v>1983</v>
      </c>
    </row>
    <row r="959" spans="1:9">
      <c r="A959" s="2" t="s">
        <v>6045</v>
      </c>
      <c r="B959" s="2" t="s">
        <v>6046</v>
      </c>
      <c r="C959" s="2" t="s">
        <v>6047</v>
      </c>
      <c r="D959" s="2" t="s">
        <v>6048</v>
      </c>
      <c r="E959" s="2" t="s">
        <v>6049</v>
      </c>
      <c r="F959" s="2" t="s">
        <v>2217</v>
      </c>
      <c r="G959" s="2" t="s">
        <v>19</v>
      </c>
      <c r="H959" s="2">
        <v>20088</v>
      </c>
      <c r="I959" t="s">
        <v>1975</v>
      </c>
    </row>
    <row r="960" spans="1:9">
      <c r="A960" s="2" t="s">
        <v>6050</v>
      </c>
      <c r="B960" s="2" t="s">
        <v>6051</v>
      </c>
      <c r="C960" s="2" t="s">
        <v>6052</v>
      </c>
      <c r="D960" s="2"/>
      <c r="E960" s="2" t="s">
        <v>6053</v>
      </c>
      <c r="F960" s="2" t="s">
        <v>6054</v>
      </c>
      <c r="G960" s="2" t="s">
        <v>19</v>
      </c>
      <c r="H960" s="2">
        <v>90305</v>
      </c>
      <c r="I960" t="s">
        <v>1975</v>
      </c>
    </row>
    <row r="961" spans="1:9">
      <c r="A961" s="2" t="s">
        <v>1889</v>
      </c>
      <c r="B961" s="2" t="s">
        <v>6055</v>
      </c>
      <c r="C961" s="2" t="s">
        <v>6056</v>
      </c>
      <c r="D961" s="2"/>
      <c r="E961" s="2" t="s">
        <v>6057</v>
      </c>
      <c r="F961" s="2" t="s">
        <v>2158</v>
      </c>
      <c r="G961" s="2" t="s">
        <v>19</v>
      </c>
      <c r="H961" s="2">
        <v>72215</v>
      </c>
      <c r="I961" t="s">
        <v>1975</v>
      </c>
    </row>
    <row r="962" spans="1:9">
      <c r="A962" s="2" t="s">
        <v>1891</v>
      </c>
      <c r="B962" s="2" t="s">
        <v>6058</v>
      </c>
      <c r="C962" s="2" t="s">
        <v>6059</v>
      </c>
      <c r="D962" s="2" t="s">
        <v>6060</v>
      </c>
      <c r="E962" s="2" t="s">
        <v>6061</v>
      </c>
      <c r="F962" s="2" t="s">
        <v>3734</v>
      </c>
      <c r="G962" s="2" t="s">
        <v>19</v>
      </c>
      <c r="H962" s="2">
        <v>21747</v>
      </c>
      <c r="I962" t="s">
        <v>1975</v>
      </c>
    </row>
    <row r="963" spans="1:9">
      <c r="A963" s="2" t="s">
        <v>1893</v>
      </c>
      <c r="B963" s="2" t="s">
        <v>6062</v>
      </c>
      <c r="C963" s="2"/>
      <c r="D963" s="2" t="s">
        <v>6063</v>
      </c>
      <c r="E963" s="2" t="s">
        <v>6064</v>
      </c>
      <c r="F963" s="2" t="s">
        <v>2912</v>
      </c>
      <c r="G963" s="2" t="s">
        <v>19</v>
      </c>
      <c r="H963" s="2">
        <v>12205</v>
      </c>
      <c r="I963" t="s">
        <v>1975</v>
      </c>
    </row>
    <row r="964" spans="1:9">
      <c r="A964" s="2" t="s">
        <v>1895</v>
      </c>
      <c r="B964" s="2" t="s">
        <v>6065</v>
      </c>
      <c r="C964" s="2" t="s">
        <v>6066</v>
      </c>
      <c r="D964" s="2" t="s">
        <v>6067</v>
      </c>
      <c r="E964" s="2" t="s">
        <v>6068</v>
      </c>
      <c r="F964" s="2" t="s">
        <v>6069</v>
      </c>
      <c r="G964" s="2" t="s">
        <v>17</v>
      </c>
      <c r="H964" s="2" t="s">
        <v>3225</v>
      </c>
      <c r="I964" t="s">
        <v>1975</v>
      </c>
    </row>
    <row r="965" spans="1:9">
      <c r="A965" s="2" t="s">
        <v>1897</v>
      </c>
      <c r="B965" s="2" t="s">
        <v>6070</v>
      </c>
      <c r="C965" s="2" t="s">
        <v>6071</v>
      </c>
      <c r="D965" s="2" t="s">
        <v>6072</v>
      </c>
      <c r="E965" s="2" t="s">
        <v>6073</v>
      </c>
      <c r="F965" s="2" t="s">
        <v>3351</v>
      </c>
      <c r="G965" s="2" t="s">
        <v>19</v>
      </c>
      <c r="H965" s="2">
        <v>40510</v>
      </c>
      <c r="I965" t="s">
        <v>1975</v>
      </c>
    </row>
    <row r="966" spans="1:9">
      <c r="A966" s="2" t="s">
        <v>1899</v>
      </c>
      <c r="B966" s="2" t="s">
        <v>6074</v>
      </c>
      <c r="C966" s="2" t="s">
        <v>6075</v>
      </c>
      <c r="D966" s="2" t="s">
        <v>6076</v>
      </c>
      <c r="E966" s="2" t="s">
        <v>6077</v>
      </c>
      <c r="F966" s="2" t="s">
        <v>3816</v>
      </c>
      <c r="G966" s="2" t="s">
        <v>19</v>
      </c>
      <c r="H966" s="2">
        <v>92165</v>
      </c>
      <c r="I966" t="s">
        <v>1983</v>
      </c>
    </row>
    <row r="967" spans="1:9">
      <c r="A967" s="2" t="s">
        <v>1901</v>
      </c>
      <c r="B967" s="2" t="s">
        <v>6078</v>
      </c>
      <c r="C967" s="2" t="s">
        <v>6079</v>
      </c>
      <c r="D967" s="2"/>
      <c r="E967" s="2" t="s">
        <v>6080</v>
      </c>
      <c r="F967" s="2" t="s">
        <v>2018</v>
      </c>
      <c r="G967" s="2" t="s">
        <v>19</v>
      </c>
      <c r="H967" s="2">
        <v>90040</v>
      </c>
      <c r="I967" t="s">
        <v>1975</v>
      </c>
    </row>
    <row r="968" spans="1:9">
      <c r="A968" s="2" t="s">
        <v>1903</v>
      </c>
      <c r="B968" s="2" t="s">
        <v>6081</v>
      </c>
      <c r="C968" s="2" t="s">
        <v>6082</v>
      </c>
      <c r="D968" s="2" t="s">
        <v>6083</v>
      </c>
      <c r="E968" s="2" t="s">
        <v>6084</v>
      </c>
      <c r="F968" s="2" t="s">
        <v>2807</v>
      </c>
      <c r="G968" s="2" t="s">
        <v>19</v>
      </c>
      <c r="H968" s="2">
        <v>11210</v>
      </c>
      <c r="I968" t="s">
        <v>1975</v>
      </c>
    </row>
    <row r="969" spans="1:9">
      <c r="A969" s="2" t="s">
        <v>1905</v>
      </c>
      <c r="B969" s="2" t="s">
        <v>6085</v>
      </c>
      <c r="C969" s="2" t="s">
        <v>6086</v>
      </c>
      <c r="D969" s="2" t="s">
        <v>6087</v>
      </c>
      <c r="E969" s="2" t="s">
        <v>6088</v>
      </c>
      <c r="F969" s="2" t="s">
        <v>6089</v>
      </c>
      <c r="G969" s="2" t="s">
        <v>17</v>
      </c>
      <c r="H969" s="2" t="s">
        <v>2115</v>
      </c>
      <c r="I969" t="s">
        <v>1975</v>
      </c>
    </row>
    <row r="970" spans="1:9">
      <c r="A970" s="2" t="s">
        <v>1907</v>
      </c>
      <c r="B970" s="2" t="s">
        <v>6090</v>
      </c>
      <c r="C970" s="2" t="s">
        <v>6091</v>
      </c>
      <c r="D970" s="2" t="s">
        <v>6092</v>
      </c>
      <c r="E970" s="2" t="s">
        <v>6093</v>
      </c>
      <c r="F970" s="2" t="s">
        <v>6094</v>
      </c>
      <c r="G970" s="2" t="s">
        <v>19</v>
      </c>
      <c r="H970" s="2">
        <v>32627</v>
      </c>
      <c r="I970" t="s">
        <v>1983</v>
      </c>
    </row>
    <row r="971" spans="1:9">
      <c r="A971" s="2" t="s">
        <v>1909</v>
      </c>
      <c r="B971" s="2" t="s">
        <v>6095</v>
      </c>
      <c r="C971" s="2" t="s">
        <v>6096</v>
      </c>
      <c r="D971" s="2" t="s">
        <v>6097</v>
      </c>
      <c r="E971" s="2" t="s">
        <v>6098</v>
      </c>
      <c r="F971" s="2" t="s">
        <v>2744</v>
      </c>
      <c r="G971" s="2" t="s">
        <v>19</v>
      </c>
      <c r="H971" s="2">
        <v>34620</v>
      </c>
      <c r="I971" t="s">
        <v>1975</v>
      </c>
    </row>
    <row r="972" spans="1:9">
      <c r="A972" s="2" t="s">
        <v>1911</v>
      </c>
      <c r="B972" s="2" t="s">
        <v>6099</v>
      </c>
      <c r="C972" s="2"/>
      <c r="D972" s="2" t="s">
        <v>6100</v>
      </c>
      <c r="E972" s="2" t="s">
        <v>6101</v>
      </c>
      <c r="F972" s="2" t="s">
        <v>4443</v>
      </c>
      <c r="G972" s="2" t="s">
        <v>19</v>
      </c>
      <c r="H972" s="2">
        <v>79165</v>
      </c>
      <c r="I972" t="s">
        <v>1983</v>
      </c>
    </row>
    <row r="973" spans="1:9">
      <c r="A973" s="2" t="s">
        <v>1913</v>
      </c>
      <c r="B973" s="2" t="s">
        <v>6102</v>
      </c>
      <c r="C973" s="2" t="s">
        <v>6103</v>
      </c>
      <c r="D973" s="2" t="s">
        <v>6104</v>
      </c>
      <c r="E973" s="2" t="s">
        <v>6105</v>
      </c>
      <c r="F973" s="2" t="s">
        <v>2297</v>
      </c>
      <c r="G973" s="2" t="s">
        <v>19</v>
      </c>
      <c r="H973" s="2">
        <v>76121</v>
      </c>
      <c r="I973" t="s">
        <v>1983</v>
      </c>
    </row>
    <row r="974" spans="1:9">
      <c r="A974" s="2" t="s">
        <v>1915</v>
      </c>
      <c r="B974" s="2" t="s">
        <v>6106</v>
      </c>
      <c r="C974" s="2"/>
      <c r="D974" s="2" t="s">
        <v>6107</v>
      </c>
      <c r="E974" s="2" t="s">
        <v>6108</v>
      </c>
      <c r="F974" s="2" t="s">
        <v>5121</v>
      </c>
      <c r="G974" s="2" t="s">
        <v>17</v>
      </c>
      <c r="H974" s="2" t="s">
        <v>5122</v>
      </c>
      <c r="I974" t="s">
        <v>1975</v>
      </c>
    </row>
    <row r="975" spans="1:9">
      <c r="A975" s="2" t="s">
        <v>1917</v>
      </c>
      <c r="B975" s="2" t="s">
        <v>6109</v>
      </c>
      <c r="C975" s="2" t="s">
        <v>6110</v>
      </c>
      <c r="D975" s="2" t="s">
        <v>6111</v>
      </c>
      <c r="E975" s="2" t="s">
        <v>6112</v>
      </c>
      <c r="F975" s="2" t="s">
        <v>2256</v>
      </c>
      <c r="G975" s="2" t="s">
        <v>19</v>
      </c>
      <c r="H975" s="2">
        <v>32575</v>
      </c>
      <c r="I975" t="s">
        <v>1983</v>
      </c>
    </row>
    <row r="976" spans="1:9">
      <c r="A976" s="2" t="s">
        <v>1919</v>
      </c>
      <c r="B976" s="2" t="s">
        <v>6113</v>
      </c>
      <c r="C976" s="2" t="s">
        <v>6114</v>
      </c>
      <c r="D976" s="2" t="s">
        <v>6115</v>
      </c>
      <c r="E976" s="2" t="s">
        <v>6116</v>
      </c>
      <c r="F976" s="2" t="s">
        <v>3179</v>
      </c>
      <c r="G976" s="2" t="s">
        <v>19</v>
      </c>
      <c r="H976" s="2">
        <v>98405</v>
      </c>
      <c r="I976" t="s">
        <v>1975</v>
      </c>
    </row>
    <row r="977" spans="1:9">
      <c r="A977" s="2" t="s">
        <v>1921</v>
      </c>
      <c r="B977" s="2" t="s">
        <v>6117</v>
      </c>
      <c r="C977" s="2" t="s">
        <v>6118</v>
      </c>
      <c r="D977" s="2" t="s">
        <v>6119</v>
      </c>
      <c r="E977" s="2" t="s">
        <v>6120</v>
      </c>
      <c r="F977" s="2" t="s">
        <v>6121</v>
      </c>
      <c r="G977" s="2" t="s">
        <v>17</v>
      </c>
      <c r="H977" s="2" t="s">
        <v>3214</v>
      </c>
      <c r="I977" t="s">
        <v>1975</v>
      </c>
    </row>
    <row r="978" spans="1:9">
      <c r="A978" s="2" t="s">
        <v>1923</v>
      </c>
      <c r="B978" s="2" t="s">
        <v>6122</v>
      </c>
      <c r="C978" s="2" t="s">
        <v>6123</v>
      </c>
      <c r="D978" s="2" t="s">
        <v>6124</v>
      </c>
      <c r="E978" s="2" t="s">
        <v>6125</v>
      </c>
      <c r="F978" s="2" t="s">
        <v>2269</v>
      </c>
      <c r="G978" s="2" t="s">
        <v>19</v>
      </c>
      <c r="H978" s="2">
        <v>46896</v>
      </c>
      <c r="I978" t="s">
        <v>1975</v>
      </c>
    </row>
    <row r="979" spans="1:9">
      <c r="A979" s="2" t="s">
        <v>1925</v>
      </c>
      <c r="B979" s="2" t="s">
        <v>6126</v>
      </c>
      <c r="C979" s="2" t="s">
        <v>6127</v>
      </c>
      <c r="D979" s="2" t="s">
        <v>6128</v>
      </c>
      <c r="E979" s="2" t="s">
        <v>6129</v>
      </c>
      <c r="F979" s="2" t="s">
        <v>4443</v>
      </c>
      <c r="G979" s="2" t="s">
        <v>19</v>
      </c>
      <c r="H979" s="2">
        <v>79105</v>
      </c>
      <c r="I979" t="s">
        <v>1983</v>
      </c>
    </row>
    <row r="980" spans="1:9">
      <c r="A980" s="2" t="s">
        <v>6130</v>
      </c>
      <c r="B980" s="2" t="s">
        <v>6131</v>
      </c>
      <c r="C980" s="2" t="s">
        <v>6132</v>
      </c>
      <c r="D980" s="2" t="s">
        <v>6133</v>
      </c>
      <c r="E980" s="2" t="s">
        <v>6134</v>
      </c>
      <c r="F980" s="2" t="s">
        <v>2217</v>
      </c>
      <c r="G980" s="2" t="s">
        <v>19</v>
      </c>
      <c r="H980" s="2">
        <v>20436</v>
      </c>
      <c r="I980" t="s">
        <v>1975</v>
      </c>
    </row>
    <row r="981" spans="1:9">
      <c r="A981" s="2" t="s">
        <v>1928</v>
      </c>
      <c r="B981" s="2" t="s">
        <v>6135</v>
      </c>
      <c r="C981" s="2"/>
      <c r="D981" s="2" t="s">
        <v>6136</v>
      </c>
      <c r="E981" s="2" t="s">
        <v>6137</v>
      </c>
      <c r="F981" s="2" t="s">
        <v>6138</v>
      </c>
      <c r="G981" s="2" t="s">
        <v>19</v>
      </c>
      <c r="H981" s="2">
        <v>20910</v>
      </c>
      <c r="I981" t="s">
        <v>1983</v>
      </c>
    </row>
    <row r="982" spans="1:9">
      <c r="A982" s="2" t="s">
        <v>1930</v>
      </c>
      <c r="B982" s="2" t="s">
        <v>6139</v>
      </c>
      <c r="C982" s="2"/>
      <c r="D982" s="2" t="s">
        <v>6140</v>
      </c>
      <c r="E982" s="2" t="s">
        <v>6141</v>
      </c>
      <c r="F982" s="2" t="s">
        <v>3854</v>
      </c>
      <c r="G982" s="2" t="s">
        <v>19</v>
      </c>
      <c r="H982" s="2">
        <v>53726</v>
      </c>
      <c r="I982" t="s">
        <v>1975</v>
      </c>
    </row>
    <row r="983" spans="1:9">
      <c r="A983" s="2" t="s">
        <v>1932</v>
      </c>
      <c r="B983" s="2" t="s">
        <v>6142</v>
      </c>
      <c r="C983" s="2" t="s">
        <v>6143</v>
      </c>
      <c r="D983" s="2" t="s">
        <v>6144</v>
      </c>
      <c r="E983" s="2" t="s">
        <v>6145</v>
      </c>
      <c r="F983" s="2" t="s">
        <v>6146</v>
      </c>
      <c r="G983" s="2" t="s">
        <v>19</v>
      </c>
      <c r="H983" s="2">
        <v>77305</v>
      </c>
      <c r="I983" t="s">
        <v>1975</v>
      </c>
    </row>
    <row r="984" spans="1:9">
      <c r="A984" s="2" t="s">
        <v>1934</v>
      </c>
      <c r="B984" s="2" t="s">
        <v>6147</v>
      </c>
      <c r="C984" s="2" t="s">
        <v>6148</v>
      </c>
      <c r="D984" s="2" t="s">
        <v>6149</v>
      </c>
      <c r="E984" s="2" t="s">
        <v>6150</v>
      </c>
      <c r="F984" s="2" t="s">
        <v>3210</v>
      </c>
      <c r="G984" s="2" t="s">
        <v>19</v>
      </c>
      <c r="H984" s="2">
        <v>76205</v>
      </c>
      <c r="I984" t="s">
        <v>1975</v>
      </c>
    </row>
    <row r="985" spans="1:9">
      <c r="A985" s="2" t="s">
        <v>1936</v>
      </c>
      <c r="B985" s="2" t="s">
        <v>6151</v>
      </c>
      <c r="C985" s="2" t="s">
        <v>6152</v>
      </c>
      <c r="D985" s="2" t="s">
        <v>6153</v>
      </c>
      <c r="E985" s="2" t="s">
        <v>6154</v>
      </c>
      <c r="F985" s="2" t="s">
        <v>2318</v>
      </c>
      <c r="G985" s="2" t="s">
        <v>19</v>
      </c>
      <c r="H985" s="2">
        <v>43231</v>
      </c>
      <c r="I985" t="s">
        <v>1975</v>
      </c>
    </row>
    <row r="986" spans="1:9">
      <c r="A986" s="2" t="s">
        <v>1938</v>
      </c>
      <c r="B986" s="2" t="s">
        <v>6155</v>
      </c>
      <c r="C986" s="2" t="s">
        <v>6156</v>
      </c>
      <c r="D986" s="2"/>
      <c r="E986" s="2" t="s">
        <v>6157</v>
      </c>
      <c r="F986" s="2" t="s">
        <v>6158</v>
      </c>
      <c r="G986" s="2" t="s">
        <v>17</v>
      </c>
      <c r="H986" s="2" t="s">
        <v>3294</v>
      </c>
      <c r="I986" t="s">
        <v>1975</v>
      </c>
    </row>
    <row r="987" spans="1:9">
      <c r="A987" s="2" t="s">
        <v>1940</v>
      </c>
      <c r="B987" s="2" t="s">
        <v>6159</v>
      </c>
      <c r="C987" s="2" t="s">
        <v>6160</v>
      </c>
      <c r="D987" s="2" t="s">
        <v>6161</v>
      </c>
      <c r="E987" s="2" t="s">
        <v>6162</v>
      </c>
      <c r="F987" s="2" t="s">
        <v>2125</v>
      </c>
      <c r="G987" s="2" t="s">
        <v>19</v>
      </c>
      <c r="H987" s="2">
        <v>80045</v>
      </c>
      <c r="I987" t="s">
        <v>1983</v>
      </c>
    </row>
    <row r="988" spans="1:9">
      <c r="A988" s="2" t="s">
        <v>1942</v>
      </c>
      <c r="B988" s="2" t="s">
        <v>6163</v>
      </c>
      <c r="C988" s="2" t="s">
        <v>6164</v>
      </c>
      <c r="D988" s="2" t="s">
        <v>6165</v>
      </c>
      <c r="E988" s="2" t="s">
        <v>6166</v>
      </c>
      <c r="F988" s="2" t="s">
        <v>6167</v>
      </c>
      <c r="G988" s="2" t="s">
        <v>19</v>
      </c>
      <c r="H988" s="2">
        <v>32128</v>
      </c>
      <c r="I988" t="s">
        <v>1983</v>
      </c>
    </row>
    <row r="989" spans="1:9">
      <c r="A989" s="2" t="s">
        <v>1944</v>
      </c>
      <c r="B989" s="2" t="s">
        <v>6168</v>
      </c>
      <c r="C989" s="2" t="s">
        <v>6169</v>
      </c>
      <c r="D989" s="2" t="s">
        <v>6170</v>
      </c>
      <c r="E989" s="2" t="s">
        <v>6171</v>
      </c>
      <c r="F989" s="2" t="s">
        <v>4115</v>
      </c>
      <c r="G989" s="2" t="s">
        <v>18</v>
      </c>
      <c r="H989" s="2" t="s">
        <v>2424</v>
      </c>
      <c r="I989" t="s">
        <v>1975</v>
      </c>
    </row>
    <row r="990" spans="1:9">
      <c r="A990" s="2" t="s">
        <v>1946</v>
      </c>
      <c r="B990" s="2" t="s">
        <v>6172</v>
      </c>
      <c r="C990" s="2"/>
      <c r="D990" s="2" t="s">
        <v>6173</v>
      </c>
      <c r="E990" s="2" t="s">
        <v>6174</v>
      </c>
      <c r="F990" s="2" t="s">
        <v>6175</v>
      </c>
      <c r="G990" s="2" t="s">
        <v>18</v>
      </c>
      <c r="H990" s="2" t="s">
        <v>6176</v>
      </c>
      <c r="I990" t="s">
        <v>1975</v>
      </c>
    </row>
    <row r="991" spans="1:9">
      <c r="A991" s="2" t="s">
        <v>1948</v>
      </c>
      <c r="B991" s="2" t="s">
        <v>6177</v>
      </c>
      <c r="C991" s="2"/>
      <c r="D991" s="2" t="s">
        <v>6178</v>
      </c>
      <c r="E991" s="2" t="s">
        <v>6179</v>
      </c>
      <c r="F991" s="2" t="s">
        <v>2045</v>
      </c>
      <c r="G991" s="2" t="s">
        <v>19</v>
      </c>
      <c r="H991" s="2">
        <v>63131</v>
      </c>
      <c r="I991" t="s">
        <v>1975</v>
      </c>
    </row>
    <row r="992" spans="1:9">
      <c r="A992" s="2" t="s">
        <v>6180</v>
      </c>
      <c r="B992" s="2" t="s">
        <v>6181</v>
      </c>
      <c r="C992" s="2" t="s">
        <v>6182</v>
      </c>
      <c r="D992" s="2" t="s">
        <v>6183</v>
      </c>
      <c r="E992" s="2" t="s">
        <v>6184</v>
      </c>
      <c r="F992" s="2" t="s">
        <v>6185</v>
      </c>
      <c r="G992" s="2" t="s">
        <v>19</v>
      </c>
      <c r="H992" s="2">
        <v>92056</v>
      </c>
      <c r="I992" t="s">
        <v>1983</v>
      </c>
    </row>
    <row r="993" spans="1:9">
      <c r="A993" s="2" t="s">
        <v>6186</v>
      </c>
      <c r="B993" s="2" t="s">
        <v>6187</v>
      </c>
      <c r="C993" s="2"/>
      <c r="D993" s="2" t="s">
        <v>6188</v>
      </c>
      <c r="E993" s="2" t="s">
        <v>6189</v>
      </c>
      <c r="F993" s="2" t="s">
        <v>2709</v>
      </c>
      <c r="G993" s="2" t="s">
        <v>19</v>
      </c>
      <c r="H993" s="2">
        <v>37416</v>
      </c>
      <c r="I993" t="s">
        <v>1975</v>
      </c>
    </row>
    <row r="994" spans="1:9">
      <c r="A994" s="2" t="s">
        <v>1952</v>
      </c>
      <c r="B994" s="2" t="s">
        <v>6190</v>
      </c>
      <c r="C994" s="2"/>
      <c r="D994" s="2" t="s">
        <v>6191</v>
      </c>
      <c r="E994" s="2" t="s">
        <v>6192</v>
      </c>
      <c r="F994" s="2" t="s">
        <v>3998</v>
      </c>
      <c r="G994" s="2" t="s">
        <v>17</v>
      </c>
      <c r="H994" s="2" t="s">
        <v>2802</v>
      </c>
      <c r="I994" t="s">
        <v>1983</v>
      </c>
    </row>
    <row r="995" spans="1:9">
      <c r="A995" s="2" t="s">
        <v>1954</v>
      </c>
      <c r="B995" s="2" t="s">
        <v>6193</v>
      </c>
      <c r="C995" s="2"/>
      <c r="D995" s="2" t="s">
        <v>6194</v>
      </c>
      <c r="E995" s="2" t="s">
        <v>6195</v>
      </c>
      <c r="F995" s="2" t="s">
        <v>2049</v>
      </c>
      <c r="G995" s="2" t="s">
        <v>19</v>
      </c>
      <c r="H995" s="2">
        <v>19125</v>
      </c>
      <c r="I995" t="s">
        <v>1983</v>
      </c>
    </row>
    <row r="996" spans="1:9">
      <c r="A996" s="2" t="s">
        <v>1956</v>
      </c>
      <c r="B996" s="2" t="s">
        <v>6196</v>
      </c>
      <c r="C996" s="2"/>
      <c r="D996" s="2" t="s">
        <v>6197</v>
      </c>
      <c r="E996" s="2" t="s">
        <v>6198</v>
      </c>
      <c r="F996" s="2" t="s">
        <v>3943</v>
      </c>
      <c r="G996" s="2" t="s">
        <v>17</v>
      </c>
      <c r="H996" s="2" t="s">
        <v>3944</v>
      </c>
      <c r="I996" t="s">
        <v>1983</v>
      </c>
    </row>
    <row r="997" spans="1:9">
      <c r="A997" s="2" t="s">
        <v>1958</v>
      </c>
      <c r="B997" s="2" t="s">
        <v>6199</v>
      </c>
      <c r="C997" s="2" t="s">
        <v>6200</v>
      </c>
      <c r="D997" s="2" t="s">
        <v>6201</v>
      </c>
      <c r="E997" s="2" t="s">
        <v>6202</v>
      </c>
      <c r="F997" s="2" t="s">
        <v>2356</v>
      </c>
      <c r="G997" s="2" t="s">
        <v>19</v>
      </c>
      <c r="H997" s="2">
        <v>75210</v>
      </c>
      <c r="I997" t="s">
        <v>1983</v>
      </c>
    </row>
    <row r="998" spans="1:9">
      <c r="A998" s="2" t="s">
        <v>1950</v>
      </c>
      <c r="B998" s="2" t="s">
        <v>6203</v>
      </c>
      <c r="C998" s="2"/>
      <c r="D998" s="2" t="s">
        <v>6204</v>
      </c>
      <c r="E998" s="2" t="s">
        <v>6205</v>
      </c>
      <c r="F998" s="2" t="s">
        <v>5059</v>
      </c>
      <c r="G998" s="2" t="s">
        <v>19</v>
      </c>
      <c r="H998" s="2">
        <v>72905</v>
      </c>
      <c r="I998" t="s">
        <v>1983</v>
      </c>
    </row>
    <row r="999" spans="1:9">
      <c r="A999" s="2" t="s">
        <v>6206</v>
      </c>
      <c r="B999" s="2" t="s">
        <v>6207</v>
      </c>
      <c r="C999" s="2"/>
      <c r="D999" s="2" t="s">
        <v>6208</v>
      </c>
      <c r="E999" s="2" t="s">
        <v>6209</v>
      </c>
      <c r="F999" s="2" t="s">
        <v>2371</v>
      </c>
      <c r="G999" s="2" t="s">
        <v>19</v>
      </c>
      <c r="H999" s="2">
        <v>80920</v>
      </c>
      <c r="I999" t="s">
        <v>1975</v>
      </c>
    </row>
    <row r="1000" spans="1:9">
      <c r="A1000" s="2" t="s">
        <v>1962</v>
      </c>
      <c r="B1000" s="2" t="s">
        <v>6210</v>
      </c>
      <c r="C1000" s="2" t="s">
        <v>6211</v>
      </c>
      <c r="D1000" s="2" t="s">
        <v>6212</v>
      </c>
      <c r="E1000" s="2" t="s">
        <v>6213</v>
      </c>
      <c r="F1000" s="2" t="s">
        <v>2789</v>
      </c>
      <c r="G1000" s="2" t="s">
        <v>19</v>
      </c>
      <c r="H1000" s="2">
        <v>90610</v>
      </c>
      <c r="I1000" t="s">
        <v>1983</v>
      </c>
    </row>
    <row r="1001" spans="1:9">
      <c r="A1001" s="2" t="s">
        <v>1964</v>
      </c>
      <c r="B1001" s="2" t="s">
        <v>6214</v>
      </c>
      <c r="C1001" s="2"/>
      <c r="D1001" s="2" t="s">
        <v>6215</v>
      </c>
      <c r="E1001" s="2" t="s">
        <v>6216</v>
      </c>
      <c r="F1001" s="2" t="s">
        <v>4516</v>
      </c>
      <c r="G1001" s="2" t="s">
        <v>18</v>
      </c>
      <c r="H1001" s="2" t="s">
        <v>6217</v>
      </c>
      <c r="I1001" t="s">
        <v>1975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>
      <c r="A1" t="s">
        <v>38</v>
      </c>
      <c r="B1" t="s">
        <v>42</v>
      </c>
      <c r="C1" t="s">
        <v>43</v>
      </c>
      <c r="D1" t="s">
        <v>4</v>
      </c>
      <c r="E1" t="s">
        <v>44</v>
      </c>
      <c r="F1" t="s">
        <v>6218</v>
      </c>
      <c r="G1" t="s">
        <v>6219</v>
      </c>
    </row>
    <row r="2" spans="1:7">
      <c r="A2" t="s">
        <v>162</v>
      </c>
      <c r="B2" t="s">
        <v>6220</v>
      </c>
      <c r="C2" t="s">
        <v>6221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>
      <c r="A3" t="s">
        <v>239</v>
      </c>
      <c r="B3" t="s">
        <v>6220</v>
      </c>
      <c r="C3" t="s">
        <v>6221</v>
      </c>
      <c r="D3" s="1">
        <v>0.5</v>
      </c>
      <c r="E3">
        <v>7.77</v>
      </c>
      <c r="F3">
        <v>1.5539999999999998</v>
      </c>
      <c r="G3">
        <v>0.69929999999999992</v>
      </c>
    </row>
    <row r="4" spans="1:7">
      <c r="A4" t="s">
        <v>53</v>
      </c>
      <c r="B4" t="s">
        <v>6220</v>
      </c>
      <c r="C4" t="s">
        <v>6221</v>
      </c>
      <c r="D4" s="1">
        <v>1</v>
      </c>
      <c r="E4">
        <v>12.95</v>
      </c>
      <c r="F4">
        <v>1.2949999999999999</v>
      </c>
      <c r="G4">
        <v>1.1655</v>
      </c>
    </row>
    <row r="5" spans="1:7">
      <c r="A5" t="s">
        <v>251</v>
      </c>
      <c r="B5" t="s">
        <v>6220</v>
      </c>
      <c r="C5" t="s">
        <v>6221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>
      <c r="A6" t="s">
        <v>91</v>
      </c>
      <c r="B6" t="s">
        <v>6220</v>
      </c>
      <c r="C6" t="s">
        <v>6222</v>
      </c>
      <c r="D6" s="1">
        <v>0.2</v>
      </c>
      <c r="E6">
        <v>3.375</v>
      </c>
      <c r="F6">
        <v>1.6875</v>
      </c>
      <c r="G6">
        <v>0.30374999999999996</v>
      </c>
    </row>
    <row r="7" spans="1:7">
      <c r="A7" t="s">
        <v>114</v>
      </c>
      <c r="B7" t="s">
        <v>6220</v>
      </c>
      <c r="C7" t="s">
        <v>6222</v>
      </c>
      <c r="D7" s="1">
        <v>0.5</v>
      </c>
      <c r="E7">
        <v>6.75</v>
      </c>
      <c r="F7">
        <v>1.35</v>
      </c>
      <c r="G7">
        <v>0.60749999999999993</v>
      </c>
    </row>
    <row r="8" spans="1:7">
      <c r="A8" t="s">
        <v>108</v>
      </c>
      <c r="B8" t="s">
        <v>6220</v>
      </c>
      <c r="C8" t="s">
        <v>6222</v>
      </c>
      <c r="D8" s="1">
        <v>1</v>
      </c>
      <c r="E8">
        <v>11.25</v>
      </c>
      <c r="F8">
        <v>1.125</v>
      </c>
      <c r="G8">
        <v>1.0125</v>
      </c>
    </row>
    <row r="9" spans="1:7">
      <c r="A9" t="s">
        <v>218</v>
      </c>
      <c r="B9" t="s">
        <v>6220</v>
      </c>
      <c r="C9" t="s">
        <v>6222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>
      <c r="A10" t="s">
        <v>101</v>
      </c>
      <c r="B10" t="s">
        <v>6220</v>
      </c>
      <c r="C10" t="s">
        <v>6223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>
      <c r="A11" t="s">
        <v>119</v>
      </c>
      <c r="B11" t="s">
        <v>6220</v>
      </c>
      <c r="C11" t="s">
        <v>6223</v>
      </c>
      <c r="D11" s="1">
        <v>0.5</v>
      </c>
      <c r="E11">
        <v>5.97</v>
      </c>
      <c r="F11">
        <v>1.194</v>
      </c>
      <c r="G11">
        <v>0.5373</v>
      </c>
    </row>
    <row r="12" spans="1:7">
      <c r="A12" t="s">
        <v>74</v>
      </c>
      <c r="B12" t="s">
        <v>6220</v>
      </c>
      <c r="C12" t="s">
        <v>6223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>
      <c r="A13" t="s">
        <v>165</v>
      </c>
      <c r="B13" t="s">
        <v>6220</v>
      </c>
      <c r="C13" t="s">
        <v>6223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>
      <c r="A14" t="s">
        <v>229</v>
      </c>
      <c r="B14" t="s">
        <v>6224</v>
      </c>
      <c r="C14" t="s">
        <v>6221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>
      <c r="A15" t="s">
        <v>204</v>
      </c>
      <c r="B15" t="s">
        <v>6224</v>
      </c>
      <c r="C15" t="s">
        <v>6221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>
      <c r="A16" t="s">
        <v>236</v>
      </c>
      <c r="B16" t="s">
        <v>6224</v>
      </c>
      <c r="C16" t="s">
        <v>6221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>
      <c r="A17" t="s">
        <v>57</v>
      </c>
      <c r="B17" t="s">
        <v>6224</v>
      </c>
      <c r="C17" t="s">
        <v>6221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>
      <c r="A18" t="s">
        <v>209</v>
      </c>
      <c r="B18" t="s">
        <v>6224</v>
      </c>
      <c r="C18" t="s">
        <v>6222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>
      <c r="A19" t="s">
        <v>69</v>
      </c>
      <c r="B19" t="s">
        <v>6224</v>
      </c>
      <c r="C19" t="s">
        <v>6222</v>
      </c>
      <c r="D19" s="1">
        <v>0.5</v>
      </c>
      <c r="E19">
        <v>5.97</v>
      </c>
      <c r="F19">
        <v>1.194</v>
      </c>
      <c r="G19">
        <v>0.35819999999999996</v>
      </c>
    </row>
    <row r="20" spans="1:7">
      <c r="A20" t="s">
        <v>49</v>
      </c>
      <c r="B20" t="s">
        <v>6224</v>
      </c>
      <c r="C20" t="s">
        <v>6222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>
      <c r="A21" t="s">
        <v>88</v>
      </c>
      <c r="B21" t="s">
        <v>6224</v>
      </c>
      <c r="C21" t="s">
        <v>6222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>
      <c r="A22" t="s">
        <v>148</v>
      </c>
      <c r="B22" t="s">
        <v>6224</v>
      </c>
      <c r="C22" t="s">
        <v>6223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>
      <c r="A23" t="s">
        <v>193</v>
      </c>
      <c r="B23" t="s">
        <v>6224</v>
      </c>
      <c r="C23" t="s">
        <v>6223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>
      <c r="A24" t="s">
        <v>226</v>
      </c>
      <c r="B24" t="s">
        <v>6224</v>
      </c>
      <c r="C24" t="s">
        <v>6223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>
      <c r="A25" t="s">
        <v>82</v>
      </c>
      <c r="B25" t="s">
        <v>6224</v>
      </c>
      <c r="C25" t="s">
        <v>6223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>
      <c r="A26" t="s">
        <v>66</v>
      </c>
      <c r="B26" t="s">
        <v>6225</v>
      </c>
      <c r="C26" t="s">
        <v>6221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>
      <c r="A27" t="s">
        <v>130</v>
      </c>
      <c r="B27" t="s">
        <v>6225</v>
      </c>
      <c r="C27" t="s">
        <v>6221</v>
      </c>
      <c r="D27" s="1">
        <v>0.5</v>
      </c>
      <c r="E27">
        <v>9.51</v>
      </c>
      <c r="F27">
        <v>1.9019999999999999</v>
      </c>
      <c r="G27">
        <v>1.2363</v>
      </c>
    </row>
    <row r="28" spans="1:7">
      <c r="A28" t="s">
        <v>179</v>
      </c>
      <c r="B28" t="s">
        <v>6225</v>
      </c>
      <c r="C28" t="s">
        <v>6221</v>
      </c>
      <c r="D28" s="1">
        <v>1</v>
      </c>
      <c r="E28">
        <v>15.85</v>
      </c>
      <c r="F28">
        <v>1.585</v>
      </c>
      <c r="G28">
        <v>2.0605000000000002</v>
      </c>
    </row>
    <row r="29" spans="1:7">
      <c r="A29" t="s">
        <v>151</v>
      </c>
      <c r="B29" t="s">
        <v>6225</v>
      </c>
      <c r="C29" t="s">
        <v>6221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>
      <c r="A30" t="s">
        <v>124</v>
      </c>
      <c r="B30" t="s">
        <v>6225</v>
      </c>
      <c r="C30" t="s">
        <v>6222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>
      <c r="A31" t="s">
        <v>125</v>
      </c>
      <c r="B31" t="s">
        <v>6225</v>
      </c>
      <c r="C31" t="s">
        <v>6222</v>
      </c>
      <c r="D31" s="1">
        <v>0.5</v>
      </c>
      <c r="E31">
        <v>8.73</v>
      </c>
      <c r="F31">
        <v>1.746</v>
      </c>
      <c r="G31">
        <v>1.1349</v>
      </c>
    </row>
    <row r="32" spans="1:7">
      <c r="A32" t="s">
        <v>143</v>
      </c>
      <c r="B32" t="s">
        <v>6225</v>
      </c>
      <c r="C32" t="s">
        <v>6222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>
      <c r="A33" t="s">
        <v>244</v>
      </c>
      <c r="B33" t="s">
        <v>6225</v>
      </c>
      <c r="C33" t="s">
        <v>6222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>
      <c r="A34" t="s">
        <v>85</v>
      </c>
      <c r="B34" t="s">
        <v>6225</v>
      </c>
      <c r="C34" t="s">
        <v>6223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>
      <c r="A35" t="s">
        <v>170</v>
      </c>
      <c r="B35" t="s">
        <v>6225</v>
      </c>
      <c r="C35" t="s">
        <v>6223</v>
      </c>
      <c r="D35" s="1">
        <v>0.5</v>
      </c>
      <c r="E35">
        <v>7.77</v>
      </c>
      <c r="F35">
        <v>1.5539999999999998</v>
      </c>
      <c r="G35">
        <v>1.0101</v>
      </c>
    </row>
    <row r="36" spans="1:7">
      <c r="A36" t="s">
        <v>60</v>
      </c>
      <c r="B36" t="s">
        <v>6225</v>
      </c>
      <c r="C36" t="s">
        <v>6223</v>
      </c>
      <c r="D36" s="1">
        <v>1</v>
      </c>
      <c r="E36">
        <v>12.95</v>
      </c>
      <c r="F36">
        <v>1.2949999999999999</v>
      </c>
      <c r="G36">
        <v>1.6835</v>
      </c>
    </row>
    <row r="37" spans="1:7">
      <c r="A37" t="s">
        <v>156</v>
      </c>
      <c r="B37" t="s">
        <v>6225</v>
      </c>
      <c r="C37" t="s">
        <v>6223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>
      <c r="A38" t="s">
        <v>301</v>
      </c>
      <c r="B38" t="s">
        <v>6226</v>
      </c>
      <c r="C38" t="s">
        <v>6221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>
      <c r="A39" t="s">
        <v>223</v>
      </c>
      <c r="B39" t="s">
        <v>6226</v>
      </c>
      <c r="C39" t="s">
        <v>6221</v>
      </c>
      <c r="D39" s="1">
        <v>0.5</v>
      </c>
      <c r="E39">
        <v>8.91</v>
      </c>
      <c r="F39">
        <v>1.782</v>
      </c>
      <c r="G39">
        <v>0.98009999999999997</v>
      </c>
    </row>
    <row r="40" spans="1:7">
      <c r="A40" t="s">
        <v>184</v>
      </c>
      <c r="B40" t="s">
        <v>6226</v>
      </c>
      <c r="C40" t="s">
        <v>6221</v>
      </c>
      <c r="D40" s="1">
        <v>1</v>
      </c>
      <c r="E40">
        <v>14.85</v>
      </c>
      <c r="F40">
        <v>1.4849999999999999</v>
      </c>
      <c r="G40">
        <v>1.6335</v>
      </c>
    </row>
    <row r="41" spans="1:7">
      <c r="A41" t="s">
        <v>77</v>
      </c>
      <c r="B41" t="s">
        <v>6226</v>
      </c>
      <c r="C41" t="s">
        <v>6221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>
      <c r="A42" t="s">
        <v>111</v>
      </c>
      <c r="B42" t="s">
        <v>6226</v>
      </c>
      <c r="C42" t="s">
        <v>6222</v>
      </c>
      <c r="D42" s="1">
        <v>0.2</v>
      </c>
      <c r="E42">
        <v>4.125</v>
      </c>
      <c r="F42">
        <v>2.0625</v>
      </c>
      <c r="G42">
        <v>0.45374999999999999</v>
      </c>
    </row>
    <row r="43" spans="1:7">
      <c r="A43" t="s">
        <v>50</v>
      </c>
      <c r="B43" t="s">
        <v>6226</v>
      </c>
      <c r="C43" t="s">
        <v>6222</v>
      </c>
      <c r="D43" s="1">
        <v>0.5</v>
      </c>
      <c r="E43">
        <v>8.25</v>
      </c>
      <c r="F43">
        <v>1.65</v>
      </c>
      <c r="G43">
        <v>0.90749999999999997</v>
      </c>
    </row>
    <row r="44" spans="1:7">
      <c r="A44" t="s">
        <v>56</v>
      </c>
      <c r="B44" t="s">
        <v>6226</v>
      </c>
      <c r="C44" t="s">
        <v>6222</v>
      </c>
      <c r="D44" s="1">
        <v>1</v>
      </c>
      <c r="E44">
        <v>13.75</v>
      </c>
      <c r="F44">
        <v>1.375</v>
      </c>
      <c r="G44">
        <v>1.5125</v>
      </c>
    </row>
    <row r="45" spans="1:7">
      <c r="A45" t="s">
        <v>159</v>
      </c>
      <c r="B45" t="s">
        <v>6226</v>
      </c>
      <c r="C45" t="s">
        <v>6222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>
      <c r="A46" t="s">
        <v>98</v>
      </c>
      <c r="B46" t="s">
        <v>6226</v>
      </c>
      <c r="C46" t="s">
        <v>6223</v>
      </c>
      <c r="D46" s="1">
        <v>0.2</v>
      </c>
      <c r="E46">
        <v>3.645</v>
      </c>
      <c r="F46">
        <v>1.8225</v>
      </c>
      <c r="G46">
        <v>0.40095000000000003</v>
      </c>
    </row>
    <row r="47" spans="1:7">
      <c r="A47" t="s">
        <v>63</v>
      </c>
      <c r="B47" t="s">
        <v>6226</v>
      </c>
      <c r="C47" t="s">
        <v>6223</v>
      </c>
      <c r="D47" s="1">
        <v>0.5</v>
      </c>
      <c r="E47">
        <v>7.29</v>
      </c>
      <c r="F47">
        <v>1.458</v>
      </c>
      <c r="G47">
        <v>0.80190000000000006</v>
      </c>
    </row>
    <row r="48" spans="1:7">
      <c r="A48" t="s">
        <v>292</v>
      </c>
      <c r="B48" t="s">
        <v>6226</v>
      </c>
      <c r="C48" t="s">
        <v>6223</v>
      </c>
      <c r="D48" s="1">
        <v>1</v>
      </c>
      <c r="E48">
        <v>12.15</v>
      </c>
      <c r="F48">
        <v>1.2150000000000001</v>
      </c>
      <c r="G48">
        <v>1.3365</v>
      </c>
    </row>
    <row r="49" spans="1:7">
      <c r="A49" t="s">
        <v>577</v>
      </c>
      <c r="B49" t="s">
        <v>6226</v>
      </c>
      <c r="C49" t="s">
        <v>6223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2022-11-26T09:51:45Z</dcterms:created>
  <dcterms:modified xsi:type="dcterms:W3CDTF">2026-07-29T21:08:41Z</dcterms:modified>
  <cp:category/>
  <cp:contentStatus/>
</cp:coreProperties>
</file>